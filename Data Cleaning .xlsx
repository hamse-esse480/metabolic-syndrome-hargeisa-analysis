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24226"/>
  <mc:AlternateContent xmlns:mc="http://schemas.openxmlformats.org/markup-compatibility/2006">
    <mc:Choice Requires="x15">
      <x15ac:absPath xmlns:x15ac="http://schemas.microsoft.com/office/spreadsheetml/2010/11/ac" url="D:\MASTER EPIDIMIOLOGY COURSES\Data Analys courses\EXCELAPP LESSONS\PROJECTS IN EXCEL\Proj3\"/>
    </mc:Choice>
  </mc:AlternateContent>
  <xr:revisionPtr revIDLastSave="0" documentId="8_{E19CCD43-4874-4578-941A-C8D73C6388A4}" xr6:coauthVersionLast="47" xr6:coauthVersionMax="47" xr10:uidLastSave="{00000000-0000-0000-0000-000000000000}"/>
  <bookViews>
    <workbookView xWindow="-110" yWindow="-110" windowWidth="19420" windowHeight="10300" firstSheet="2" activeTab="4" xr2:uid="{00000000-000D-0000-FFFF-FFFF00000000}"/>
  </bookViews>
  <sheets>
    <sheet name="Dirty" sheetId="1" r:id="rId1"/>
    <sheet name="Data Cleaning" sheetId="3" r:id="rId2"/>
    <sheet name="KPIcards" sheetId="5" r:id="rId3"/>
    <sheet name="Descriptive Analys" sheetId="4" r:id="rId4"/>
    <sheet name="Dashboard" sheetId="6" r:id="rId5"/>
  </sheets>
  <definedNames>
    <definedName name="ExternalData_1" localSheetId="1" hidden="1">'Data Cleaning'!$A$1:$R$495</definedName>
    <definedName name="Slicer_Educ">#N/A</definedName>
    <definedName name="Slicer_Gender">#N/A</definedName>
    <definedName name="Slicer_PhysExercise">#N/A</definedName>
    <definedName name="Slicer_Smoke">#N/A</definedName>
  </definedNames>
  <calcPr calcId="191029"/>
  <pivotCaches>
    <pivotCache cacheId="96"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6" i="4" l="1"/>
  <c r="B35" i="4"/>
  <c r="B34" i="4"/>
  <c r="B33" i="4"/>
  <c r="B32" i="4"/>
  <c r="B31" i="4"/>
  <c r="B28" i="4"/>
  <c r="B27" i="4"/>
  <c r="B26" i="4"/>
  <c r="B25" i="4"/>
  <c r="B24" i="4"/>
  <c r="B23" i="4"/>
  <c r="B21" i="4"/>
  <c r="B20" i="4"/>
  <c r="B19" i="4"/>
  <c r="B17" i="4"/>
  <c r="B16" i="4"/>
  <c r="B15" i="4"/>
  <c r="B18" i="4"/>
  <c r="B12" i="4"/>
  <c r="B11" i="4"/>
  <c r="B10" i="4"/>
  <c r="B9" i="4"/>
  <c r="B8" i="4"/>
  <c r="B7" i="4"/>
  <c r="B4" i="4" a="1"/>
  <c r="B4" i="4" s="1"/>
  <c r="B3" i="4" a="1"/>
  <c r="B3" i="4" s="1"/>
  <c r="B2" i="4"/>
  <c r="B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27D5ACE-C443-4ED7-8EC2-0DEB9E04C3A9}"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<sst xmlns="http://schemas.openxmlformats.org/spreadsheetml/2006/main" count="22193" uniqueCount="176">
  <si>
    <t>QID</t>
  </si>
  <si>
    <t>Age</t>
  </si>
  <si>
    <t>Agecoded</t>
  </si>
  <si>
    <t>Gender</t>
  </si>
  <si>
    <t>Marital</t>
  </si>
  <si>
    <t>Educ</t>
  </si>
  <si>
    <t>Relig</t>
  </si>
  <si>
    <t>Income</t>
  </si>
  <si>
    <t>Incomecoded</t>
  </si>
  <si>
    <t>Smoke</t>
  </si>
  <si>
    <t>Khat</t>
  </si>
  <si>
    <t>Alcohol</t>
  </si>
  <si>
    <t>Fruitusedays</t>
  </si>
  <si>
    <t>Fruitusedayscoded</t>
  </si>
  <si>
    <t>FruitServe</t>
  </si>
  <si>
    <t>FruitServecoded</t>
  </si>
  <si>
    <t>Vegusedays</t>
  </si>
  <si>
    <t>Vegusedayscoded</t>
  </si>
  <si>
    <t>VegServe</t>
  </si>
  <si>
    <t>VegServecoded</t>
  </si>
  <si>
    <t>Salt</t>
  </si>
  <si>
    <t>Workex</t>
  </si>
  <si>
    <t>PhysExercise</t>
  </si>
  <si>
    <t>Exercisebicoded</t>
  </si>
  <si>
    <t>WalkorBicycle</t>
  </si>
  <si>
    <t>Sittime</t>
  </si>
  <si>
    <t>CodedSitting</t>
  </si>
  <si>
    <t>Sysbp</t>
  </si>
  <si>
    <t>Disbp</t>
  </si>
  <si>
    <t>Weight</t>
  </si>
  <si>
    <t>Height</t>
  </si>
  <si>
    <t>Waist</t>
  </si>
  <si>
    <t>Hip</t>
  </si>
  <si>
    <t>FBS</t>
  </si>
  <si>
    <t>Triglycerides</t>
  </si>
  <si>
    <t>HDL</t>
  </si>
  <si>
    <t>CodedTrig</t>
  </si>
  <si>
    <t>CodedSystolic</t>
  </si>
  <si>
    <t>CodedDias</t>
  </si>
  <si>
    <t>CompSysDias</t>
  </si>
  <si>
    <t>ComputedHTN</t>
  </si>
  <si>
    <t>CodedHDLFemale</t>
  </si>
  <si>
    <t>CodedHDLMale</t>
  </si>
  <si>
    <t>HDLStatus</t>
  </si>
  <si>
    <t>FBSCoded</t>
  </si>
  <si>
    <t>CodedWaistMale</t>
  </si>
  <si>
    <t>CodedWaistFemale</t>
  </si>
  <si>
    <t>WaistStatus</t>
  </si>
  <si>
    <t>CompFourMetS</t>
  </si>
  <si>
    <t>CodedFour</t>
  </si>
  <si>
    <t>MetSyn</t>
  </si>
  <si>
    <t>HtMeters</t>
  </si>
  <si>
    <t>HtSquare</t>
  </si>
  <si>
    <t>BMI</t>
  </si>
  <si>
    <t>CodedBMI</t>
  </si>
  <si>
    <t>BicodedBMI</t>
  </si>
  <si>
    <t>CompMetSyn</t>
  </si>
  <si>
    <t>CodedMetSyn</t>
  </si>
  <si>
    <t>CodATPMalWaist</t>
  </si>
  <si>
    <t>CodATPFemlWaist</t>
  </si>
  <si>
    <t>WaistStATP</t>
  </si>
  <si>
    <t>ComATPMetS</t>
  </si>
  <si>
    <t>CodMetSATP</t>
  </si>
  <si>
    <t>19 - 24</t>
  </si>
  <si>
    <t>Male</t>
  </si>
  <si>
    <t>Never Married</t>
  </si>
  <si>
    <t>Primary School</t>
  </si>
  <si>
    <t>Muslim</t>
  </si>
  <si>
    <t>Up to 500</t>
  </si>
  <si>
    <t>No</t>
  </si>
  <si>
    <t>Yes</t>
  </si>
  <si>
    <t>0-2</t>
  </si>
  <si>
    <t>&gt;=5</t>
  </si>
  <si>
    <t>Too little</t>
  </si>
  <si>
    <t>Moderate</t>
  </si>
  <si>
    <t>Vigorous</t>
  </si>
  <si>
    <t>Vigorous to moderate exercises</t>
  </si>
  <si>
    <t>&lt;8 hours per day</t>
  </si>
  <si>
    <t>&lt;150</t>
  </si>
  <si>
    <t>&gt;=130</t>
  </si>
  <si>
    <t>&lt;85</t>
  </si>
  <si>
    <t>Increased sys or dias b/p</t>
  </si>
  <si>
    <t>Hypertension</t>
  </si>
  <si>
    <t>Abnormal</t>
  </si>
  <si>
    <t>&lt;100</t>
  </si>
  <si>
    <t>Normal</t>
  </si>
  <si>
    <t>&lt;25</t>
  </si>
  <si>
    <t>No MetS</t>
  </si>
  <si>
    <t>No Met-S</t>
  </si>
  <si>
    <t>Female</t>
  </si>
  <si>
    <t>Secondary School</t>
  </si>
  <si>
    <t>3-4</t>
  </si>
  <si>
    <t>Just right amount</t>
  </si>
  <si>
    <t>Low/none</t>
  </si>
  <si>
    <t>Low to no exercise</t>
  </si>
  <si>
    <t>&lt;130</t>
  </si>
  <si>
    <t>No Hypertension</t>
  </si>
  <si>
    <t>No hypertension</t>
  </si>
  <si>
    <t>Overweight</t>
  </si>
  <si>
    <t>&gt;=25</t>
  </si>
  <si>
    <t>Underwieght</t>
  </si>
  <si>
    <t>University</t>
  </si>
  <si>
    <t>&gt;=100</t>
  </si>
  <si>
    <t>Too much</t>
  </si>
  <si>
    <t>Currently Married</t>
  </si>
  <si>
    <t>501 - 1000</t>
  </si>
  <si>
    <t>Far too much</t>
  </si>
  <si>
    <t>&gt;=150</t>
  </si>
  <si>
    <t>&gt;=85</t>
  </si>
  <si>
    <t>Increased both Sys and Dias</t>
  </si>
  <si>
    <t>Obese</t>
  </si>
  <si>
    <t>MetS</t>
  </si>
  <si>
    <t>Has Met-S</t>
  </si>
  <si>
    <t>Divorced / Widowed</t>
  </si>
  <si>
    <t>25 - 34</t>
  </si>
  <si>
    <t>No School</t>
  </si>
  <si>
    <t>&gt;1000</t>
  </si>
  <si>
    <t>&gt;= 8 hours per day</t>
  </si>
  <si>
    <t>Far too little</t>
  </si>
  <si>
    <t>35 - 44</t>
  </si>
  <si>
    <t>45 - 54</t>
  </si>
  <si>
    <t>55 - 64</t>
  </si>
  <si>
    <t>&gt;64</t>
  </si>
  <si>
    <t>Participant ID</t>
  </si>
  <si>
    <t>High</t>
  </si>
  <si>
    <t>Low</t>
  </si>
  <si>
    <t>no</t>
  </si>
  <si>
    <t>yes</t>
  </si>
  <si>
    <t>rows</t>
  </si>
  <si>
    <t>colmna</t>
  </si>
  <si>
    <t>Catogorical</t>
  </si>
  <si>
    <t>Numeric</t>
  </si>
  <si>
    <t>Catoricial Nominal</t>
  </si>
  <si>
    <t>Mean</t>
  </si>
  <si>
    <t>Median</t>
  </si>
  <si>
    <t>Mode</t>
  </si>
  <si>
    <t>Max</t>
  </si>
  <si>
    <t>Min</t>
  </si>
  <si>
    <t>STD</t>
  </si>
  <si>
    <t>Sum</t>
  </si>
  <si>
    <t>Grand Total</t>
  </si>
  <si>
    <t>Education level</t>
  </si>
  <si>
    <t>N</t>
  </si>
  <si>
    <t>Percentage%</t>
  </si>
  <si>
    <t>n</t>
  </si>
  <si>
    <t xml:space="preserve">Numeric </t>
  </si>
  <si>
    <t>income</t>
  </si>
  <si>
    <t>Count of MetSyn</t>
  </si>
  <si>
    <t>KPI</t>
  </si>
  <si>
    <t>Total Participants</t>
  </si>
  <si>
    <t>Mean Systolic BP</t>
  </si>
  <si>
    <t>Mean BMI</t>
  </si>
  <si>
    <t>Average of Sysbp</t>
  </si>
  <si>
    <t>Average of Disbp</t>
  </si>
  <si>
    <t>Mean Fasting Blood Sugar</t>
  </si>
  <si>
    <t>Value</t>
  </si>
  <si>
    <t>Metabolic Syndrome Prevalence</t>
  </si>
  <si>
    <t>127 mmHg</t>
  </si>
  <si>
    <t>111.16 mg/dL</t>
  </si>
  <si>
    <t>25.44 kg/m²</t>
  </si>
  <si>
    <t xml:space="preserve"> MetSyn%</t>
  </si>
  <si>
    <t>no Total</t>
  </si>
  <si>
    <t>yes Total</t>
  </si>
  <si>
    <t>Metobolic Syndrome</t>
  </si>
  <si>
    <t>Average of Waist</t>
  </si>
  <si>
    <t>Average of HDL</t>
  </si>
  <si>
    <t>Average of BMI</t>
  </si>
  <si>
    <t>Average of Income</t>
  </si>
  <si>
    <t>MetSyn%</t>
  </si>
  <si>
    <t xml:space="preserve"> MetSyn %</t>
  </si>
  <si>
    <t>Khat%</t>
  </si>
  <si>
    <t>Count of MetSyn2</t>
  </si>
  <si>
    <t xml:space="preserve"> Salt%</t>
  </si>
  <si>
    <t>MetSyn_Status</t>
  </si>
  <si>
    <t>No Mets</t>
  </si>
  <si>
    <t>Mets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</si>
</sst>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quot;$&quot;#,##0.00"/>
    <numFmt numFmtId="165" formatCode="0\ &quot;hrs&quot;"/>
    <numFmt numFmtId="166" formatCode="0&quot;mmHg&quot;"/>
    <numFmt numFmtId="167" formatCode="0&quot;cm&quot;"/>
    <numFmt numFmtId="168" formatCode="0&quot;mg/dL&quot;"/>
    <numFmt numFmtId="169" formatCode="0&quot;kg/m²&quot;"/>
    <numFmt numFmtId="170" formatCode="0&quot;$&quot;"/>
    <numFmt numFmtId="171" formatCode="_(* #,##0_);_(* \(#,##0\);_(* &quot;-&quot;??_);_(@_)"/>
  </numFmts>
  <fonts count="4"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rgb="FF00B0F0"/>
        <bgColor indexed="64"/>
      </patternFill>
    </fill>
    <fill>
      <patternFill patternType="solid">
        <fgColor theme="0" tint="-0.499984740745262"/>
        <bgColor indexed="64"/>
      </patternFill>
    </fill>
    <fill>
      <patternFill patternType="solid">
        <fgColor theme="0" tint="-4.9989318521683403E-2"/>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27">
    <xf numFmtId="0" fontId="0" fillId="0" borderId="0" xfId="0"/>
    <xf numFmtId="10" fontId="0" fillId="0" borderId="0" xfId="0" applyNumberFormat="1"/>
    <xf numFmtId="164" fontId="0" fillId="0" borderId="0" xfId="0" applyNumberFormat="1"/>
    <xf numFmtId="2" fontId="0" fillId="0" borderId="0" xfId="0" applyNumberFormat="1"/>
    <xf numFmtId="1"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169" fontId="0" fillId="0" borderId="0" xfId="0" applyNumberFormat="1"/>
    <xf numFmtId="170" fontId="0" fillId="0" borderId="0" xfId="2" applyNumberFormat="1" applyFont="1"/>
    <xf numFmtId="0" fontId="0" fillId="2" borderId="0" xfId="0" applyFill="1"/>
    <xf numFmtId="0" fontId="0" fillId="3" borderId="0" xfId="0" applyFill="1"/>
    <xf numFmtId="0" fontId="0" fillId="4" borderId="0" xfId="0" applyFill="1"/>
    <xf numFmtId="0" fontId="0" fillId="0" borderId="0" xfId="0" pivotButton="1"/>
    <xf numFmtId="171" fontId="0" fillId="0" borderId="0" xfId="1" applyNumberFormat="1" applyFont="1"/>
    <xf numFmtId="9" fontId="0" fillId="0" borderId="0" xfId="0" applyNumberFormat="1"/>
    <xf numFmtId="0" fontId="2" fillId="0" borderId="0" xfId="0" applyFont="1" applyAlignment="1">
      <alignment vertical="center" wrapText="1"/>
    </xf>
    <xf numFmtId="0" fontId="2" fillId="0" borderId="0" xfId="0" applyFont="1" applyAlignment="1">
      <alignment horizontal="right" vertical="center" wrapText="1"/>
    </xf>
    <xf numFmtId="10" fontId="2" fillId="0" borderId="0" xfId="0" applyNumberFormat="1" applyFont="1" applyAlignment="1">
      <alignment horizontal="right" vertical="center" wrapText="1"/>
    </xf>
    <xf numFmtId="0" fontId="2" fillId="4" borderId="0" xfId="0" applyFont="1" applyFill="1" applyAlignment="1">
      <alignment horizontal="center" vertical="center" wrapText="1"/>
    </xf>
    <xf numFmtId="0" fontId="2" fillId="4" borderId="0" xfId="0" applyFont="1" applyFill="1" applyAlignment="1">
      <alignment horizontal="right" vertical="center" wrapText="1"/>
    </xf>
    <xf numFmtId="170" fontId="0" fillId="0" borderId="0" xfId="0" applyNumberFormat="1"/>
    <xf numFmtId="0" fontId="0" fillId="5" borderId="0" xfId="0" applyFill="1"/>
    <xf numFmtId="0" fontId="0" fillId="6" borderId="0" xfId="0" applyFill="1"/>
    <xf numFmtId="0" fontId="3" fillId="4" borderId="0" xfId="0" applyFont="1" applyFill="1" applyAlignment="1">
      <alignment horizontal="center"/>
    </xf>
    <xf numFmtId="0" fontId="0" fillId="0" borderId="0" xfId="0" applyNumberFormat="1"/>
  </cellXfs>
  <cellStyles count="3">
    <cellStyle name="Comma" xfId="1" builtinId="3"/>
    <cellStyle name="Currency" xfId="2" builtinId="4"/>
    <cellStyle name="Normal" xfId="0" builtinId="0"/>
  </cellStyles>
  <dxfs count="124">
    <dxf>
      <numFmt numFmtId="13" formatCode="0%"/>
    </dxf>
    <dxf>
      <numFmt numFmtId="13" formatCode="0%"/>
    </dxf>
    <dxf>
      <numFmt numFmtId="13" formatCode="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69" formatCode="0&quot;kg/m²&quot;"/>
    </dxf>
    <dxf>
      <numFmt numFmtId="1" formatCode="0"/>
    </dxf>
    <dxf>
      <numFmt numFmtId="168" formatCode="0&quot;mg/dL&quot;"/>
    </dxf>
    <dxf>
      <numFmt numFmtId="168" formatCode="0&quot;mg/dL&quot;"/>
    </dxf>
    <dxf>
      <numFmt numFmtId="168" formatCode="0&quot;mg/dL&quot;"/>
    </dxf>
    <dxf>
      <numFmt numFmtId="167" formatCode="0&quot;cm&quot;"/>
    </dxf>
    <dxf>
      <numFmt numFmtId="166" formatCode="0&quot;mmHg&quot;"/>
    </dxf>
    <dxf>
      <numFmt numFmtId="166" formatCode="0&quot;mmHg&quot;"/>
    </dxf>
    <dxf>
      <numFmt numFmtId="165" formatCode="0\ &quot;hrs&quot;"/>
    </dxf>
    <dxf>
      <numFmt numFmtId="0" formatCode="General"/>
    </dxf>
    <dxf>
      <numFmt numFmtId="0" formatCode="General"/>
    </dxf>
    <dxf>
      <numFmt numFmtId="0" formatCode="General"/>
    </dxf>
    <dxf>
      <numFmt numFmtId="0" formatCode="General"/>
    </dxf>
    <dxf>
      <numFmt numFmtId="170" formatCode="0&quot;$&quot;"/>
    </dxf>
    <dxf>
      <numFmt numFmtId="0" formatCode="General"/>
    </dxf>
    <dxf>
      <numFmt numFmtId="0" formatCode="General"/>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quot;$&quot;#,##0.00"/>
    </dxf>
    <dxf>
      <numFmt numFmtId="1" formatCode="0"/>
    </dxf>
    <dxf>
      <numFmt numFmtId="1"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 .xlsx]Descriptive Analys!PivotTable31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2">
                    <a:lumMod val="50000"/>
                  </a:schemeClr>
                </a:solidFill>
                <a:latin typeface="Times" panose="020B0500000000000000" pitchFamily="34" charset="0"/>
                <a:ea typeface="Times" panose="020B0500000000000000" pitchFamily="34" charset="0"/>
                <a:cs typeface="Times" panose="020B0500000000000000" pitchFamily="34" charset="0"/>
              </a:rPr>
              <a:t>Metobolic  Syndrome</a:t>
            </a:r>
            <a:r>
              <a:rPr lang="en-US" sz="1400" b="1" baseline="0">
                <a:solidFill>
                  <a:schemeClr val="tx2">
                    <a:lumMod val="50000"/>
                  </a:schemeClr>
                </a:solidFill>
                <a:latin typeface="Times" panose="020B0500000000000000" pitchFamily="34" charset="0"/>
                <a:ea typeface="Times" panose="020B0500000000000000" pitchFamily="34" charset="0"/>
                <a:cs typeface="Times" panose="020B0500000000000000" pitchFamily="34" charset="0"/>
              </a:rPr>
              <a:t> Prevalence</a:t>
            </a:r>
            <a:endParaRPr lang="en-US" sz="1400" b="1">
              <a:solidFill>
                <a:schemeClr val="tx2">
                  <a:lumMod val="50000"/>
                </a:schemeClr>
              </a:solidFill>
              <a:latin typeface="Times" panose="020B0500000000000000" pitchFamily="34" charset="0"/>
              <a:ea typeface="Times" panose="020B0500000000000000" pitchFamily="34" charset="0"/>
              <a:cs typeface="Times" panose="020B0500000000000000"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Times" panose="020B0500000000000000" pitchFamily="34" charset="0"/>
                  <a:ea typeface="Times" panose="020B0500000000000000" pitchFamily="34" charset="0"/>
                  <a:cs typeface="Times" panose="020B0500000000000000"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s>
    <c:plotArea>
      <c:layout/>
      <c:pieChart>
        <c:varyColors val="1"/>
        <c:ser>
          <c:idx val="0"/>
          <c:order val="0"/>
          <c:tx>
            <c:strRef>
              <c:f>'Descriptive Analys'!$F$1</c:f>
              <c:strCache>
                <c:ptCount val="1"/>
                <c:pt idx="0">
                  <c:v>Total</c:v>
                </c:pt>
              </c:strCache>
            </c:strRef>
          </c:tx>
          <c:explosion val="2"/>
          <c:dPt>
            <c:idx val="0"/>
            <c:bubble3D val="0"/>
            <c:spPr>
              <a:solidFill>
                <a:schemeClr val="accent2"/>
              </a:solidFill>
              <a:ln w="19050">
                <a:solidFill>
                  <a:schemeClr val="lt1"/>
                </a:solidFill>
              </a:ln>
              <a:effectLst/>
            </c:spPr>
            <c:extLst>
              <c:ext xmlns:c16="http://schemas.microsoft.com/office/drawing/2014/chart" uri="{C3380CC4-5D6E-409C-BE32-E72D297353CC}">
                <c16:uniqueId val="{00000001-B8B0-4B72-8E28-C009B70B67F0}"/>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B8B0-4B72-8E28-C009B70B67F0}"/>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Times" panose="020B0500000000000000" pitchFamily="34" charset="0"/>
                    <a:ea typeface="Times" panose="020B0500000000000000" pitchFamily="34" charset="0"/>
                    <a:cs typeface="Times" panose="020B0500000000000000" pitchFamily="34" charset="0"/>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'Descriptive Analys'!$E$2:$E$4</c:f>
              <c:strCache>
                <c:ptCount val="2"/>
                <c:pt idx="0">
                  <c:v>no</c:v>
                </c:pt>
                <c:pt idx="1">
                  <c:v>yes</c:v>
                </c:pt>
              </c:strCache>
            </c:strRef>
          </c:cat>
          <c:val>
            <c:numRef>
              <c:f>'Descriptive Analys'!$F$2:$F$4</c:f>
              <c:numCache>
                <c:formatCode>0.00%</c:formatCode>
                <c:ptCount val="2"/>
                <c:pt idx="0">
                  <c:v>0.42105263157894735</c:v>
                </c:pt>
                <c:pt idx="1">
                  <c:v>0.57894736842105265</c:v>
                </c:pt>
              </c:numCache>
            </c:numRef>
          </c:val>
          <c:extLst>
            <c:ext xmlns:c16="http://schemas.microsoft.com/office/drawing/2014/chart" uri="{C3380CC4-5D6E-409C-BE32-E72D297353CC}">
              <c16:uniqueId val="{00000000-37DC-4386-986E-0995D75C921D}"/>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3899562554680664"/>
          <c:y val="0.23778871391076115"/>
          <c:w val="0.25822659667541553"/>
          <c:h val="0.65625109361329848"/>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 .xlsx]Descriptive Analys!PivotTable18</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t>Gender by Metobolic</a:t>
            </a:r>
            <a:r>
              <a:rPr lang="en-US" baseline="0"/>
              <a:t> Syndrome</a:t>
            </a:r>
            <a:endParaRPr lang="en-US"/>
          </a:p>
        </c:rich>
      </c:tx>
      <c:layout>
        <c:manualLayout>
          <c:xMode val="edge"/>
          <c:yMode val="edge"/>
          <c:x val="0.25949300087489063"/>
          <c:y val="3.240740740740740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schemeClr>
                  </a:solidFill>
                  <a:latin typeface="Times" panose="020B0500000000000000" pitchFamily="34" charset="0"/>
                  <a:ea typeface="Times" panose="020B0500000000000000" pitchFamily="34" charset="0"/>
                  <a:cs typeface="Times" panose="020B0500000000000000"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675084866869649E-3"/>
          <c:y val="0.17634259259259263"/>
          <c:w val="0.84455118110236216"/>
          <c:h val="0.72088764946048411"/>
        </c:manualLayout>
      </c:layout>
      <c:barChart>
        <c:barDir val="col"/>
        <c:grouping val="clustered"/>
        <c:varyColors val="0"/>
        <c:ser>
          <c:idx val="0"/>
          <c:order val="0"/>
          <c:tx>
            <c:strRef>
              <c:f>'Descriptive Analys'!$O$3:$O$4</c:f>
              <c:strCache>
                <c:ptCount val="1"/>
                <c:pt idx="0">
                  <c:v>no</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schemeClr>
                    </a:solidFill>
                    <a:latin typeface="Times" panose="020B0500000000000000" pitchFamily="34" charset="0"/>
                    <a:ea typeface="Times" panose="020B0500000000000000" pitchFamily="34" charset="0"/>
                    <a:cs typeface="Times" panose="020B0500000000000000"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'Descriptive Analys'!$N$5:$N$7</c:f>
              <c:strCache>
                <c:ptCount val="2"/>
                <c:pt idx="0">
                  <c:v>Female</c:v>
                </c:pt>
                <c:pt idx="1">
                  <c:v>Male</c:v>
                </c:pt>
              </c:strCache>
            </c:strRef>
          </c:cat>
          <c:val>
            <c:numRef>
              <c:f>'Descriptive Analys'!$O$5:$O$7</c:f>
              <c:numCache>
                <c:formatCode>0.00%</c:formatCode>
                <c:ptCount val="2"/>
                <c:pt idx="0">
                  <c:v>0.44043321299638988</c:v>
                </c:pt>
                <c:pt idx="1">
                  <c:v>0.39631336405529954</c:v>
                </c:pt>
              </c:numCache>
            </c:numRef>
          </c:val>
          <c:extLst>
            <c:ext xmlns:c16="http://schemas.microsoft.com/office/drawing/2014/chart" uri="{C3380CC4-5D6E-409C-BE32-E72D297353CC}">
              <c16:uniqueId val="{00000000-BFFF-4EF6-AF70-FB0A7011F8F9}"/>
            </c:ext>
          </c:extLst>
        </c:ser>
        <c:ser>
          <c:idx val="1"/>
          <c:order val="1"/>
          <c:tx>
            <c:strRef>
              <c:f>'Descriptive Analys'!$P$3:$P$4</c:f>
              <c:strCache>
                <c:ptCount val="1"/>
                <c:pt idx="0">
                  <c:v>yes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'Descriptive Analys'!$N$5:$N$7</c:f>
              <c:strCache>
                <c:ptCount val="2"/>
                <c:pt idx="0">
                  <c:v>Female</c:v>
                </c:pt>
                <c:pt idx="1">
                  <c:v>Male</c:v>
                </c:pt>
              </c:strCache>
            </c:strRef>
          </c:cat>
          <c:val>
            <c:numRef>
              <c:f>'Descriptive Analys'!$P$5:$P$7</c:f>
              <c:numCache>
                <c:formatCode>0.00%</c:formatCode>
                <c:ptCount val="2"/>
                <c:pt idx="0">
                  <c:v>0.55956678700361007</c:v>
                </c:pt>
                <c:pt idx="1">
                  <c:v>0.60368663594470051</c:v>
                </c:pt>
              </c:numCache>
            </c:numRef>
          </c:val>
          <c:extLst>
            <c:ext xmlns:c16="http://schemas.microsoft.com/office/drawing/2014/chart" uri="{C3380CC4-5D6E-409C-BE32-E72D297353CC}">
              <c16:uniqueId val="{00000001-BFFF-4EF6-AF70-FB0A7011F8F9}"/>
            </c:ext>
          </c:extLst>
        </c:ser>
        <c:dLbls>
          <c:dLblPos val="outEnd"/>
          <c:showLegendKey val="0"/>
          <c:showVal val="1"/>
          <c:showCatName val="0"/>
          <c:showSerName val="0"/>
          <c:showPercent val="0"/>
          <c:showBubbleSize val="0"/>
        </c:dLbls>
        <c:gapWidth val="219"/>
        <c:overlap val="-27"/>
        <c:axId val="1804486895"/>
        <c:axId val="1819348175"/>
      </c:barChart>
      <c:catAx>
        <c:axId val="180448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Times" panose="020B0500000000000000" pitchFamily="34" charset="0"/>
                <a:ea typeface="Times" panose="020B0500000000000000" pitchFamily="34" charset="0"/>
                <a:cs typeface="Times" panose="020B0500000000000000" pitchFamily="34" charset="0"/>
              </a:defRPr>
            </a:pPr>
            <a:endParaRPr lang="en-US"/>
          </a:p>
        </c:txPr>
        <c:crossAx val="1819348175"/>
        <c:crosses val="autoZero"/>
        <c:auto val="1"/>
        <c:lblAlgn val="ctr"/>
        <c:lblOffset val="100"/>
        <c:noMultiLvlLbl val="0"/>
      </c:catAx>
      <c:valAx>
        <c:axId val="1819348175"/>
        <c:scaling>
          <c:orientation val="minMax"/>
        </c:scaling>
        <c:delete val="1"/>
        <c:axPos val="l"/>
        <c:numFmt formatCode="0.00%" sourceLinked="1"/>
        <c:majorTickMark val="none"/>
        <c:minorTickMark val="none"/>
        <c:tickLblPos val="nextTo"/>
        <c:crossAx val="1804486895"/>
        <c:crosses val="autoZero"/>
        <c:crossBetween val="between"/>
      </c:valAx>
      <c:spPr>
        <a:noFill/>
        <a:ln>
          <a:noFill/>
        </a:ln>
        <a:effectLst/>
      </c:spPr>
    </c:plotArea>
    <c:legend>
      <c:legendPos val="r"/>
      <c:layout>
        <c:manualLayout>
          <c:xMode val="edge"/>
          <c:yMode val="edge"/>
          <c:x val="0.88899562554680667"/>
          <c:y val="0.42187445319335082"/>
          <c:w val="9.433770778652667E-2"/>
          <c:h val="0.341436278798483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 .xlsx]Descriptive Analys!PivotTable5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2"/>
                </a:solidFill>
                <a:latin typeface="Times" panose="020B0500000000000000" pitchFamily="34" charset="0"/>
                <a:ea typeface="Times" panose="020B0500000000000000" pitchFamily="34" charset="0"/>
                <a:cs typeface="Times" panose="020B0500000000000000" pitchFamily="34" charset="0"/>
              </a:rPr>
              <a:t>Smoking</a:t>
            </a:r>
            <a:r>
              <a:rPr lang="en-US" sz="1200" b="1" baseline="0">
                <a:solidFill>
                  <a:schemeClr val="tx2"/>
                </a:solidFill>
                <a:latin typeface="Times" panose="020B0500000000000000" pitchFamily="34" charset="0"/>
                <a:ea typeface="Times" panose="020B0500000000000000" pitchFamily="34" charset="0"/>
                <a:cs typeface="Times" panose="020B0500000000000000" pitchFamily="34" charset="0"/>
              </a:rPr>
              <a:t>  by Metobolic Syndrome</a:t>
            </a:r>
            <a:endParaRPr lang="en-US" sz="1200" b="1">
              <a:solidFill>
                <a:schemeClr val="tx2"/>
              </a:solidFill>
              <a:latin typeface="Times" panose="020B0500000000000000" pitchFamily="34" charset="0"/>
              <a:ea typeface="Times" panose="020B0500000000000000" pitchFamily="34" charset="0"/>
              <a:cs typeface="Times" panose="020B0500000000000000" pitchFamily="34" charset="0"/>
            </a:endParaRPr>
          </a:p>
        </c:rich>
      </c:tx>
      <c:layout>
        <c:manualLayout>
          <c:xMode val="edge"/>
          <c:yMode val="edge"/>
          <c:x val="0.27854155730533681"/>
          <c:y val="1.74978127734033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20603674540683"/>
          <c:y val="0.25117855059784194"/>
          <c:w val="0.58848140857392828"/>
          <c:h val="0.64142206182560513"/>
        </c:manualLayout>
      </c:layout>
      <c:barChart>
        <c:barDir val="bar"/>
        <c:grouping val="clustered"/>
        <c:varyColors val="0"/>
        <c:ser>
          <c:idx val="0"/>
          <c:order val="0"/>
          <c:tx>
            <c:strRef>
              <c:f>'Descriptive Analys'!$K$13:$K$14</c:f>
              <c:strCache>
                <c:ptCount val="1"/>
                <c:pt idx="0">
                  <c:v>No</c:v>
                </c:pt>
              </c:strCache>
            </c:strRef>
          </c:tx>
          <c:spPr>
            <a:solidFill>
              <a:schemeClr val="accent1"/>
            </a:solidFill>
            <a:ln>
              <a:noFill/>
            </a:ln>
            <a:effectLst/>
          </c:spPr>
          <c:invertIfNegative val="0"/>
          <c:cat>
            <c:strRef>
              <c:f>'Descriptive Analys'!$J$15:$J$17</c:f>
              <c:strCache>
                <c:ptCount val="2"/>
                <c:pt idx="0">
                  <c:v>no</c:v>
                </c:pt>
                <c:pt idx="1">
                  <c:v>yes</c:v>
                </c:pt>
              </c:strCache>
            </c:strRef>
          </c:cat>
          <c:val>
            <c:numRef>
              <c:f>'Descriptive Analys'!$K$15:$K$17</c:f>
              <c:numCache>
                <c:formatCode>0.00%</c:formatCode>
                <c:ptCount val="2"/>
                <c:pt idx="0">
                  <c:v>0.43518518518518517</c:v>
                </c:pt>
                <c:pt idx="1">
                  <c:v>0.56481481481481477</c:v>
                </c:pt>
              </c:numCache>
            </c:numRef>
          </c:val>
          <c:extLst>
            <c:ext xmlns:c16="http://schemas.microsoft.com/office/drawing/2014/chart" uri="{C3380CC4-5D6E-409C-BE32-E72D297353CC}">
              <c16:uniqueId val="{00000000-C47F-46E9-9A1F-58AEC57700DB}"/>
            </c:ext>
          </c:extLst>
        </c:ser>
        <c:ser>
          <c:idx val="1"/>
          <c:order val="1"/>
          <c:tx>
            <c:strRef>
              <c:f>'Descriptive Analys'!$L$13:$L$14</c:f>
              <c:strCache>
                <c:ptCount val="1"/>
                <c:pt idx="0">
                  <c:v>Yes</c:v>
                </c:pt>
              </c:strCache>
            </c:strRef>
          </c:tx>
          <c:spPr>
            <a:solidFill>
              <a:schemeClr val="accent2"/>
            </a:solidFill>
            <a:ln>
              <a:noFill/>
            </a:ln>
            <a:effectLst/>
          </c:spPr>
          <c:invertIfNegative val="0"/>
          <c:cat>
            <c:strRef>
              <c:f>'Descriptive Analys'!$J$15:$J$17</c:f>
              <c:strCache>
                <c:ptCount val="2"/>
                <c:pt idx="0">
                  <c:v>no</c:v>
                </c:pt>
                <c:pt idx="1">
                  <c:v>yes</c:v>
                </c:pt>
              </c:strCache>
            </c:strRef>
          </c:cat>
          <c:val>
            <c:numRef>
              <c:f>'Descriptive Analys'!$L$15:$L$17</c:f>
              <c:numCache>
                <c:formatCode>0.00%</c:formatCode>
                <c:ptCount val="2"/>
                <c:pt idx="0">
                  <c:v>0.32258064516129031</c:v>
                </c:pt>
                <c:pt idx="1">
                  <c:v>0.67741935483870963</c:v>
                </c:pt>
              </c:numCache>
            </c:numRef>
          </c:val>
          <c:extLst>
            <c:ext xmlns:c16="http://schemas.microsoft.com/office/drawing/2014/chart" uri="{C3380CC4-5D6E-409C-BE32-E72D297353CC}">
              <c16:uniqueId val="{00000003-C47F-46E9-9A1F-58AEC57700DB}"/>
            </c:ext>
          </c:extLst>
        </c:ser>
        <c:dLbls>
          <c:showLegendKey val="0"/>
          <c:showVal val="0"/>
          <c:showCatName val="0"/>
          <c:showSerName val="0"/>
          <c:showPercent val="0"/>
          <c:showBubbleSize val="0"/>
        </c:dLbls>
        <c:gapWidth val="182"/>
        <c:axId val="1905699775"/>
        <c:axId val="1819299215"/>
      </c:barChart>
      <c:catAx>
        <c:axId val="1905699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9299215"/>
        <c:crosses val="autoZero"/>
        <c:auto val="1"/>
        <c:lblAlgn val="ctr"/>
        <c:lblOffset val="100"/>
        <c:noMultiLvlLbl val="0"/>
      </c:catAx>
      <c:valAx>
        <c:axId val="1819299215"/>
        <c:scaling>
          <c:orientation val="minMax"/>
        </c:scaling>
        <c:delete val="1"/>
        <c:axPos val="b"/>
        <c:numFmt formatCode="0.00%" sourceLinked="1"/>
        <c:majorTickMark val="none"/>
        <c:minorTickMark val="none"/>
        <c:tickLblPos val="nextTo"/>
        <c:crossAx val="190569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 .xlsx]Descriptive Analys!PivotTable21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'Descriptive Analys'!$O$21:$O$22</c:f>
              <c:strCache>
                <c:ptCount val="1"/>
                <c:pt idx="0">
                  <c:v>no</c:v>
                </c:pt>
              </c:strCache>
            </c:strRef>
          </c:tx>
          <c:spPr>
            <a:solidFill>
              <a:schemeClr val="accent1"/>
            </a:solidFill>
            <a:ln>
              <a:noFill/>
            </a:ln>
            <a:effectLst/>
          </c:spPr>
          <c:invertIfNegative val="0"/>
          <c:cat>
            <c:strRef>
              <c:f>'Descriptive Analys'!$N$23:$N$26</c:f>
              <c:strCache>
                <c:ptCount val="3"/>
                <c:pt idx="0">
                  <c:v>High</c:v>
                </c:pt>
                <c:pt idx="1">
                  <c:v>Low</c:v>
                </c:pt>
                <c:pt idx="2">
                  <c:v>Moderate</c:v>
                </c:pt>
              </c:strCache>
            </c:strRef>
          </c:cat>
          <c:val>
            <c:numRef>
              <c:f>'Descriptive Analys'!$O$23:$O$26</c:f>
              <c:numCache>
                <c:formatCode>0.00%</c:formatCode>
                <c:ptCount val="3"/>
                <c:pt idx="0">
                  <c:v>0.4</c:v>
                </c:pt>
                <c:pt idx="1">
                  <c:v>0.42679900744416871</c:v>
                </c:pt>
                <c:pt idx="2">
                  <c:v>0.39344262295081966</c:v>
                </c:pt>
              </c:numCache>
            </c:numRef>
          </c:val>
          <c:extLst>
            <c:ext xmlns:c16="http://schemas.microsoft.com/office/drawing/2014/chart" uri="{C3380CC4-5D6E-409C-BE32-E72D297353CC}">
              <c16:uniqueId val="{00000000-6419-4E92-8810-68179A564D84}"/>
            </c:ext>
          </c:extLst>
        </c:ser>
        <c:ser>
          <c:idx val="1"/>
          <c:order val="1"/>
          <c:tx>
            <c:strRef>
              <c:f>'Descriptive Analys'!$P$21:$P$22</c:f>
              <c:strCache>
                <c:ptCount val="1"/>
                <c:pt idx="0">
                  <c:v>yes</c:v>
                </c:pt>
              </c:strCache>
            </c:strRef>
          </c:tx>
          <c:spPr>
            <a:solidFill>
              <a:schemeClr val="accent2"/>
            </a:solidFill>
            <a:ln>
              <a:noFill/>
            </a:ln>
            <a:effectLst/>
          </c:spPr>
          <c:invertIfNegative val="0"/>
          <c:cat>
            <c:strRef>
              <c:f>'Descriptive Analys'!$N$23:$N$26</c:f>
              <c:strCache>
                <c:ptCount val="3"/>
                <c:pt idx="0">
                  <c:v>High</c:v>
                </c:pt>
                <c:pt idx="1">
                  <c:v>Low</c:v>
                </c:pt>
                <c:pt idx="2">
                  <c:v>Moderate</c:v>
                </c:pt>
              </c:strCache>
            </c:strRef>
          </c:cat>
          <c:val>
            <c:numRef>
              <c:f>'Descriptive Analys'!$P$23:$P$26</c:f>
              <c:numCache>
                <c:formatCode>0.00%</c:formatCode>
                <c:ptCount val="3"/>
                <c:pt idx="0">
                  <c:v>0.6</c:v>
                </c:pt>
                <c:pt idx="1">
                  <c:v>0.57320099255583123</c:v>
                </c:pt>
                <c:pt idx="2">
                  <c:v>0.60655737704918034</c:v>
                </c:pt>
              </c:numCache>
            </c:numRef>
          </c:val>
          <c:extLst>
            <c:ext xmlns:c16="http://schemas.microsoft.com/office/drawing/2014/chart" uri="{C3380CC4-5D6E-409C-BE32-E72D297353CC}">
              <c16:uniqueId val="{00000001-6419-4E92-8810-68179A564D84}"/>
            </c:ext>
          </c:extLst>
        </c:ser>
        <c:dLbls>
          <c:showLegendKey val="0"/>
          <c:showVal val="0"/>
          <c:showCatName val="0"/>
          <c:showSerName val="0"/>
          <c:showPercent val="0"/>
          <c:showBubbleSize val="0"/>
        </c:dLbls>
        <c:gapWidth val="219"/>
        <c:overlap val="-27"/>
        <c:axId val="101484720"/>
        <c:axId val="1819320335"/>
      </c:barChart>
      <c:catAx>
        <c:axId val="10148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9320335"/>
        <c:crosses val="autoZero"/>
        <c:auto val="1"/>
        <c:lblAlgn val="ctr"/>
        <c:lblOffset val="100"/>
        <c:noMultiLvlLbl val="0"/>
      </c:catAx>
      <c:valAx>
        <c:axId val="18193203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84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 .xlsx]Descriptive Analys!PivotTable26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'Descriptive Analys'!$U$23</c:f>
              <c:strCache>
                <c:ptCount val="1"/>
                <c:pt idx="0">
                  <c:v>Total</c:v>
                </c:pt>
              </c:strCache>
            </c:strRef>
          </c:tx>
          <c:spPr>
            <a:solidFill>
              <a:schemeClr val="accent1"/>
            </a:solidFill>
            <a:ln>
              <a:noFill/>
            </a:ln>
            <a:effectLst/>
          </c:spPr>
          <c:invertIfNegative val="0"/>
          <c:cat>
            <c:multiLvlStrRef>
              <c:f>'Descriptive Analys'!$S$24:$T$30</c:f>
              <c:multiLvlStrCache>
                <c:ptCount val="4"/>
                <c:lvl>
                  <c:pt idx="0">
                    <c:v>No</c:v>
                  </c:pt>
                  <c:pt idx="1">
                    <c:v>Yes</c:v>
                  </c:pt>
                  <c:pt idx="2">
                    <c:v>No</c:v>
                  </c:pt>
                  <c:pt idx="3">
                    <c:v>Yes</c:v>
                  </c:pt>
                </c:lvl>
                <c:lvl>
                  <c:pt idx="0">
                    <c:v>no</c:v>
                  </c:pt>
                  <c:pt idx="2">
                    <c:v>yes</c:v>
                  </c:pt>
                </c:lvl>
              </c:multiLvlStrCache>
            </c:multiLvlStrRef>
          </c:cat>
          <c:val>
            <c:numRef>
              <c:f>'Descriptive Analys'!$U$24:$U$30</c:f>
              <c:numCache>
                <c:formatCode>0.00%</c:formatCode>
                <c:ptCount val="4"/>
                <c:pt idx="0">
                  <c:v>0.35020242914979755</c:v>
                </c:pt>
                <c:pt idx="1">
                  <c:v>7.08502024291498E-2</c:v>
                </c:pt>
                <c:pt idx="2">
                  <c:v>0.47570850202429149</c:v>
                </c:pt>
                <c:pt idx="3">
                  <c:v>0.10323886639676114</c:v>
                </c:pt>
              </c:numCache>
            </c:numRef>
          </c:val>
          <c:extLst>
            <c:ext xmlns:c16="http://schemas.microsoft.com/office/drawing/2014/chart" uri="{C3380CC4-5D6E-409C-BE32-E72D297353CC}">
              <c16:uniqueId val="{00000000-90B3-4794-83E5-540C2D263738}"/>
            </c:ext>
          </c:extLst>
        </c:ser>
        <c:dLbls>
          <c:showLegendKey val="0"/>
          <c:showVal val="0"/>
          <c:showCatName val="0"/>
          <c:showSerName val="0"/>
          <c:showPercent val="0"/>
          <c:showBubbleSize val="0"/>
        </c:dLbls>
        <c:gapWidth val="150"/>
        <c:overlap val="100"/>
        <c:axId val="101693056"/>
        <c:axId val="1819340975"/>
      </c:barChart>
      <c:catAx>
        <c:axId val="101693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9340975"/>
        <c:crosses val="autoZero"/>
        <c:auto val="1"/>
        <c:lblAlgn val="ctr"/>
        <c:lblOffset val="100"/>
        <c:noMultiLvlLbl val="0"/>
      </c:catAx>
      <c:valAx>
        <c:axId val="181934097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93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 .xlsx]Descriptive Analys!PivotTable1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baseline="0">
                <a:solidFill>
                  <a:schemeClr val="tx2"/>
                </a:solidFill>
              </a:rPr>
              <a:t>Metabolic Syndrome by Khat Use</a:t>
            </a:r>
            <a:endParaRPr lang="en-US" sz="1200"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650481189851265E-2"/>
          <c:y val="0.16041666666666668"/>
          <c:w val="0.77020581802274712"/>
          <c:h val="0.80254629629629626"/>
        </c:manualLayout>
      </c:layout>
      <c:barChart>
        <c:barDir val="bar"/>
        <c:grouping val="clustered"/>
        <c:varyColors val="0"/>
        <c:ser>
          <c:idx val="0"/>
          <c:order val="0"/>
          <c:tx>
            <c:strRef>
              <c:f>'Descriptive Analys'!$AA$1:$AA$2</c:f>
              <c:strCache>
                <c:ptCount val="1"/>
                <c:pt idx="0">
                  <c:v>Mets</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'Descriptive Analys'!$Z$3:$Z$5</c:f>
              <c:strCache>
                <c:ptCount val="2"/>
                <c:pt idx="0">
                  <c:v>No</c:v>
                </c:pt>
                <c:pt idx="1">
                  <c:v>Yes</c:v>
                </c:pt>
              </c:strCache>
            </c:strRef>
          </c:cat>
          <c:val>
            <c:numRef>
              <c:f>'Descriptive Analys'!$AA$3:$AA$5</c:f>
              <c:numCache>
                <c:formatCode>0.00%</c:formatCode>
                <c:ptCount val="2"/>
                <c:pt idx="0">
                  <c:v>0.5759803921568627</c:v>
                </c:pt>
                <c:pt idx="1">
                  <c:v>0.59302325581395354</c:v>
                </c:pt>
              </c:numCache>
            </c:numRef>
          </c:val>
          <c:extLst>
            <c:ext xmlns:c16="http://schemas.microsoft.com/office/drawing/2014/chart" uri="{C3380CC4-5D6E-409C-BE32-E72D297353CC}">
              <c16:uniqueId val="{00000000-26E9-4A88-967A-A37627473DD2}"/>
            </c:ext>
          </c:extLst>
        </c:ser>
        <c:ser>
          <c:idx val="1"/>
          <c:order val="1"/>
          <c:tx>
            <c:strRef>
              <c:f>'Descriptive Analys'!$AB$1:$AB$2</c:f>
              <c:strCache>
                <c:ptCount val="1"/>
                <c:pt idx="0">
                  <c:v>No Mets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'Descriptive Analys'!$Z$3:$Z$5</c:f>
              <c:strCache>
                <c:ptCount val="2"/>
                <c:pt idx="0">
                  <c:v>No</c:v>
                </c:pt>
                <c:pt idx="1">
                  <c:v>Yes</c:v>
                </c:pt>
              </c:strCache>
            </c:strRef>
          </c:cat>
          <c:val>
            <c:numRef>
              <c:f>'Descriptive Analys'!$AB$3:$AB$5</c:f>
              <c:numCache>
                <c:formatCode>0.00%</c:formatCode>
                <c:ptCount val="2"/>
                <c:pt idx="0">
                  <c:v>0.42401960784313725</c:v>
                </c:pt>
                <c:pt idx="1">
                  <c:v>0.40697674418604651</c:v>
                </c:pt>
              </c:numCache>
            </c:numRef>
          </c:val>
          <c:extLst>
            <c:ext xmlns:c16="http://schemas.microsoft.com/office/drawing/2014/chart" uri="{C3380CC4-5D6E-409C-BE32-E72D297353CC}">
              <c16:uniqueId val="{00000001-26E9-4A88-967A-A37627473DD2}"/>
            </c:ext>
          </c:extLst>
        </c:ser>
        <c:dLbls>
          <c:dLblPos val="inEnd"/>
          <c:showLegendKey val="0"/>
          <c:showVal val="1"/>
          <c:showCatName val="0"/>
          <c:showSerName val="0"/>
          <c:showPercent val="0"/>
          <c:showBubbleSize val="0"/>
        </c:dLbls>
        <c:gapWidth val="182"/>
        <c:axId val="1364545552"/>
        <c:axId val="1360190768"/>
      </c:barChart>
      <c:catAx>
        <c:axId val="1364545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2"/>
                </a:solidFill>
                <a:latin typeface="+mn-lt"/>
                <a:ea typeface="+mn-ea"/>
                <a:cs typeface="+mn-cs"/>
              </a:defRPr>
            </a:pPr>
            <a:endParaRPr lang="en-US"/>
          </a:p>
        </c:txPr>
        <c:crossAx val="1360190768"/>
        <c:crosses val="autoZero"/>
        <c:auto val="1"/>
        <c:lblAlgn val="ctr"/>
        <c:lblOffset val="100"/>
        <c:noMultiLvlLbl val="0"/>
      </c:catAx>
      <c:valAx>
        <c:axId val="1360190768"/>
        <c:scaling>
          <c:orientation val="minMax"/>
        </c:scaling>
        <c:delete val="1"/>
        <c:axPos val="b"/>
        <c:numFmt formatCode="0.00%" sourceLinked="1"/>
        <c:majorTickMark val="none"/>
        <c:minorTickMark val="none"/>
        <c:tickLblPos val="nextTo"/>
        <c:crossAx val="1364545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 .xlsx]Descriptive Analys!PivotTable4</c:name>
    <c:fmtId val="0"/>
  </c:pivotSource>
  <c:chart>
    <c:autoTitleDeleted val="0"/>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'Descriptive Analys'!$AA$7:$AA$8</c:f>
              <c:strCache>
                <c:ptCount val="1"/>
                <c:pt idx="0">
                  <c:v>no</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'Descriptive Analys'!$Z$9:$Z$14</c:f>
              <c:strCache>
                <c:ptCount val="5"/>
                <c:pt idx="0">
                  <c:v>Far too little</c:v>
                </c:pt>
                <c:pt idx="1">
                  <c:v>Far too much</c:v>
                </c:pt>
                <c:pt idx="2">
                  <c:v>Just right amount</c:v>
                </c:pt>
                <c:pt idx="3">
                  <c:v>Too little</c:v>
                </c:pt>
                <c:pt idx="4">
                  <c:v>Too much</c:v>
                </c:pt>
              </c:strCache>
            </c:strRef>
          </c:cat>
          <c:val>
            <c:numRef>
              <c:f>'Descriptive Analys'!$AA$9:$AA$14</c:f>
              <c:numCache>
                <c:formatCode>0.00%</c:formatCode>
                <c:ptCount val="5"/>
                <c:pt idx="0">
                  <c:v>0.6</c:v>
                </c:pt>
                <c:pt idx="1">
                  <c:v>0.2</c:v>
                </c:pt>
                <c:pt idx="2">
                  <c:v>0.40601503759398494</c:v>
                </c:pt>
                <c:pt idx="3">
                  <c:v>0.44961240310077522</c:v>
                </c:pt>
                <c:pt idx="4">
                  <c:v>0.42696629213483145</c:v>
                </c:pt>
              </c:numCache>
            </c:numRef>
          </c:val>
          <c:extLst>
            <c:ext xmlns:c16="http://schemas.microsoft.com/office/drawing/2014/chart" uri="{C3380CC4-5D6E-409C-BE32-E72D297353CC}">
              <c16:uniqueId val="{00000000-9E07-405D-9CD0-6B6C06155FF1}"/>
            </c:ext>
          </c:extLst>
        </c:ser>
        <c:ser>
          <c:idx val="1"/>
          <c:order val="1"/>
          <c:tx>
            <c:strRef>
              <c:f>'Descriptive Analys'!$AB$7:$AB$8</c:f>
              <c:strCache>
                <c:ptCount val="1"/>
                <c:pt idx="0">
                  <c:v>yes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'Descriptive Analys'!$Z$9:$Z$14</c:f>
              <c:strCache>
                <c:ptCount val="5"/>
                <c:pt idx="0">
                  <c:v>Far too little</c:v>
                </c:pt>
                <c:pt idx="1">
                  <c:v>Far too much</c:v>
                </c:pt>
                <c:pt idx="2">
                  <c:v>Just right amount</c:v>
                </c:pt>
                <c:pt idx="3">
                  <c:v>Too little</c:v>
                </c:pt>
                <c:pt idx="4">
                  <c:v>Too much</c:v>
                </c:pt>
              </c:strCache>
            </c:strRef>
          </c:cat>
          <c:val>
            <c:numRef>
              <c:f>'Descriptive Analys'!$AB$9:$AB$14</c:f>
              <c:numCache>
                <c:formatCode>0.00%</c:formatCode>
                <c:ptCount val="5"/>
                <c:pt idx="0">
                  <c:v>0.4</c:v>
                </c:pt>
                <c:pt idx="1">
                  <c:v>0.8</c:v>
                </c:pt>
                <c:pt idx="2">
                  <c:v>0.59398496240601506</c:v>
                </c:pt>
                <c:pt idx="3">
                  <c:v>0.55038759689922478</c:v>
                </c:pt>
                <c:pt idx="4">
                  <c:v>0.5730337078651685</c:v>
                </c:pt>
              </c:numCache>
            </c:numRef>
          </c:val>
          <c:extLst>
            <c:ext xmlns:c16="http://schemas.microsoft.com/office/drawing/2014/chart" uri="{C3380CC4-5D6E-409C-BE32-E72D297353CC}">
              <c16:uniqueId val="{00000001-9E07-405D-9CD0-6B6C06155FF1}"/>
            </c:ext>
          </c:extLst>
        </c:ser>
        <c:dLbls>
          <c:dLblPos val="outEnd"/>
          <c:showLegendKey val="0"/>
          <c:showVal val="1"/>
          <c:showCatName val="0"/>
          <c:showSerName val="0"/>
          <c:showPercent val="0"/>
          <c:showBubbleSize val="0"/>
        </c:dLbls>
        <c:gapWidth val="219"/>
        <c:overlap val="-27"/>
        <c:axId val="151102608"/>
        <c:axId val="1360192208"/>
      </c:barChart>
      <c:catAx>
        <c:axId val="15110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360192208"/>
        <c:crosses val="autoZero"/>
        <c:auto val="1"/>
        <c:lblAlgn val="ctr"/>
        <c:lblOffset val="100"/>
        <c:noMultiLvlLbl val="0"/>
      </c:catAx>
      <c:valAx>
        <c:axId val="1360192208"/>
        <c:scaling>
          <c:orientation val="minMax"/>
        </c:scaling>
        <c:delete val="1"/>
        <c:axPos val="l"/>
        <c:numFmt formatCode="0.00%" sourceLinked="1"/>
        <c:majorTickMark val="none"/>
        <c:minorTickMark val="none"/>
        <c:tickLblPos val="nextTo"/>
        <c:crossAx val="15110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sz="1100" b="1">
                <a:solidFill>
                  <a:schemeClr val="tx2"/>
                </a:solidFill>
              </a:rPr>
              <a:t>Education Level by</a:t>
            </a:r>
            <a:r>
              <a:rPr lang="en-US" sz="1100" b="1" baseline="0">
                <a:solidFill>
                  <a:schemeClr val="tx2"/>
                </a:solidFill>
              </a:rPr>
              <a:t> BPCR  Knowledge</a:t>
            </a:r>
            <a:endParaRPr lang="en-US" b="1">
              <a:solidFill>
                <a:schemeClr val="tx2"/>
              </a:solidFill>
            </a:endParaRPr>
          </a:p>
        </c:rich>
      </c:tx>
      <c:layout>
        <c:manualLayout>
          <c:xMode val="edge"/>
          <c:yMode val="edge"/>
          <c:x val="0.19087635903588748"/>
          <c:y val="9.4594695248664869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830838558926713"/>
          <c:y val="0.15723993970927322"/>
          <c:w val="0.59054765349807103"/>
          <c:h val="0.83755422596868301"/>
        </c:manualLayout>
      </c:layout>
      <c:barChart>
        <c:barDir val="bar"/>
        <c:grouping val="clustered"/>
        <c:varyColors val="0"/>
        <c:dLbls>
          <c:dLblPos val="outEnd"/>
          <c:showLegendKey val="0"/>
          <c:showVal val="1"/>
          <c:showCatName val="0"/>
          <c:showSerName val="0"/>
          <c:showPercent val="0"/>
          <c:showBubbleSize val="0"/>
        </c:dLbls>
        <c:gapWidth val="182"/>
        <c:axId val="1558887360"/>
        <c:axId val="1786623696"/>
      </c:barChart>
      <c:catAx>
        <c:axId val="1558887360"/>
        <c:scaling>
          <c:orientation val="maxMin"/>
        </c:scaling>
        <c:delete val="1"/>
        <c:axPos val="l"/>
        <c:numFmt formatCode="General" sourceLinked="1"/>
        <c:majorTickMark val="none"/>
        <c:minorTickMark val="none"/>
        <c:tickLblPos val="nextTo"/>
        <c:crossAx val="1786623696"/>
        <c:crosses val="autoZero"/>
        <c:auto val="1"/>
        <c:lblAlgn val="ctr"/>
        <c:lblOffset val="100"/>
        <c:noMultiLvlLbl val="0"/>
      </c:catAx>
      <c:valAx>
        <c:axId val="1786623696"/>
        <c:scaling>
          <c:orientation val="minMax"/>
        </c:scaling>
        <c:delete val="1"/>
        <c:axPos val="t"/>
        <c:numFmt formatCode="General" sourceLinked="1"/>
        <c:majorTickMark val="none"/>
        <c:minorTickMark val="none"/>
        <c:tickLblPos val="nextTo"/>
        <c:crossAx val="1558887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 .xlsx]Descriptive Analys!PivotTable31</c:name>
    <c:fmtId val="5"/>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US" sz="1200" b="1">
                <a:solidFill>
                  <a:schemeClr val="tx2"/>
                </a:solidFill>
                <a:latin typeface="Times" panose="020B0500000000000000" pitchFamily="34" charset="0"/>
                <a:ea typeface="Times" panose="020B0500000000000000" pitchFamily="34" charset="0"/>
                <a:cs typeface="Times" panose="020B0500000000000000" pitchFamily="34" charset="0"/>
              </a:rPr>
              <a:t>Metobolic  Syndrome</a:t>
            </a:r>
            <a:r>
              <a:rPr lang="en-US" sz="1200" b="1" baseline="0">
                <a:solidFill>
                  <a:schemeClr val="tx2"/>
                </a:solidFill>
                <a:latin typeface="Times" panose="020B0500000000000000" pitchFamily="34" charset="0"/>
                <a:ea typeface="Times" panose="020B0500000000000000" pitchFamily="34" charset="0"/>
                <a:cs typeface="Times" panose="020B0500000000000000" pitchFamily="34" charset="0"/>
              </a:rPr>
              <a:t> Prevalence</a:t>
            </a:r>
            <a:endParaRPr lang="en-US" sz="1200" b="1">
              <a:solidFill>
                <a:schemeClr val="tx2"/>
              </a:solidFill>
              <a:latin typeface="Times" panose="020B0500000000000000" pitchFamily="34" charset="0"/>
              <a:ea typeface="Times" panose="020B0500000000000000" pitchFamily="34" charset="0"/>
              <a:cs typeface="Times" panose="020B0500000000000000"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Times" panose="020B0500000000000000" pitchFamily="34" charset="0"/>
                  <a:ea typeface="Times" panose="020B0500000000000000" pitchFamily="34" charset="0"/>
                  <a:cs typeface="Times" panose="020B0500000000000000"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Times" panose="020B0500000000000000" pitchFamily="34" charset="0"/>
                  <a:ea typeface="Times" panose="020B0500000000000000" pitchFamily="34" charset="0"/>
                  <a:cs typeface="Times" panose="020B0500000000000000"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Times" panose="020B0500000000000000" pitchFamily="34" charset="0"/>
                  <a:ea typeface="Times" panose="020B0500000000000000" pitchFamily="34" charset="0"/>
                  <a:cs typeface="Times" panose="020B0500000000000000"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s>
    <c:plotArea>
      <c:layout>
        <c:manualLayout>
          <c:layoutTarget val="inner"/>
          <c:xMode val="edge"/>
          <c:yMode val="edge"/>
          <c:x val="0.19125476461811078"/>
          <c:y val="0.23394324441477329"/>
          <c:w val="0.35593799571873919"/>
          <c:h val="0.6696184548989581"/>
        </c:manualLayout>
      </c:layout>
      <c:pieChart>
        <c:varyColors val="1"/>
        <c:ser>
          <c:idx val="0"/>
          <c:order val="0"/>
          <c:tx>
            <c:strRef>
              <c:f>'Descriptive Analys'!$F$1</c:f>
              <c:strCache>
                <c:ptCount val="1"/>
                <c:pt idx="0">
                  <c:v>Total</c:v>
                </c:pt>
              </c:strCache>
            </c:strRef>
          </c:tx>
          <c:explosion val="2"/>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554-4BE8-B5B9-DCDEEC4CC8C8}"/>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8554-4BE8-B5B9-DCDEEC4CC8C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Times" panose="020B0500000000000000" pitchFamily="34" charset="0"/>
                    <a:ea typeface="Times" panose="020B0500000000000000" pitchFamily="34" charset="0"/>
                    <a:cs typeface="Times" panose="020B0500000000000000" pitchFamily="34" charset="0"/>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'Descriptive Analys'!$E$2:$E$4</c:f>
              <c:strCache>
                <c:ptCount val="2"/>
                <c:pt idx="0">
                  <c:v>no</c:v>
                </c:pt>
                <c:pt idx="1">
                  <c:v>yes</c:v>
                </c:pt>
              </c:strCache>
            </c:strRef>
          </c:cat>
          <c:val>
            <c:numRef>
              <c:f>'Descriptive Analys'!$F$2:$F$4</c:f>
              <c:numCache>
                <c:formatCode>0.00%</c:formatCode>
                <c:ptCount val="2"/>
                <c:pt idx="0">
                  <c:v>0.42105263157894735</c:v>
                </c:pt>
                <c:pt idx="1">
                  <c:v>0.57894736842105265</c:v>
                </c:pt>
              </c:numCache>
            </c:numRef>
          </c:val>
          <c:extLst>
            <c:ext xmlns:c16="http://schemas.microsoft.com/office/drawing/2014/chart" uri="{C3380CC4-5D6E-409C-BE32-E72D297353CC}">
              <c16:uniqueId val="{00000004-8554-4BE8-B5B9-DCDEEC4CC8C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9323575592777018"/>
          <c:y val="0.35833662915233644"/>
          <c:w val="0.18560516872769051"/>
          <c:h val="0.53570336996174739"/>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 .xlsx]Descriptive Analys!PivotTable18</c:name>
    <c:fmtId val="4"/>
  </c:pivotSource>
  <c:chart>
    <c:title>
      <c:tx>
        <c:rich>
          <a:bodyPr rot="0" spcFirstLastPara="1" vertOverflow="ellipsis" vert="horz" wrap="square" anchor="ctr" anchorCtr="1"/>
          <a:lstStyle/>
          <a:p>
            <a:pPr algn="ctr">
              <a:defRPr sz="1400" b="0" i="0" u="none" strike="noStrike" kern="1200" spc="0" baseline="0">
                <a:solidFill>
                  <a:schemeClr val="tx2"/>
                </a:solidFill>
                <a:latin typeface="+mn-lt"/>
                <a:ea typeface="+mn-ea"/>
                <a:cs typeface="+mn-cs"/>
              </a:defRPr>
            </a:pPr>
            <a:r>
              <a:rPr lang="en-US" sz="1200" b="1" i="0" u="none" strike="noStrike" baseline="0">
                <a:solidFill>
                  <a:schemeClr val="tx2"/>
                </a:solidFill>
              </a:rPr>
              <a:t>Metabolic Syndrome by Gender</a:t>
            </a:r>
            <a:endParaRPr lang="en-US" sz="1100" b="1">
              <a:solidFill>
                <a:schemeClr val="tx2"/>
              </a:solidFill>
              <a:latin typeface="Times" panose="020B0500000000000000" pitchFamily="34" charset="0"/>
              <a:ea typeface="Times" panose="020B0500000000000000" pitchFamily="34" charset="0"/>
              <a:cs typeface="Times" panose="020B0500000000000000" pitchFamily="34" charset="0"/>
            </a:endParaRPr>
          </a:p>
        </c:rich>
      </c:tx>
      <c:layout>
        <c:manualLayout>
          <c:xMode val="edge"/>
          <c:yMode val="edge"/>
          <c:x val="8.3493206784864632E-2"/>
          <c:y val="3.2407641563283504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schemeClr>
                  </a:solidFill>
                  <a:latin typeface="Times" panose="020B0500000000000000" pitchFamily="34" charset="0"/>
                  <a:ea typeface="Times" panose="020B0500000000000000" pitchFamily="34" charset="0"/>
                  <a:cs typeface="Times" panose="020B0500000000000000"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schemeClr>
                  </a:solidFill>
                  <a:latin typeface="Times" panose="020B0500000000000000" pitchFamily="34" charset="0"/>
                  <a:ea typeface="Times" panose="020B0500000000000000" pitchFamily="34" charset="0"/>
                  <a:cs typeface="Times" panose="020B0500000000000000"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2">
                      <a:lumMod val="50000"/>
                    </a:schemeClr>
                  </a:solidFill>
                  <a:latin typeface="Times" panose="020B0500000000000000" pitchFamily="34" charset="0"/>
                  <a:ea typeface="Times" panose="020B0500000000000000" pitchFamily="34" charset="0"/>
                  <a:cs typeface="Times" panose="020B0500000000000000"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2">
                      <a:lumMod val="50000"/>
                    </a:schemeClr>
                  </a:solidFill>
                  <a:latin typeface="Times" panose="020B0500000000000000" pitchFamily="34" charset="0"/>
                  <a:ea typeface="Times" panose="020B0500000000000000" pitchFamily="34" charset="0"/>
                  <a:cs typeface="Times" panose="020B0500000000000000"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pivotFmt>
      <c:pivotFmt>
        <c:idx val="7"/>
        <c:spPr>
          <a:solidFill>
            <a:schemeClr val="accent6"/>
          </a:solidFill>
          <a:ln>
            <a:noFill/>
          </a:ln>
          <a:effectLst/>
        </c:spPr>
        <c:marker>
          <c:symbol val="none"/>
        </c:marker>
      </c:pivotFmt>
    </c:pivotFmts>
    <c:plotArea>
      <c:layout>
        <c:manualLayout>
          <c:layoutTarget val="inner"/>
          <c:xMode val="edge"/>
          <c:yMode val="edge"/>
          <c:x val="7.6726464489971419E-2"/>
          <c:y val="0.19002391601216753"/>
          <c:w val="0.77234600890837735"/>
          <c:h val="0.54580289641452495"/>
        </c:manualLayout>
      </c:layout>
      <c:barChart>
        <c:barDir val="col"/>
        <c:grouping val="clustered"/>
        <c:varyColors val="0"/>
        <c:ser>
          <c:idx val="0"/>
          <c:order val="0"/>
          <c:tx>
            <c:strRef>
              <c:f>'Descriptive Analys'!$O$3:$O$4</c:f>
              <c:strCache>
                <c:ptCount val="1"/>
                <c:pt idx="0">
                  <c:v>no</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2">
                        <a:lumMod val="50000"/>
                      </a:schemeClr>
                    </a:solidFill>
                    <a:latin typeface="Times" panose="020B0500000000000000" pitchFamily="34" charset="0"/>
                    <a:ea typeface="Times" panose="020B0500000000000000" pitchFamily="34" charset="0"/>
                    <a:cs typeface="Times" panose="020B0500000000000000"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'Descriptive Analys'!$N$5:$N$7</c:f>
              <c:strCache>
                <c:ptCount val="2"/>
                <c:pt idx="0">
                  <c:v>Female</c:v>
                </c:pt>
                <c:pt idx="1">
                  <c:v>Male</c:v>
                </c:pt>
              </c:strCache>
            </c:strRef>
          </c:cat>
          <c:val>
            <c:numRef>
              <c:f>'Descriptive Analys'!$O$5:$O$7</c:f>
              <c:numCache>
                <c:formatCode>0.00%</c:formatCode>
                <c:ptCount val="2"/>
                <c:pt idx="0">
                  <c:v>0.44043321299638988</c:v>
                </c:pt>
                <c:pt idx="1">
                  <c:v>0.39631336405529954</c:v>
                </c:pt>
              </c:numCache>
            </c:numRef>
          </c:val>
          <c:extLst>
            <c:ext xmlns:c16="http://schemas.microsoft.com/office/drawing/2014/chart" uri="{C3380CC4-5D6E-409C-BE32-E72D297353CC}">
              <c16:uniqueId val="{00000000-0FDB-4FBB-8AF9-8115307C5914}"/>
            </c:ext>
          </c:extLst>
        </c:ser>
        <c:ser>
          <c:idx val="1"/>
          <c:order val="1"/>
          <c:tx>
            <c:strRef>
              <c:f>'Descriptive Analys'!$P$3:$P$4</c:f>
              <c:strCache>
                <c:ptCount val="1"/>
                <c:pt idx="0">
                  <c:v>yes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2">
                        <a:lumMod val="50000"/>
                      </a:schemeClr>
                    </a:solidFill>
                    <a:latin typeface="Times" panose="020B0500000000000000" pitchFamily="34" charset="0"/>
                    <a:ea typeface="Times" panose="020B0500000000000000" pitchFamily="34" charset="0"/>
                    <a:cs typeface="Times" panose="020B0500000000000000"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'Descriptive Analys'!$N$5:$N$7</c:f>
              <c:strCache>
                <c:ptCount val="2"/>
                <c:pt idx="0">
                  <c:v>Female</c:v>
                </c:pt>
                <c:pt idx="1">
                  <c:v>Male</c:v>
                </c:pt>
              </c:strCache>
            </c:strRef>
          </c:cat>
          <c:val>
            <c:numRef>
              <c:f>'Descriptive Analys'!$P$5:$P$7</c:f>
              <c:numCache>
                <c:formatCode>0.00%</c:formatCode>
                <c:ptCount val="2"/>
                <c:pt idx="0">
                  <c:v>0.55956678700361007</c:v>
                </c:pt>
                <c:pt idx="1">
                  <c:v>0.60368663594470051</c:v>
                </c:pt>
              </c:numCache>
            </c:numRef>
          </c:val>
          <c:extLst>
            <c:ext xmlns:c16="http://schemas.microsoft.com/office/drawing/2014/chart" uri="{C3380CC4-5D6E-409C-BE32-E72D297353CC}">
              <c16:uniqueId val="{00000001-0FDB-4FBB-8AF9-8115307C5914}"/>
            </c:ext>
          </c:extLst>
        </c:ser>
        <c:dLbls>
          <c:dLblPos val="outEnd"/>
          <c:showLegendKey val="0"/>
          <c:showVal val="1"/>
          <c:showCatName val="0"/>
          <c:showSerName val="0"/>
          <c:showPercent val="0"/>
          <c:showBubbleSize val="0"/>
        </c:dLbls>
        <c:gapWidth val="219"/>
        <c:overlap val="-27"/>
        <c:axId val="1804486895"/>
        <c:axId val="1819348175"/>
      </c:barChart>
      <c:catAx>
        <c:axId val="180448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panose="020B0500000000000000" pitchFamily="34" charset="0"/>
                <a:ea typeface="Times" panose="020B0500000000000000" pitchFamily="34" charset="0"/>
                <a:cs typeface="Times" panose="020B0500000000000000" pitchFamily="34" charset="0"/>
              </a:defRPr>
            </a:pPr>
            <a:endParaRPr lang="en-US"/>
          </a:p>
        </c:txPr>
        <c:crossAx val="1819348175"/>
        <c:crosses val="autoZero"/>
        <c:auto val="1"/>
        <c:lblAlgn val="ctr"/>
        <c:lblOffset val="100"/>
        <c:noMultiLvlLbl val="0"/>
      </c:catAx>
      <c:valAx>
        <c:axId val="1819348175"/>
        <c:scaling>
          <c:orientation val="minMax"/>
        </c:scaling>
        <c:delete val="1"/>
        <c:axPos val="l"/>
        <c:numFmt formatCode="0.00%" sourceLinked="1"/>
        <c:majorTickMark val="none"/>
        <c:minorTickMark val="none"/>
        <c:tickLblPos val="nextTo"/>
        <c:crossAx val="1804486895"/>
        <c:crosses val="autoZero"/>
        <c:crossBetween val="between"/>
      </c:valAx>
      <c:spPr>
        <a:noFill/>
        <a:ln>
          <a:noFill/>
        </a:ln>
        <a:effectLst/>
      </c:spPr>
    </c:plotArea>
    <c:legend>
      <c:legendPos val="r"/>
      <c:layout>
        <c:manualLayout>
          <c:xMode val="edge"/>
          <c:yMode val="edge"/>
          <c:x val="0.88899562554680667"/>
          <c:y val="0.42187445319335082"/>
          <c:w val="9.433770778652667E-2"/>
          <c:h val="0.341436278798483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 .xlsx]Descriptive Analys!PivotTable5</c:name>
    <c:fmtId val="5"/>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US" sz="1200" b="1" i="0" u="none" strike="noStrike" baseline="0">
                <a:solidFill>
                  <a:schemeClr val="tx2"/>
                </a:solidFill>
              </a:rPr>
              <a:t>Metabolic Syndrome by Smoking Status</a:t>
            </a:r>
            <a:endParaRPr lang="en-US" sz="900" b="1">
              <a:solidFill>
                <a:schemeClr val="tx2"/>
              </a:solidFill>
              <a:latin typeface="Times" panose="020B0500000000000000" pitchFamily="34" charset="0"/>
              <a:ea typeface="Times" panose="020B0500000000000000" pitchFamily="34" charset="0"/>
              <a:cs typeface="Times" panose="020B0500000000000000" pitchFamily="34" charset="0"/>
            </a:endParaRPr>
          </a:p>
        </c:rich>
      </c:tx>
      <c:layout>
        <c:manualLayout>
          <c:xMode val="edge"/>
          <c:yMode val="edge"/>
          <c:x val="0.12228140977852699"/>
          <c:y val="1.74979825160766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panose="020B0500000000000000" pitchFamily="34" charset="0"/>
                  <a:ea typeface="Times" panose="020B0500000000000000" pitchFamily="34" charset="0"/>
                  <a:cs typeface="Times" panose="020B0500000000000000"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panose="020B0500000000000000" pitchFamily="34" charset="0"/>
                  <a:ea typeface="Times" panose="020B0500000000000000" pitchFamily="34" charset="0"/>
                  <a:cs typeface="Times" panose="020B0500000000000000"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manualLayout>
          <c:layoutTarget val="inner"/>
          <c:xMode val="edge"/>
          <c:yMode val="edge"/>
          <c:x val="0.21020603674540683"/>
          <c:y val="0.25117855059784194"/>
          <c:w val="0.58848140857392828"/>
          <c:h val="0.64142206182560513"/>
        </c:manualLayout>
      </c:layout>
      <c:barChart>
        <c:barDir val="bar"/>
        <c:grouping val="clustered"/>
        <c:varyColors val="0"/>
        <c:ser>
          <c:idx val="0"/>
          <c:order val="0"/>
          <c:tx>
            <c:strRef>
              <c:f>'Descriptive Analys'!$K$13:$K$14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panose="020B0500000000000000" pitchFamily="34" charset="0"/>
                    <a:ea typeface="Times" panose="020B0500000000000000" pitchFamily="34" charset="0"/>
                    <a:cs typeface="Times" panose="020B0500000000000000"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'Descriptive Analys'!$J$15:$J$17</c:f>
              <c:strCache>
                <c:ptCount val="2"/>
                <c:pt idx="0">
                  <c:v>no</c:v>
                </c:pt>
                <c:pt idx="1">
                  <c:v>yes</c:v>
                </c:pt>
              </c:strCache>
            </c:strRef>
          </c:cat>
          <c:val>
            <c:numRef>
              <c:f>'Descriptive Analys'!$K$15:$K$17</c:f>
              <c:numCache>
                <c:formatCode>0.00%</c:formatCode>
                <c:ptCount val="2"/>
                <c:pt idx="0">
                  <c:v>0.43518518518518517</c:v>
                </c:pt>
                <c:pt idx="1">
                  <c:v>0.56481481481481477</c:v>
                </c:pt>
              </c:numCache>
            </c:numRef>
          </c:val>
          <c:extLst>
            <c:ext xmlns:c16="http://schemas.microsoft.com/office/drawing/2014/chart" uri="{C3380CC4-5D6E-409C-BE32-E72D297353CC}">
              <c16:uniqueId val="{00000000-4BFA-4197-9877-84D409108D27}"/>
            </c:ext>
          </c:extLst>
        </c:ser>
        <c:ser>
          <c:idx val="1"/>
          <c:order val="1"/>
          <c:tx>
            <c:strRef>
              <c:f>'Descriptive Analys'!$L$13:$L$14</c:f>
              <c:strCache>
                <c:ptCount val="1"/>
                <c:pt idx="0">
                  <c:v>Yes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panose="020B0500000000000000" pitchFamily="34" charset="0"/>
                    <a:ea typeface="Times" panose="020B0500000000000000" pitchFamily="34" charset="0"/>
                    <a:cs typeface="Times" panose="020B0500000000000000"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'Descriptive Analys'!$J$15:$J$17</c:f>
              <c:strCache>
                <c:ptCount val="2"/>
                <c:pt idx="0">
                  <c:v>no</c:v>
                </c:pt>
                <c:pt idx="1">
                  <c:v>yes</c:v>
                </c:pt>
              </c:strCache>
            </c:strRef>
          </c:cat>
          <c:val>
            <c:numRef>
              <c:f>'Descriptive Analys'!$L$15:$L$17</c:f>
              <c:numCache>
                <c:formatCode>0.00%</c:formatCode>
                <c:ptCount val="2"/>
                <c:pt idx="0">
                  <c:v>0.32258064516129031</c:v>
                </c:pt>
                <c:pt idx="1">
                  <c:v>0.67741935483870963</c:v>
                </c:pt>
              </c:numCache>
            </c:numRef>
          </c:val>
          <c:extLst>
            <c:ext xmlns:c16="http://schemas.microsoft.com/office/drawing/2014/chart" uri="{C3380CC4-5D6E-409C-BE32-E72D297353CC}">
              <c16:uniqueId val="{00000003-4BFA-4197-9877-84D409108D27}"/>
            </c:ext>
          </c:extLst>
        </c:ser>
        <c:dLbls>
          <c:dLblPos val="inEnd"/>
          <c:showLegendKey val="0"/>
          <c:showVal val="1"/>
          <c:showCatName val="0"/>
          <c:showSerName val="0"/>
          <c:showPercent val="0"/>
          <c:showBubbleSize val="0"/>
        </c:dLbls>
        <c:gapWidth val="182"/>
        <c:axId val="1905699775"/>
        <c:axId val="1819299215"/>
      </c:barChart>
      <c:catAx>
        <c:axId val="1905699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819299215"/>
        <c:crosses val="autoZero"/>
        <c:auto val="1"/>
        <c:lblAlgn val="ctr"/>
        <c:lblOffset val="100"/>
        <c:noMultiLvlLbl val="0"/>
      </c:catAx>
      <c:valAx>
        <c:axId val="1819299215"/>
        <c:scaling>
          <c:orientation val="minMax"/>
        </c:scaling>
        <c:delete val="1"/>
        <c:axPos val="b"/>
        <c:numFmt formatCode="0.00%" sourceLinked="1"/>
        <c:majorTickMark val="none"/>
        <c:minorTickMark val="none"/>
        <c:tickLblPos val="nextTo"/>
        <c:crossAx val="190569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 .xlsx]Descriptive Analys!PivotTable21</c:name>
    <c:fmtId val="3"/>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US" sz="1200" b="1" i="0" u="none" strike="noStrike" baseline="0">
                <a:solidFill>
                  <a:schemeClr val="tx2"/>
                </a:solidFill>
              </a:rPr>
              <a:t>Metabolic Syndrome by Physical Exercise Level</a:t>
            </a:r>
            <a:endParaRPr lang="en-US" sz="1100" b="1">
              <a:solidFill>
                <a:schemeClr val="tx2"/>
              </a:solidFill>
            </a:endParaRPr>
          </a:p>
        </c:rich>
      </c:tx>
      <c:layout>
        <c:manualLayout>
          <c:xMode val="edge"/>
          <c:yMode val="edge"/>
          <c:x val="0.17835917439928548"/>
          <c:y val="7.822224850161279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manualLayout>
          <c:layoutTarget val="inner"/>
          <c:xMode val="edge"/>
          <c:yMode val="edge"/>
          <c:x val="6.2066959359393548E-2"/>
          <c:y val="0.11695765959032481"/>
          <c:w val="0.80748411946163412"/>
          <c:h val="0.71888032550310144"/>
        </c:manualLayout>
      </c:layout>
      <c:barChart>
        <c:barDir val="col"/>
        <c:grouping val="clustered"/>
        <c:varyColors val="0"/>
        <c:ser>
          <c:idx val="0"/>
          <c:order val="0"/>
          <c:tx>
            <c:strRef>
              <c:f>'Descriptive Analys'!$O$21:$O$22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'Descriptive Analys'!$N$23:$N$26</c:f>
              <c:strCache>
                <c:ptCount val="3"/>
                <c:pt idx="0">
                  <c:v>High</c:v>
                </c:pt>
                <c:pt idx="1">
                  <c:v>Low</c:v>
                </c:pt>
                <c:pt idx="2">
                  <c:v>Moderate</c:v>
                </c:pt>
              </c:strCache>
            </c:strRef>
          </c:cat>
          <c:val>
            <c:numRef>
              <c:f>'Descriptive Analys'!$O$23:$O$26</c:f>
              <c:numCache>
                <c:formatCode>0.00%</c:formatCode>
                <c:ptCount val="3"/>
                <c:pt idx="0">
                  <c:v>0.4</c:v>
                </c:pt>
                <c:pt idx="1">
                  <c:v>0.42679900744416871</c:v>
                </c:pt>
                <c:pt idx="2">
                  <c:v>0.39344262295081966</c:v>
                </c:pt>
              </c:numCache>
            </c:numRef>
          </c:val>
          <c:extLst>
            <c:ext xmlns:c16="http://schemas.microsoft.com/office/drawing/2014/chart" uri="{C3380CC4-5D6E-409C-BE32-E72D297353CC}">
              <c16:uniqueId val="{00000000-AB60-4199-9434-7645EE815F90}"/>
            </c:ext>
          </c:extLst>
        </c:ser>
        <c:ser>
          <c:idx val="1"/>
          <c:order val="1"/>
          <c:tx>
            <c:strRef>
              <c:f>'Descriptive Analys'!$P$21:$P$22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'Descriptive Analys'!$N$23:$N$26</c:f>
              <c:strCache>
                <c:ptCount val="3"/>
                <c:pt idx="0">
                  <c:v>High</c:v>
                </c:pt>
                <c:pt idx="1">
                  <c:v>Low</c:v>
                </c:pt>
                <c:pt idx="2">
                  <c:v>Moderate</c:v>
                </c:pt>
              </c:strCache>
            </c:strRef>
          </c:cat>
          <c:val>
            <c:numRef>
              <c:f>'Descriptive Analys'!$P$23:$P$26</c:f>
              <c:numCache>
                <c:formatCode>0.00%</c:formatCode>
                <c:ptCount val="3"/>
                <c:pt idx="0">
                  <c:v>0.6</c:v>
                </c:pt>
                <c:pt idx="1">
                  <c:v>0.57320099255583123</c:v>
                </c:pt>
                <c:pt idx="2">
                  <c:v>0.60655737704918034</c:v>
                </c:pt>
              </c:numCache>
            </c:numRef>
          </c:val>
          <c:extLst>
            <c:ext xmlns:c16="http://schemas.microsoft.com/office/drawing/2014/chart" uri="{C3380CC4-5D6E-409C-BE32-E72D297353CC}">
              <c16:uniqueId val="{00000001-AB60-4199-9434-7645EE815F90}"/>
            </c:ext>
          </c:extLst>
        </c:ser>
        <c:dLbls>
          <c:dLblPos val="outEnd"/>
          <c:showLegendKey val="0"/>
          <c:showVal val="1"/>
          <c:showCatName val="0"/>
          <c:showSerName val="0"/>
          <c:showPercent val="0"/>
          <c:showBubbleSize val="0"/>
        </c:dLbls>
        <c:gapWidth val="219"/>
        <c:overlap val="-27"/>
        <c:axId val="101484720"/>
        <c:axId val="1819320335"/>
      </c:barChart>
      <c:catAx>
        <c:axId val="10148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7030A0"/>
                </a:solidFill>
                <a:latin typeface="+mn-lt"/>
                <a:ea typeface="+mn-ea"/>
                <a:cs typeface="+mn-cs"/>
              </a:defRPr>
            </a:pPr>
            <a:endParaRPr lang="en-US"/>
          </a:p>
        </c:txPr>
        <c:crossAx val="1819320335"/>
        <c:crosses val="autoZero"/>
        <c:auto val="1"/>
        <c:lblAlgn val="ctr"/>
        <c:lblOffset val="100"/>
        <c:noMultiLvlLbl val="0"/>
      </c:catAx>
      <c:valAx>
        <c:axId val="1819320335"/>
        <c:scaling>
          <c:orientation val="minMax"/>
        </c:scaling>
        <c:delete val="1"/>
        <c:axPos val="l"/>
        <c:numFmt formatCode="0.00%" sourceLinked="1"/>
        <c:majorTickMark val="none"/>
        <c:minorTickMark val="none"/>
        <c:tickLblPos val="nextTo"/>
        <c:crossAx val="101484720"/>
        <c:crosses val="autoZero"/>
        <c:crossBetween val="between"/>
      </c:valAx>
      <c:spPr>
        <a:noFill/>
        <a:ln>
          <a:noFill/>
        </a:ln>
        <a:effectLst/>
      </c:spPr>
    </c:plotArea>
    <c:legend>
      <c:legendPos val="r"/>
      <c:layout>
        <c:manualLayout>
          <c:xMode val="edge"/>
          <c:yMode val="edge"/>
          <c:x val="0.89732895888013997"/>
          <c:y val="0.42187445319335082"/>
          <c:w val="8.6004374453193352E-2"/>
          <c:h val="0.244214056576261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 .xlsx]Descriptive Analys!PivotTable1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i="0" u="none" strike="noStrike" baseline="0">
                <a:solidFill>
                  <a:schemeClr val="tx2"/>
                </a:solidFill>
              </a:rPr>
              <a:t>Metabolic Syndrome by Khat Use</a:t>
            </a:r>
            <a:endParaRPr lang="en-US" sz="1000"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36568238612514"/>
          <c:y val="0.16041666666666668"/>
          <c:w val="0.82999250707120631"/>
          <c:h val="0.80254629629629626"/>
        </c:manualLayout>
      </c:layout>
      <c:barChart>
        <c:barDir val="bar"/>
        <c:grouping val="clustered"/>
        <c:varyColors val="0"/>
        <c:ser>
          <c:idx val="0"/>
          <c:order val="0"/>
          <c:tx>
            <c:strRef>
              <c:f>'Descriptive Analys'!$AA$1:$AA$2</c:f>
              <c:strCache>
                <c:ptCount val="1"/>
                <c:pt idx="0">
                  <c:v>Mets</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'Descriptive Analys'!$Z$3:$Z$5</c:f>
              <c:strCache>
                <c:ptCount val="2"/>
                <c:pt idx="0">
                  <c:v>No</c:v>
                </c:pt>
                <c:pt idx="1">
                  <c:v>Yes</c:v>
                </c:pt>
              </c:strCache>
            </c:strRef>
          </c:cat>
          <c:val>
            <c:numRef>
              <c:f>'Descriptive Analys'!$AA$3:$AA$5</c:f>
              <c:numCache>
                <c:formatCode>0.00%</c:formatCode>
                <c:ptCount val="2"/>
                <c:pt idx="0">
                  <c:v>0.5759803921568627</c:v>
                </c:pt>
                <c:pt idx="1">
                  <c:v>0.59302325581395354</c:v>
                </c:pt>
              </c:numCache>
            </c:numRef>
          </c:val>
          <c:extLst>
            <c:ext xmlns:c16="http://schemas.microsoft.com/office/drawing/2014/chart" uri="{C3380CC4-5D6E-409C-BE32-E72D297353CC}">
              <c16:uniqueId val="{00000000-8F0A-47C3-96F7-5F7755E29BCF}"/>
            </c:ext>
          </c:extLst>
        </c:ser>
        <c:ser>
          <c:idx val="1"/>
          <c:order val="1"/>
          <c:tx>
            <c:strRef>
              <c:f>'Descriptive Analys'!$AB$1:$AB$2</c:f>
              <c:strCache>
                <c:ptCount val="1"/>
                <c:pt idx="0">
                  <c:v>No Mets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'Descriptive Analys'!$Z$3:$Z$5</c:f>
              <c:strCache>
                <c:ptCount val="2"/>
                <c:pt idx="0">
                  <c:v>No</c:v>
                </c:pt>
                <c:pt idx="1">
                  <c:v>Yes</c:v>
                </c:pt>
              </c:strCache>
            </c:strRef>
          </c:cat>
          <c:val>
            <c:numRef>
              <c:f>'Descriptive Analys'!$AB$3:$AB$5</c:f>
              <c:numCache>
                <c:formatCode>0.00%</c:formatCode>
                <c:ptCount val="2"/>
                <c:pt idx="0">
                  <c:v>0.42401960784313725</c:v>
                </c:pt>
                <c:pt idx="1">
                  <c:v>0.40697674418604651</c:v>
                </c:pt>
              </c:numCache>
            </c:numRef>
          </c:val>
          <c:extLst>
            <c:ext xmlns:c16="http://schemas.microsoft.com/office/drawing/2014/chart" uri="{C3380CC4-5D6E-409C-BE32-E72D297353CC}">
              <c16:uniqueId val="{00000001-8F0A-47C3-96F7-5F7755E29BCF}"/>
            </c:ext>
          </c:extLst>
        </c:ser>
        <c:dLbls>
          <c:dLblPos val="inEnd"/>
          <c:showLegendKey val="0"/>
          <c:showVal val="1"/>
          <c:showCatName val="0"/>
          <c:showSerName val="0"/>
          <c:showPercent val="0"/>
          <c:showBubbleSize val="0"/>
        </c:dLbls>
        <c:gapWidth val="182"/>
        <c:axId val="1364545552"/>
        <c:axId val="1360190768"/>
      </c:barChart>
      <c:catAx>
        <c:axId val="1364545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2"/>
                </a:solidFill>
                <a:latin typeface="+mn-lt"/>
                <a:ea typeface="+mn-ea"/>
                <a:cs typeface="+mn-cs"/>
              </a:defRPr>
            </a:pPr>
            <a:endParaRPr lang="en-US"/>
          </a:p>
        </c:txPr>
        <c:crossAx val="1360190768"/>
        <c:crosses val="autoZero"/>
        <c:auto val="1"/>
        <c:lblAlgn val="ctr"/>
        <c:lblOffset val="100"/>
        <c:noMultiLvlLbl val="0"/>
      </c:catAx>
      <c:valAx>
        <c:axId val="1360190768"/>
        <c:scaling>
          <c:orientation val="minMax"/>
        </c:scaling>
        <c:delete val="1"/>
        <c:axPos val="b"/>
        <c:numFmt formatCode="0.00%" sourceLinked="1"/>
        <c:majorTickMark val="none"/>
        <c:minorTickMark val="none"/>
        <c:tickLblPos val="nextTo"/>
        <c:crossAx val="1364545552"/>
        <c:crosses val="autoZero"/>
        <c:crossBetween val="between"/>
      </c:valAx>
      <c:spPr>
        <a:noFill/>
        <a:ln>
          <a:noFill/>
        </a:ln>
        <a:effectLst/>
      </c:spPr>
    </c:plotArea>
    <c:legend>
      <c:legendPos val="r"/>
      <c:layout>
        <c:manualLayout>
          <c:xMode val="edge"/>
          <c:yMode val="edge"/>
          <c:x val="0.81054737610187255"/>
          <c:y val="0.23797639061360604"/>
          <c:w val="0.18945262389812756"/>
          <c:h val="0.4868183468547769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 .xlsx]Descriptive Analys!PivotTable4</c:name>
    <c:fmtId val="3"/>
  </c:pivotSource>
  <c:chart>
    <c:autoTitleDeleted val="0"/>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'Descriptive Analys'!$AA$7:$AA$8</c:f>
              <c:strCache>
                <c:ptCount val="1"/>
                <c:pt idx="0">
                  <c:v>no</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'Descriptive Analys'!$Z$9:$Z$14</c:f>
              <c:strCache>
                <c:ptCount val="5"/>
                <c:pt idx="0">
                  <c:v>Far too little</c:v>
                </c:pt>
                <c:pt idx="1">
                  <c:v>Far too much</c:v>
                </c:pt>
                <c:pt idx="2">
                  <c:v>Just right amount</c:v>
                </c:pt>
                <c:pt idx="3">
                  <c:v>Too little</c:v>
                </c:pt>
                <c:pt idx="4">
                  <c:v>Too much</c:v>
                </c:pt>
              </c:strCache>
            </c:strRef>
          </c:cat>
          <c:val>
            <c:numRef>
              <c:f>'Descriptive Analys'!$AA$9:$AA$14</c:f>
              <c:numCache>
                <c:formatCode>0.00%</c:formatCode>
                <c:ptCount val="5"/>
                <c:pt idx="0">
                  <c:v>0.6</c:v>
                </c:pt>
                <c:pt idx="1">
                  <c:v>0.2</c:v>
                </c:pt>
                <c:pt idx="2">
                  <c:v>0.40601503759398494</c:v>
                </c:pt>
                <c:pt idx="3">
                  <c:v>0.44961240310077522</c:v>
                </c:pt>
                <c:pt idx="4">
                  <c:v>0.42696629213483145</c:v>
                </c:pt>
              </c:numCache>
            </c:numRef>
          </c:val>
          <c:extLst>
            <c:ext xmlns:c16="http://schemas.microsoft.com/office/drawing/2014/chart" uri="{C3380CC4-5D6E-409C-BE32-E72D297353CC}">
              <c16:uniqueId val="{00000000-1952-4F56-B71E-669DA3FA549F}"/>
            </c:ext>
          </c:extLst>
        </c:ser>
        <c:ser>
          <c:idx val="1"/>
          <c:order val="1"/>
          <c:tx>
            <c:strRef>
              <c:f>'Descriptive Analys'!$AB$7:$AB$8</c:f>
              <c:strCache>
                <c:ptCount val="1"/>
                <c:pt idx="0">
                  <c:v>yes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'Descriptive Analys'!$Z$9:$Z$14</c:f>
              <c:strCache>
                <c:ptCount val="5"/>
                <c:pt idx="0">
                  <c:v>Far too little</c:v>
                </c:pt>
                <c:pt idx="1">
                  <c:v>Far too much</c:v>
                </c:pt>
                <c:pt idx="2">
                  <c:v>Just right amount</c:v>
                </c:pt>
                <c:pt idx="3">
                  <c:v>Too little</c:v>
                </c:pt>
                <c:pt idx="4">
                  <c:v>Too much</c:v>
                </c:pt>
              </c:strCache>
            </c:strRef>
          </c:cat>
          <c:val>
            <c:numRef>
              <c:f>'Descriptive Analys'!$AB$9:$AB$14</c:f>
              <c:numCache>
                <c:formatCode>0.00%</c:formatCode>
                <c:ptCount val="5"/>
                <c:pt idx="0">
                  <c:v>0.4</c:v>
                </c:pt>
                <c:pt idx="1">
                  <c:v>0.8</c:v>
                </c:pt>
                <c:pt idx="2">
                  <c:v>0.59398496240601506</c:v>
                </c:pt>
                <c:pt idx="3">
                  <c:v>0.55038759689922478</c:v>
                </c:pt>
                <c:pt idx="4">
                  <c:v>0.5730337078651685</c:v>
                </c:pt>
              </c:numCache>
            </c:numRef>
          </c:val>
          <c:extLst>
            <c:ext xmlns:c16="http://schemas.microsoft.com/office/drawing/2014/chart" uri="{C3380CC4-5D6E-409C-BE32-E72D297353CC}">
              <c16:uniqueId val="{00000001-1952-4F56-B71E-669DA3FA549F}"/>
            </c:ext>
          </c:extLst>
        </c:ser>
        <c:dLbls>
          <c:dLblPos val="outEnd"/>
          <c:showLegendKey val="0"/>
          <c:showVal val="1"/>
          <c:showCatName val="0"/>
          <c:showSerName val="0"/>
          <c:showPercent val="0"/>
          <c:showBubbleSize val="0"/>
        </c:dLbls>
        <c:gapWidth val="219"/>
        <c:overlap val="-27"/>
        <c:axId val="151102608"/>
        <c:axId val="1360192208"/>
      </c:barChart>
      <c:catAx>
        <c:axId val="15110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2"/>
                </a:solidFill>
                <a:latin typeface="+mn-lt"/>
                <a:ea typeface="+mn-ea"/>
                <a:cs typeface="+mn-cs"/>
              </a:defRPr>
            </a:pPr>
            <a:endParaRPr lang="en-US"/>
          </a:p>
        </c:txPr>
        <c:crossAx val="1360192208"/>
        <c:crosses val="autoZero"/>
        <c:auto val="1"/>
        <c:lblAlgn val="ctr"/>
        <c:lblOffset val="100"/>
        <c:noMultiLvlLbl val="0"/>
      </c:catAx>
      <c:valAx>
        <c:axId val="1360192208"/>
        <c:scaling>
          <c:orientation val="minMax"/>
        </c:scaling>
        <c:delete val="1"/>
        <c:axPos val="l"/>
        <c:numFmt formatCode="0.00%" sourceLinked="1"/>
        <c:majorTickMark val="none"/>
        <c:minorTickMark val="none"/>
        <c:tickLblPos val="nextTo"/>
        <c:crossAx val="15110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12.xml"/><Relationship Id="rId3" Type="http://schemas.openxmlformats.org/officeDocument/2006/relationships/image" Target="../media/image2.png"/><Relationship Id="rId7" Type="http://schemas.openxmlformats.org/officeDocument/2006/relationships/image" Target="../media/image5.png"/><Relationship Id="rId12" Type="http://schemas.openxmlformats.org/officeDocument/2006/relationships/chart" Target="../charts/chart11.xml"/><Relationship Id="rId2"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10.xml"/><Relationship Id="rId5" Type="http://schemas.microsoft.com/office/2007/relationships/hdphoto" Target="../media/hdphoto1.wdp"/><Relationship Id="rId15" Type="http://schemas.openxmlformats.org/officeDocument/2006/relationships/chart" Target="../charts/chart14.xml"/><Relationship Id="rId10" Type="http://schemas.openxmlformats.org/officeDocument/2006/relationships/chart" Target="../charts/chart9.xml"/><Relationship Id="rId4" Type="http://schemas.openxmlformats.org/officeDocument/2006/relationships/image" Target="../media/image3.png"/><Relationship Id="rId9" Type="http://schemas.openxmlformats.org/officeDocument/2006/relationships/image" Target="../media/image7.png"/><Relationship Id="rId1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xdr:col>
      <xdr:colOff>574708</xdr:colOff>
      <xdr:row>2</xdr:row>
      <xdr:rowOff>42719</xdr:rowOff>
    </xdr:from>
    <xdr:to>
      <xdr:col>6</xdr:col>
      <xdr:colOff>797920</xdr:colOff>
      <xdr:row>16</xdr:row>
      <xdr:rowOff>181777</xdr:rowOff>
    </xdr:to>
    <xdr:graphicFrame macro="">
      <xdr:nvGraphicFramePr>
        <xdr:cNvPr id="2" name="Chart 1">
          <a:extLst>
            <a:ext uri="{FF2B5EF4-FFF2-40B4-BE49-F238E27FC236}">
              <a16:creationId xmlns:a16="http://schemas.microsoft.com/office/drawing/2014/main" id="{8D3912D4-F4D4-6B16-B5C1-68F7B9E8DE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302104</xdr:colOff>
      <xdr:row>11</xdr:row>
      <xdr:rowOff>126104</xdr:rowOff>
    </xdr:from>
    <xdr:to>
      <xdr:col>6</xdr:col>
      <xdr:colOff>1314255</xdr:colOff>
      <xdr:row>26</xdr:row>
      <xdr:rowOff>79152</xdr:rowOff>
    </xdr:to>
    <xdr:graphicFrame macro="">
      <xdr:nvGraphicFramePr>
        <xdr:cNvPr id="3" name="Chart 2">
          <a:extLst>
            <a:ext uri="{FF2B5EF4-FFF2-40B4-BE49-F238E27FC236}">
              <a16:creationId xmlns:a16="http://schemas.microsoft.com/office/drawing/2014/main" id="{81B82629-1895-74DC-3546-44F00FB3B6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305312</xdr:colOff>
      <xdr:row>15</xdr:row>
      <xdr:rowOff>49133</xdr:rowOff>
    </xdr:from>
    <xdr:to>
      <xdr:col>8</xdr:col>
      <xdr:colOff>329686</xdr:colOff>
      <xdr:row>30</xdr:row>
      <xdr:rowOff>2182</xdr:rowOff>
    </xdr:to>
    <xdr:graphicFrame macro="">
      <xdr:nvGraphicFramePr>
        <xdr:cNvPr id="6" name="Chart 5">
          <a:extLst>
            <a:ext uri="{FF2B5EF4-FFF2-40B4-BE49-F238E27FC236}">
              <a16:creationId xmlns:a16="http://schemas.microsoft.com/office/drawing/2014/main" id="{6B514248-BE10-0821-CC23-EC1ECBBB34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138546</xdr:colOff>
      <xdr:row>17</xdr:row>
      <xdr:rowOff>49132</xdr:rowOff>
    </xdr:from>
    <xdr:to>
      <xdr:col>14</xdr:col>
      <xdr:colOff>656808</xdr:colOff>
      <xdr:row>32</xdr:row>
      <xdr:rowOff>2181</xdr:rowOff>
    </xdr:to>
    <xdr:graphicFrame macro="">
      <xdr:nvGraphicFramePr>
        <xdr:cNvPr id="9" name="Chart 8">
          <a:extLst>
            <a:ext uri="{FF2B5EF4-FFF2-40B4-BE49-F238E27FC236}">
              <a16:creationId xmlns:a16="http://schemas.microsoft.com/office/drawing/2014/main" id="{E4036845-BD91-52A1-5CDD-ABE62CB494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1228949</xdr:colOff>
      <xdr:row>19</xdr:row>
      <xdr:rowOff>55546</xdr:rowOff>
    </xdr:from>
    <xdr:to>
      <xdr:col>19</xdr:col>
      <xdr:colOff>1291808</xdr:colOff>
      <xdr:row>34</xdr:row>
      <xdr:rowOff>8594</xdr:rowOff>
    </xdr:to>
    <xdr:graphicFrame macro="">
      <xdr:nvGraphicFramePr>
        <xdr:cNvPr id="10" name="Chart 9">
          <a:extLst>
            <a:ext uri="{FF2B5EF4-FFF2-40B4-BE49-F238E27FC236}">
              <a16:creationId xmlns:a16="http://schemas.microsoft.com/office/drawing/2014/main" id="{9A6E0EE8-3860-4487-E340-CF35833547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808821</xdr:colOff>
      <xdr:row>6</xdr:row>
      <xdr:rowOff>10648</xdr:rowOff>
    </xdr:from>
    <xdr:to>
      <xdr:col>22</xdr:col>
      <xdr:colOff>576630</xdr:colOff>
      <xdr:row>20</xdr:row>
      <xdr:rowOff>149707</xdr:rowOff>
    </xdr:to>
    <xdr:graphicFrame macro="">
      <xdr:nvGraphicFramePr>
        <xdr:cNvPr id="5" name="Chart 4">
          <a:extLst>
            <a:ext uri="{FF2B5EF4-FFF2-40B4-BE49-F238E27FC236}">
              <a16:creationId xmlns:a16="http://schemas.microsoft.com/office/drawing/2014/main" id="{C9C00650-A1AB-2687-1614-23D1A7CA53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879379</xdr:colOff>
      <xdr:row>2</xdr:row>
      <xdr:rowOff>49133</xdr:rowOff>
    </xdr:from>
    <xdr:to>
      <xdr:col>26</xdr:col>
      <xdr:colOff>1609308</xdr:colOff>
      <xdr:row>17</xdr:row>
      <xdr:rowOff>2181</xdr:rowOff>
    </xdr:to>
    <xdr:graphicFrame macro="">
      <xdr:nvGraphicFramePr>
        <xdr:cNvPr id="7" name="Chart 6">
          <a:extLst>
            <a:ext uri="{FF2B5EF4-FFF2-40B4-BE49-F238E27FC236}">
              <a16:creationId xmlns:a16="http://schemas.microsoft.com/office/drawing/2014/main" id="{EB2F5F95-582D-2BD9-3818-C9F511F354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203200</xdr:colOff>
      <xdr:row>2</xdr:row>
      <xdr:rowOff>139700</xdr:rowOff>
    </xdr:from>
    <xdr:to>
      <xdr:col>15</xdr:col>
      <xdr:colOff>546100</xdr:colOff>
      <xdr:row>6</xdr:row>
      <xdr:rowOff>114300</xdr:rowOff>
    </xdr:to>
    <xdr:grpSp>
      <xdr:nvGrpSpPr>
        <xdr:cNvPr id="103" name="Group 102">
          <a:extLst>
            <a:ext uri="{FF2B5EF4-FFF2-40B4-BE49-F238E27FC236}">
              <a16:creationId xmlns:a16="http://schemas.microsoft.com/office/drawing/2014/main" id="{E7D9C3BD-1E6C-E404-8588-1DAB929D21B8}"/>
            </a:ext>
          </a:extLst>
        </xdr:cNvPr>
        <xdr:cNvGrpSpPr/>
      </xdr:nvGrpSpPr>
      <xdr:grpSpPr>
        <a:xfrm>
          <a:off x="8104414" y="502557"/>
          <a:ext cx="1558472" cy="700314"/>
          <a:chOff x="222250" y="596900"/>
          <a:chExt cx="1377950" cy="800100"/>
        </a:xfrm>
      </xdr:grpSpPr>
      <xdr:sp macro="" textlink="">
        <xdr:nvSpPr>
          <xdr:cNvPr id="104" name="Rectangle: Rounded Corners 103">
            <a:extLst>
              <a:ext uri="{FF2B5EF4-FFF2-40B4-BE49-F238E27FC236}">
                <a16:creationId xmlns:a16="http://schemas.microsoft.com/office/drawing/2014/main" id="{CC2FA08C-5584-30E7-E4BC-A78FA7C808E6}"/>
              </a:ext>
            </a:extLst>
          </xdr:cNvPr>
          <xdr:cNvSpPr/>
        </xdr:nvSpPr>
        <xdr:spPr>
          <a:xfrm>
            <a:off x="241300" y="596900"/>
            <a:ext cx="1339850" cy="723900"/>
          </a:xfrm>
          <a:prstGeom prst="roundRect">
            <a:avLst/>
          </a:prstGeom>
          <a:solidFill>
            <a:schemeClr val="tx1"/>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sp macro="" textlink="">
        <xdr:nvSpPr>
          <xdr:cNvPr id="105" name="Rectangle: Rounded Corners 104">
            <a:extLst>
              <a:ext uri="{FF2B5EF4-FFF2-40B4-BE49-F238E27FC236}">
                <a16:creationId xmlns:a16="http://schemas.microsoft.com/office/drawing/2014/main" id="{C01FEEB2-9053-2BFB-F76F-9F35AD4AA822}"/>
              </a:ext>
            </a:extLst>
          </xdr:cNvPr>
          <xdr:cNvSpPr/>
        </xdr:nvSpPr>
        <xdr:spPr>
          <a:xfrm>
            <a:off x="222250" y="673100"/>
            <a:ext cx="1377950" cy="723900"/>
          </a:xfrm>
          <a:prstGeom prst="roundRect">
            <a:avLst/>
          </a:prstGeom>
          <a:solidFill>
            <a:srgbClr val="FFFF00"/>
          </a:solidFill>
        </xdr:spPr>
        <xdr:style>
          <a:lnRef idx="1">
            <a:schemeClr val="accent4"/>
          </a:lnRef>
          <a:fillRef idx="1003">
            <a:schemeClr val="dk2"/>
          </a:fillRef>
          <a:effectRef idx="1">
            <a:schemeClr val="accent4"/>
          </a:effectRef>
          <a:fontRef idx="minor">
            <a:schemeClr val="dk1"/>
          </a:fontRef>
        </xdr:style>
        <xdr:txBody>
          <a:bodyPr vertOverflow="clip" horzOverflow="clip" rtlCol="0" anchor="t"/>
          <a:lstStyle/>
          <a:p>
            <a:pPr algn="ctr"/>
            <a:r>
              <a:rPr lang="en-US" sz="1400" b="1" i="0" u="none" strike="noStrike">
                <a:solidFill>
                  <a:schemeClr val="dk1"/>
                </a:solidFill>
                <a:effectLst/>
                <a:latin typeface="Times" panose="020B0500000000000000" pitchFamily="34" charset="0"/>
                <a:ea typeface="Times" panose="020B0500000000000000" pitchFamily="34" charset="0"/>
                <a:cs typeface="Times" panose="020B0500000000000000" pitchFamily="34" charset="0"/>
              </a:rPr>
              <a:t> </a:t>
            </a:r>
            <a:endParaRPr lang="en-US" sz="1400">
              <a:latin typeface="Times" panose="020B0500000000000000" pitchFamily="34" charset="0"/>
              <a:ea typeface="Times" panose="020B0500000000000000" pitchFamily="34" charset="0"/>
              <a:cs typeface="Times" panose="020B0500000000000000" pitchFamily="34" charset="0"/>
            </a:endParaRPr>
          </a:p>
        </xdr:txBody>
      </xdr:sp>
    </xdr:grpSp>
    <xdr:clientData/>
  </xdr:twoCellAnchor>
  <xdr:twoCellAnchor>
    <xdr:from>
      <xdr:col>9</xdr:col>
      <xdr:colOff>539750</xdr:colOff>
      <xdr:row>2</xdr:row>
      <xdr:rowOff>152400</xdr:rowOff>
    </xdr:from>
    <xdr:to>
      <xdr:col>13</xdr:col>
      <xdr:colOff>101600</xdr:colOff>
      <xdr:row>6</xdr:row>
      <xdr:rowOff>127000</xdr:rowOff>
    </xdr:to>
    <xdr:grpSp>
      <xdr:nvGrpSpPr>
        <xdr:cNvPr id="100" name="Group 99">
          <a:extLst>
            <a:ext uri="{FF2B5EF4-FFF2-40B4-BE49-F238E27FC236}">
              <a16:creationId xmlns:a16="http://schemas.microsoft.com/office/drawing/2014/main" id="{0448AFDE-7313-0983-2900-BB4CBB3DC316}"/>
            </a:ext>
          </a:extLst>
        </xdr:cNvPr>
        <xdr:cNvGrpSpPr/>
      </xdr:nvGrpSpPr>
      <xdr:grpSpPr>
        <a:xfrm>
          <a:off x="6009821" y="515257"/>
          <a:ext cx="1992993" cy="700314"/>
          <a:chOff x="222250" y="596900"/>
          <a:chExt cx="1377950" cy="800100"/>
        </a:xfrm>
      </xdr:grpSpPr>
      <xdr:sp macro="" textlink="">
        <xdr:nvSpPr>
          <xdr:cNvPr id="101" name="Rectangle: Rounded Corners 100">
            <a:extLst>
              <a:ext uri="{FF2B5EF4-FFF2-40B4-BE49-F238E27FC236}">
                <a16:creationId xmlns:a16="http://schemas.microsoft.com/office/drawing/2014/main" id="{C9241B1D-6495-A688-8DAD-1C350896D43D}"/>
              </a:ext>
            </a:extLst>
          </xdr:cNvPr>
          <xdr:cNvSpPr/>
        </xdr:nvSpPr>
        <xdr:spPr>
          <a:xfrm>
            <a:off x="241300" y="596900"/>
            <a:ext cx="1339850" cy="723900"/>
          </a:xfrm>
          <a:prstGeom prst="roundRect">
            <a:avLst/>
          </a:prstGeom>
          <a:solidFill>
            <a:schemeClr val="tx1"/>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sp macro="" textlink="">
        <xdr:nvSpPr>
          <xdr:cNvPr id="102" name="Rectangle: Rounded Corners 101">
            <a:extLst>
              <a:ext uri="{FF2B5EF4-FFF2-40B4-BE49-F238E27FC236}">
                <a16:creationId xmlns:a16="http://schemas.microsoft.com/office/drawing/2014/main" id="{0A57A3ED-7566-AFFD-2540-34CBA5FDC1E8}"/>
              </a:ext>
            </a:extLst>
          </xdr:cNvPr>
          <xdr:cNvSpPr/>
        </xdr:nvSpPr>
        <xdr:spPr>
          <a:xfrm>
            <a:off x="222250" y="673100"/>
            <a:ext cx="1377950" cy="723900"/>
          </a:xfrm>
          <a:prstGeom prst="roundRect">
            <a:avLst/>
          </a:prstGeom>
          <a:solidFill>
            <a:srgbClr val="FFFF00"/>
          </a:solidFill>
        </xdr:spPr>
        <xdr:style>
          <a:lnRef idx="1">
            <a:schemeClr val="accent4"/>
          </a:lnRef>
          <a:fillRef idx="1003">
            <a:schemeClr val="dk2"/>
          </a:fillRef>
          <a:effectRef idx="1">
            <a:schemeClr val="accent4"/>
          </a:effectRef>
          <a:fontRef idx="minor">
            <a:schemeClr val="dk1"/>
          </a:fontRef>
        </xdr:style>
        <xdr:txBody>
          <a:bodyPr vertOverflow="clip" horzOverflow="clip" rtlCol="0" anchor="t"/>
          <a:lstStyle/>
          <a:p>
            <a:pPr algn="ctr"/>
            <a:r>
              <a:rPr lang="en-US" sz="1400" b="1" i="0" u="none" strike="noStrike">
                <a:solidFill>
                  <a:schemeClr val="dk1"/>
                </a:solidFill>
                <a:effectLst/>
                <a:latin typeface="Times" panose="020B0500000000000000" pitchFamily="34" charset="0"/>
                <a:ea typeface="Times" panose="020B0500000000000000" pitchFamily="34" charset="0"/>
                <a:cs typeface="Times" panose="020B0500000000000000" pitchFamily="34" charset="0"/>
              </a:rPr>
              <a:t> </a:t>
            </a:r>
            <a:endParaRPr lang="en-US" sz="1400">
              <a:latin typeface="Times" panose="020B0500000000000000" pitchFamily="34" charset="0"/>
              <a:ea typeface="Times" panose="020B0500000000000000" pitchFamily="34" charset="0"/>
              <a:cs typeface="Times" panose="020B0500000000000000" pitchFamily="34" charset="0"/>
            </a:endParaRPr>
          </a:p>
        </xdr:txBody>
      </xdr:sp>
    </xdr:grpSp>
    <xdr:clientData/>
  </xdr:twoCellAnchor>
  <xdr:twoCellAnchor>
    <xdr:from>
      <xdr:col>6</xdr:col>
      <xdr:colOff>241300</xdr:colOff>
      <xdr:row>2</xdr:row>
      <xdr:rowOff>146050</xdr:rowOff>
    </xdr:from>
    <xdr:to>
      <xdr:col>9</xdr:col>
      <xdr:colOff>374650</xdr:colOff>
      <xdr:row>6</xdr:row>
      <xdr:rowOff>101600</xdr:rowOff>
    </xdr:to>
    <xdr:grpSp>
      <xdr:nvGrpSpPr>
        <xdr:cNvPr id="97" name="Group 96">
          <a:extLst>
            <a:ext uri="{FF2B5EF4-FFF2-40B4-BE49-F238E27FC236}">
              <a16:creationId xmlns:a16="http://schemas.microsoft.com/office/drawing/2014/main" id="{5589BBA8-EF73-1A97-9BF2-A8888031CA3B}"/>
            </a:ext>
          </a:extLst>
        </xdr:cNvPr>
        <xdr:cNvGrpSpPr/>
      </xdr:nvGrpSpPr>
      <xdr:grpSpPr>
        <a:xfrm>
          <a:off x="3888014" y="508907"/>
          <a:ext cx="1956707" cy="681264"/>
          <a:chOff x="222250" y="596900"/>
          <a:chExt cx="1377950" cy="800100"/>
        </a:xfrm>
      </xdr:grpSpPr>
      <xdr:sp macro="" textlink="">
        <xdr:nvSpPr>
          <xdr:cNvPr id="98" name="Rectangle: Rounded Corners 97">
            <a:extLst>
              <a:ext uri="{FF2B5EF4-FFF2-40B4-BE49-F238E27FC236}">
                <a16:creationId xmlns:a16="http://schemas.microsoft.com/office/drawing/2014/main" id="{229DF5DB-9A27-DC41-72DB-BC6D30B9AA1B}"/>
              </a:ext>
            </a:extLst>
          </xdr:cNvPr>
          <xdr:cNvSpPr/>
        </xdr:nvSpPr>
        <xdr:spPr>
          <a:xfrm>
            <a:off x="241300" y="596900"/>
            <a:ext cx="1339850" cy="723900"/>
          </a:xfrm>
          <a:prstGeom prst="roundRect">
            <a:avLst/>
          </a:prstGeom>
          <a:solidFill>
            <a:schemeClr val="tx1"/>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sp macro="" textlink="">
        <xdr:nvSpPr>
          <xdr:cNvPr id="99" name="Rectangle: Rounded Corners 98">
            <a:extLst>
              <a:ext uri="{FF2B5EF4-FFF2-40B4-BE49-F238E27FC236}">
                <a16:creationId xmlns:a16="http://schemas.microsoft.com/office/drawing/2014/main" id="{480511E8-9B06-48BE-B301-0A219D228F9D}"/>
              </a:ext>
            </a:extLst>
          </xdr:cNvPr>
          <xdr:cNvSpPr/>
        </xdr:nvSpPr>
        <xdr:spPr>
          <a:xfrm>
            <a:off x="222250" y="673100"/>
            <a:ext cx="1377950" cy="723900"/>
          </a:xfrm>
          <a:prstGeom prst="roundRect">
            <a:avLst/>
          </a:prstGeom>
          <a:solidFill>
            <a:srgbClr val="FFFF00"/>
          </a:solidFill>
        </xdr:spPr>
        <xdr:style>
          <a:lnRef idx="1">
            <a:schemeClr val="accent4"/>
          </a:lnRef>
          <a:fillRef idx="1003">
            <a:schemeClr val="dk2"/>
          </a:fillRef>
          <a:effectRef idx="1">
            <a:schemeClr val="accent4"/>
          </a:effectRef>
          <a:fontRef idx="minor">
            <a:schemeClr val="dk1"/>
          </a:fontRef>
        </xdr:style>
        <xdr:txBody>
          <a:bodyPr vertOverflow="clip" horzOverflow="clip" rtlCol="0" anchor="t"/>
          <a:lstStyle/>
          <a:p>
            <a:pPr algn="ctr"/>
            <a:r>
              <a:rPr lang="en-US" sz="1400" b="1" i="0" u="none" strike="noStrike">
                <a:solidFill>
                  <a:schemeClr val="dk1"/>
                </a:solidFill>
                <a:effectLst/>
                <a:latin typeface="Times" panose="020B0500000000000000" pitchFamily="34" charset="0"/>
                <a:ea typeface="Times" panose="020B0500000000000000" pitchFamily="34" charset="0"/>
                <a:cs typeface="Times" panose="020B0500000000000000" pitchFamily="34" charset="0"/>
              </a:rPr>
              <a:t> </a:t>
            </a:r>
            <a:endParaRPr lang="en-US" sz="1400">
              <a:latin typeface="Times" panose="020B0500000000000000" pitchFamily="34" charset="0"/>
              <a:ea typeface="Times" panose="020B0500000000000000" pitchFamily="34" charset="0"/>
              <a:cs typeface="Times" panose="020B0500000000000000" pitchFamily="34" charset="0"/>
            </a:endParaRPr>
          </a:p>
        </xdr:txBody>
      </xdr:sp>
    </xdr:grpSp>
    <xdr:clientData/>
  </xdr:twoCellAnchor>
  <xdr:twoCellAnchor>
    <xdr:from>
      <xdr:col>2</xdr:col>
      <xdr:colOff>538844</xdr:colOff>
      <xdr:row>2</xdr:row>
      <xdr:rowOff>156936</xdr:rowOff>
    </xdr:from>
    <xdr:to>
      <xdr:col>6</xdr:col>
      <xdr:colOff>0</xdr:colOff>
      <xdr:row>6</xdr:row>
      <xdr:rowOff>76200</xdr:rowOff>
    </xdr:to>
    <xdr:grpSp>
      <xdr:nvGrpSpPr>
        <xdr:cNvPr id="94" name="Group 93">
          <a:extLst>
            <a:ext uri="{FF2B5EF4-FFF2-40B4-BE49-F238E27FC236}">
              <a16:creationId xmlns:a16="http://schemas.microsoft.com/office/drawing/2014/main" id="{3EA44869-FFD3-8D30-AD15-32CC1748E191}"/>
            </a:ext>
          </a:extLst>
        </xdr:cNvPr>
        <xdr:cNvGrpSpPr/>
      </xdr:nvGrpSpPr>
      <xdr:grpSpPr>
        <a:xfrm>
          <a:off x="1754415" y="519793"/>
          <a:ext cx="1892299" cy="644978"/>
          <a:chOff x="222250" y="596900"/>
          <a:chExt cx="1377950" cy="800100"/>
        </a:xfrm>
      </xdr:grpSpPr>
      <xdr:sp macro="" textlink="">
        <xdr:nvSpPr>
          <xdr:cNvPr id="95" name="Rectangle: Rounded Corners 94">
            <a:extLst>
              <a:ext uri="{FF2B5EF4-FFF2-40B4-BE49-F238E27FC236}">
                <a16:creationId xmlns:a16="http://schemas.microsoft.com/office/drawing/2014/main" id="{C98CAB51-70C8-A12E-1722-40E8CF87E421}"/>
              </a:ext>
            </a:extLst>
          </xdr:cNvPr>
          <xdr:cNvSpPr/>
        </xdr:nvSpPr>
        <xdr:spPr>
          <a:xfrm>
            <a:off x="241300" y="596900"/>
            <a:ext cx="1339850" cy="723900"/>
          </a:xfrm>
          <a:prstGeom prst="roundRect">
            <a:avLst/>
          </a:prstGeom>
          <a:solidFill>
            <a:schemeClr val="tx1"/>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sp macro="" textlink="">
        <xdr:nvSpPr>
          <xdr:cNvPr id="96" name="Rectangle: Rounded Corners 95">
            <a:extLst>
              <a:ext uri="{FF2B5EF4-FFF2-40B4-BE49-F238E27FC236}">
                <a16:creationId xmlns:a16="http://schemas.microsoft.com/office/drawing/2014/main" id="{CA2D5E0E-AFC2-85D8-9F3E-2507A483EE16}"/>
              </a:ext>
            </a:extLst>
          </xdr:cNvPr>
          <xdr:cNvSpPr/>
        </xdr:nvSpPr>
        <xdr:spPr>
          <a:xfrm>
            <a:off x="222250" y="673100"/>
            <a:ext cx="1377950" cy="723900"/>
          </a:xfrm>
          <a:prstGeom prst="roundRect">
            <a:avLst/>
          </a:prstGeom>
          <a:solidFill>
            <a:srgbClr val="FFFF00"/>
          </a:solidFill>
        </xdr:spPr>
        <xdr:style>
          <a:lnRef idx="1">
            <a:schemeClr val="accent4"/>
          </a:lnRef>
          <a:fillRef idx="1003">
            <a:schemeClr val="dk2"/>
          </a:fillRef>
          <a:effectRef idx="1">
            <a:schemeClr val="accent4"/>
          </a:effectRef>
          <a:fontRef idx="minor">
            <a:schemeClr val="dk1"/>
          </a:fontRef>
        </xdr:style>
        <xdr:txBody>
          <a:bodyPr vertOverflow="clip" horzOverflow="clip" rtlCol="0" anchor="t"/>
          <a:lstStyle/>
          <a:p>
            <a:pPr algn="ctr"/>
            <a:r>
              <a:rPr lang="en-US" sz="1400" b="1" i="0" u="none" strike="noStrike">
                <a:solidFill>
                  <a:schemeClr val="dk1"/>
                </a:solidFill>
                <a:effectLst/>
                <a:latin typeface="Times" panose="020B0500000000000000" pitchFamily="34" charset="0"/>
                <a:ea typeface="Times" panose="020B0500000000000000" pitchFamily="34" charset="0"/>
                <a:cs typeface="Times" panose="020B0500000000000000" pitchFamily="34" charset="0"/>
              </a:rPr>
              <a:t> </a:t>
            </a:r>
            <a:endParaRPr lang="en-US" sz="1400">
              <a:latin typeface="Times" panose="020B0500000000000000" pitchFamily="34" charset="0"/>
              <a:ea typeface="Times" panose="020B0500000000000000" pitchFamily="34" charset="0"/>
              <a:cs typeface="Times" panose="020B0500000000000000" pitchFamily="34" charset="0"/>
            </a:endParaRPr>
          </a:p>
        </xdr:txBody>
      </xdr:sp>
    </xdr:grpSp>
    <xdr:clientData/>
  </xdr:twoCellAnchor>
  <xdr:twoCellAnchor>
    <xdr:from>
      <xdr:col>16</xdr:col>
      <xdr:colOff>0</xdr:colOff>
      <xdr:row>0</xdr:row>
      <xdr:rowOff>14431</xdr:rowOff>
    </xdr:from>
    <xdr:to>
      <xdr:col>19</xdr:col>
      <xdr:colOff>283489</xdr:colOff>
      <xdr:row>26</xdr:row>
      <xdr:rowOff>63500</xdr:rowOff>
    </xdr:to>
    <xdr:sp macro="" textlink="">
      <xdr:nvSpPr>
        <xdr:cNvPr id="2" name="Rectangle: Rounded Corners 1">
          <a:extLst>
            <a:ext uri="{FF2B5EF4-FFF2-40B4-BE49-F238E27FC236}">
              <a16:creationId xmlns:a16="http://schemas.microsoft.com/office/drawing/2014/main" id="{D63F018E-2355-4597-B0A7-6779B6F9117F}"/>
            </a:ext>
          </a:extLst>
        </xdr:cNvPr>
        <xdr:cNvSpPr/>
      </xdr:nvSpPr>
      <xdr:spPr>
        <a:xfrm>
          <a:off x="9724571" y="14431"/>
          <a:ext cx="2106847" cy="4766212"/>
        </a:xfrm>
        <a:prstGeom prst="roundRect">
          <a:avLst/>
        </a:prstGeom>
        <a:ln>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59171</xdr:colOff>
      <xdr:row>7</xdr:row>
      <xdr:rowOff>36080</xdr:rowOff>
    </xdr:from>
    <xdr:to>
      <xdr:col>6</xdr:col>
      <xdr:colOff>99604</xdr:colOff>
      <xdr:row>15</xdr:row>
      <xdr:rowOff>72158</xdr:rowOff>
    </xdr:to>
    <xdr:sp macro="" textlink="">
      <xdr:nvSpPr>
        <xdr:cNvPr id="3" name="Rectangle: Rounded Corners 2">
          <a:extLst>
            <a:ext uri="{FF2B5EF4-FFF2-40B4-BE49-F238E27FC236}">
              <a16:creationId xmlns:a16="http://schemas.microsoft.com/office/drawing/2014/main" id="{93DAE95F-56F0-4021-9C77-A8026FC54205}"/>
            </a:ext>
          </a:extLst>
        </xdr:cNvPr>
        <xdr:cNvSpPr/>
      </xdr:nvSpPr>
      <xdr:spPr>
        <a:xfrm>
          <a:off x="59171" y="1349375"/>
          <a:ext cx="3677251" cy="1536988"/>
        </a:xfrm>
        <a:prstGeom prst="roundRect">
          <a:avLst/>
        </a:prstGeom>
        <a:ln>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209261</xdr:colOff>
      <xdr:row>7</xdr:row>
      <xdr:rowOff>101023</xdr:rowOff>
    </xdr:from>
    <xdr:to>
      <xdr:col>11</xdr:col>
      <xdr:colOff>85918</xdr:colOff>
      <xdr:row>15</xdr:row>
      <xdr:rowOff>115455</xdr:rowOff>
    </xdr:to>
    <xdr:sp macro="" textlink="">
      <xdr:nvSpPr>
        <xdr:cNvPr id="4" name="Rectangle: Rounded Corners 3">
          <a:extLst>
            <a:ext uri="{FF2B5EF4-FFF2-40B4-BE49-F238E27FC236}">
              <a16:creationId xmlns:a16="http://schemas.microsoft.com/office/drawing/2014/main" id="{543E964C-77A7-4D41-93AC-E01804B198C0}"/>
            </a:ext>
          </a:extLst>
        </xdr:cNvPr>
        <xdr:cNvSpPr/>
      </xdr:nvSpPr>
      <xdr:spPr>
        <a:xfrm>
          <a:off x="3846079" y="1414318"/>
          <a:ext cx="2907339" cy="1515342"/>
        </a:xfrm>
        <a:prstGeom prst="roundRect">
          <a:avLst/>
        </a:prstGeom>
        <a:ln>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224094</xdr:colOff>
      <xdr:row>7</xdr:row>
      <xdr:rowOff>86591</xdr:rowOff>
    </xdr:from>
    <xdr:to>
      <xdr:col>15</xdr:col>
      <xdr:colOff>562841</xdr:colOff>
      <xdr:row>15</xdr:row>
      <xdr:rowOff>135080</xdr:rowOff>
    </xdr:to>
    <xdr:sp macro="" textlink="">
      <xdr:nvSpPr>
        <xdr:cNvPr id="5" name="Rectangle: Rounded Corners 4">
          <a:extLst>
            <a:ext uri="{FF2B5EF4-FFF2-40B4-BE49-F238E27FC236}">
              <a16:creationId xmlns:a16="http://schemas.microsoft.com/office/drawing/2014/main" id="{FD04CF44-E103-4821-891A-2E6541059732}"/>
            </a:ext>
          </a:extLst>
        </xdr:cNvPr>
        <xdr:cNvSpPr/>
      </xdr:nvSpPr>
      <xdr:spPr>
        <a:xfrm>
          <a:off x="6891594" y="1399886"/>
          <a:ext cx="2763292" cy="1549399"/>
        </a:xfrm>
        <a:prstGeom prst="roundRect">
          <a:avLst/>
        </a:prstGeom>
        <a:ln>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88180</xdr:colOff>
      <xdr:row>16</xdr:row>
      <xdr:rowOff>50512</xdr:rowOff>
    </xdr:from>
    <xdr:to>
      <xdr:col>7</xdr:col>
      <xdr:colOff>28988</xdr:colOff>
      <xdr:row>25</xdr:row>
      <xdr:rowOff>72159</xdr:rowOff>
    </xdr:to>
    <xdr:sp macro="" textlink="">
      <xdr:nvSpPr>
        <xdr:cNvPr id="6" name="Rectangle: Rounded Corners 5">
          <a:extLst>
            <a:ext uri="{FF2B5EF4-FFF2-40B4-BE49-F238E27FC236}">
              <a16:creationId xmlns:a16="http://schemas.microsoft.com/office/drawing/2014/main" id="{9476E172-8363-414F-B7AD-9EB793FDB4DD}"/>
            </a:ext>
          </a:extLst>
        </xdr:cNvPr>
        <xdr:cNvSpPr/>
      </xdr:nvSpPr>
      <xdr:spPr>
        <a:xfrm>
          <a:off x="88180" y="3052330"/>
          <a:ext cx="4183763" cy="1710170"/>
        </a:xfrm>
        <a:prstGeom prst="roundRect">
          <a:avLst/>
        </a:prstGeom>
        <a:ln>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180189</xdr:colOff>
      <xdr:row>16</xdr:row>
      <xdr:rowOff>47627</xdr:rowOff>
    </xdr:from>
    <xdr:to>
      <xdr:col>11</xdr:col>
      <xdr:colOff>344713</xdr:colOff>
      <xdr:row>25</xdr:row>
      <xdr:rowOff>136072</xdr:rowOff>
    </xdr:to>
    <xdr:sp macro="" textlink="">
      <xdr:nvSpPr>
        <xdr:cNvPr id="7" name="Rectangle: Rounded Corners 6">
          <a:extLst>
            <a:ext uri="{FF2B5EF4-FFF2-40B4-BE49-F238E27FC236}">
              <a16:creationId xmlns:a16="http://schemas.microsoft.com/office/drawing/2014/main" id="{3069A369-9C2B-4547-897C-2138B5F770F7}"/>
            </a:ext>
          </a:extLst>
        </xdr:cNvPr>
        <xdr:cNvSpPr/>
      </xdr:nvSpPr>
      <xdr:spPr>
        <a:xfrm>
          <a:off x="4434689" y="2950484"/>
          <a:ext cx="2595667" cy="1721302"/>
        </a:xfrm>
        <a:prstGeom prst="roundRect">
          <a:avLst/>
        </a:prstGeom>
        <a:ln>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475682</xdr:colOff>
      <xdr:row>16</xdr:row>
      <xdr:rowOff>77128</xdr:rowOff>
    </xdr:from>
    <xdr:to>
      <xdr:col>15</xdr:col>
      <xdr:colOff>478144</xdr:colOff>
      <xdr:row>26</xdr:row>
      <xdr:rowOff>0</xdr:rowOff>
    </xdr:to>
    <xdr:sp macro="" textlink="">
      <xdr:nvSpPr>
        <xdr:cNvPr id="8" name="Rectangle: Rounded Corners 7">
          <a:extLst>
            <a:ext uri="{FF2B5EF4-FFF2-40B4-BE49-F238E27FC236}">
              <a16:creationId xmlns:a16="http://schemas.microsoft.com/office/drawing/2014/main" id="{B378BE89-9D40-4336-B92E-B70545A6ACF6}"/>
            </a:ext>
          </a:extLst>
        </xdr:cNvPr>
        <xdr:cNvSpPr/>
      </xdr:nvSpPr>
      <xdr:spPr>
        <a:xfrm>
          <a:off x="7161325" y="2979985"/>
          <a:ext cx="2433605" cy="1737158"/>
        </a:xfrm>
        <a:prstGeom prst="roundRect">
          <a:avLst/>
        </a:prstGeom>
        <a:ln>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15</xdr:col>
      <xdr:colOff>518366</xdr:colOff>
      <xdr:row>2</xdr:row>
      <xdr:rowOff>83457</xdr:rowOff>
    </xdr:to>
    <xdr:sp macro="" textlink="">
      <xdr:nvSpPr>
        <xdr:cNvPr id="9" name="TextBox 8">
          <a:extLst>
            <a:ext uri="{FF2B5EF4-FFF2-40B4-BE49-F238E27FC236}">
              <a16:creationId xmlns:a16="http://schemas.microsoft.com/office/drawing/2014/main" id="{31BDB3AA-35A3-4E5C-8A52-97A292D349B9}"/>
            </a:ext>
          </a:extLst>
        </xdr:cNvPr>
        <xdr:cNvSpPr txBox="1"/>
      </xdr:nvSpPr>
      <xdr:spPr>
        <a:xfrm>
          <a:off x="0" y="0"/>
          <a:ext cx="9662366" cy="451757"/>
        </a:xfrm>
        <a:prstGeom prst="rect">
          <a:avLst/>
        </a:prstGeom>
        <a:solidFill>
          <a:schemeClr val="accent4">
            <a:lumMod val="50000"/>
          </a:schemeClr>
        </a:solidFill>
        <a:ln w="9525"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tx2">
                  <a:lumMod val="50000"/>
                </a:schemeClr>
              </a:solidFill>
              <a:latin typeface="Times" panose="020B0500000000000000" pitchFamily="34" charset="0"/>
              <a:ea typeface="Times" panose="020B0500000000000000" pitchFamily="34" charset="0"/>
              <a:cs typeface="Times" panose="020B0500000000000000" pitchFamily="34" charset="0"/>
            </a:rPr>
            <a:t>            </a:t>
          </a:r>
          <a:r>
            <a:rPr lang="en-US" sz="2000" b="1">
              <a:solidFill>
                <a:schemeClr val="bg1"/>
              </a:solidFill>
              <a:latin typeface="Times" panose="020B0500000000000000" pitchFamily="34" charset="0"/>
              <a:ea typeface="Times" panose="020B0500000000000000" pitchFamily="34" charset="0"/>
              <a:cs typeface="Times" panose="020B0500000000000000" pitchFamily="34" charset="0"/>
            </a:rPr>
            <a:t>Metabolic Syndrome among Adults in Hargeisa</a:t>
          </a:r>
          <a:r>
            <a:rPr lang="en-US" sz="2000" b="1" baseline="0">
              <a:solidFill>
                <a:schemeClr val="bg1"/>
              </a:solidFill>
              <a:latin typeface="Times" panose="020B0500000000000000" pitchFamily="34" charset="0"/>
              <a:ea typeface="Times" panose="020B0500000000000000" pitchFamily="34" charset="0"/>
              <a:cs typeface="Times" panose="020B0500000000000000" pitchFamily="34" charset="0"/>
            </a:rPr>
            <a:t> Somaliland Dashboard</a:t>
          </a:r>
          <a:endParaRPr lang="en-US" sz="2000" b="1">
            <a:solidFill>
              <a:schemeClr val="bg1"/>
            </a:solidFill>
            <a:latin typeface="Times" panose="020B0500000000000000" pitchFamily="34" charset="0"/>
            <a:ea typeface="Times" panose="020B0500000000000000" pitchFamily="34" charset="0"/>
            <a:cs typeface="Times" panose="020B0500000000000000" pitchFamily="34" charset="0"/>
          </a:endParaRPr>
        </a:p>
      </xdr:txBody>
    </xdr:sp>
    <xdr:clientData/>
  </xdr:twoCellAnchor>
  <xdr:twoCellAnchor editAs="oneCell">
    <xdr:from>
      <xdr:col>15</xdr:col>
      <xdr:colOff>93824</xdr:colOff>
      <xdr:row>0</xdr:row>
      <xdr:rowOff>0</xdr:rowOff>
    </xdr:from>
    <xdr:to>
      <xdr:col>15</xdr:col>
      <xdr:colOff>474824</xdr:colOff>
      <xdr:row>2</xdr:row>
      <xdr:rowOff>7257</xdr:rowOff>
    </xdr:to>
    <xdr:pic>
      <xdr:nvPicPr>
        <xdr:cNvPr id="34" name="Picture 33" descr="Readiness - Free icons">
          <a:extLst>
            <a:ext uri="{FF2B5EF4-FFF2-40B4-BE49-F238E27FC236}">
              <a16:creationId xmlns:a16="http://schemas.microsoft.com/office/drawing/2014/main" id="{08FA5D3B-33DB-41E2-A9A5-CE10AA81D2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37824" y="0"/>
          <a:ext cx="381000" cy="375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335644</xdr:colOff>
      <xdr:row>3</xdr:row>
      <xdr:rowOff>74386</xdr:rowOff>
    </xdr:from>
    <xdr:to>
      <xdr:col>2</xdr:col>
      <xdr:colOff>361950</xdr:colOff>
      <xdr:row>5</xdr:row>
      <xdr:rowOff>100693</xdr:rowOff>
    </xdr:to>
    <xdr:sp macro="" textlink="">
      <xdr:nvSpPr>
        <xdr:cNvPr id="35" name="TextBox 34">
          <a:extLst>
            <a:ext uri="{FF2B5EF4-FFF2-40B4-BE49-F238E27FC236}">
              <a16:creationId xmlns:a16="http://schemas.microsoft.com/office/drawing/2014/main" id="{D2F43F9A-2A23-42C7-9877-05965D5078E5}"/>
            </a:ext>
          </a:extLst>
        </xdr:cNvPr>
        <xdr:cNvSpPr txBox="1"/>
      </xdr:nvSpPr>
      <xdr:spPr>
        <a:xfrm>
          <a:off x="335644" y="626836"/>
          <a:ext cx="1245506" cy="394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2">
                  <a:lumMod val="75000"/>
                </a:schemeClr>
              </a:solidFill>
              <a:latin typeface="Times" panose="020B0500000000000000" pitchFamily="34" charset="0"/>
              <a:ea typeface="Times" panose="020B0500000000000000" pitchFamily="34" charset="0"/>
              <a:cs typeface="Times" panose="020B0500000000000000" pitchFamily="34" charset="0"/>
            </a:rPr>
            <a:t>Total Participants</a:t>
          </a:r>
          <a:endParaRPr lang="en-US" sz="1400" b="1">
            <a:solidFill>
              <a:schemeClr val="tx2">
                <a:lumMod val="75000"/>
              </a:schemeClr>
            </a:solidFill>
            <a:latin typeface="Times" panose="020B0500000000000000" pitchFamily="34" charset="0"/>
            <a:ea typeface="Times" panose="020B0500000000000000" pitchFamily="34" charset="0"/>
            <a:cs typeface="Times" panose="020B0500000000000000" pitchFamily="34" charset="0"/>
          </a:endParaRPr>
        </a:p>
      </xdr:txBody>
    </xdr:sp>
    <xdr:clientData/>
  </xdr:twoCellAnchor>
  <xdr:twoCellAnchor>
    <xdr:from>
      <xdr:col>0</xdr:col>
      <xdr:colOff>381000</xdr:colOff>
      <xdr:row>4</xdr:row>
      <xdr:rowOff>114300</xdr:rowOff>
    </xdr:from>
    <xdr:to>
      <xdr:col>1</xdr:col>
      <xdr:colOff>508001</xdr:colOff>
      <xdr:row>6</xdr:row>
      <xdr:rowOff>155121</xdr:rowOff>
    </xdr:to>
    <xdr:sp macro="" textlink="">
      <xdr:nvSpPr>
        <xdr:cNvPr id="40" name="TextBox 39">
          <a:extLst>
            <a:ext uri="{FF2B5EF4-FFF2-40B4-BE49-F238E27FC236}">
              <a16:creationId xmlns:a16="http://schemas.microsoft.com/office/drawing/2014/main" id="{BAC888F3-4ECF-4FAF-9612-514B82F12FA2}"/>
            </a:ext>
          </a:extLst>
        </xdr:cNvPr>
        <xdr:cNvSpPr txBox="1"/>
      </xdr:nvSpPr>
      <xdr:spPr>
        <a:xfrm>
          <a:off x="381000" y="850900"/>
          <a:ext cx="736601" cy="409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accent4">
                  <a:lumMod val="50000"/>
                </a:schemeClr>
              </a:solidFill>
              <a:latin typeface="Times" panose="020B0500000000000000" pitchFamily="34" charset="0"/>
              <a:ea typeface="Times" panose="020B0500000000000000" pitchFamily="34" charset="0"/>
              <a:cs typeface="Times" panose="020B0500000000000000" pitchFamily="34" charset="0"/>
            </a:rPr>
            <a:t>494</a:t>
          </a:r>
        </a:p>
      </xdr:txBody>
    </xdr:sp>
    <xdr:clientData/>
  </xdr:twoCellAnchor>
  <xdr:twoCellAnchor>
    <xdr:from>
      <xdr:col>0</xdr:col>
      <xdr:colOff>100692</xdr:colOff>
      <xdr:row>7</xdr:row>
      <xdr:rowOff>157844</xdr:rowOff>
    </xdr:from>
    <xdr:to>
      <xdr:col>6</xdr:col>
      <xdr:colOff>152399</xdr:colOff>
      <xdr:row>15</xdr:row>
      <xdr:rowOff>27214</xdr:rowOff>
    </xdr:to>
    <xdr:graphicFrame macro="">
      <xdr:nvGraphicFramePr>
        <xdr:cNvPr id="49" name="Chart 48">
          <a:extLst>
            <a:ext uri="{FF2B5EF4-FFF2-40B4-BE49-F238E27FC236}">
              <a16:creationId xmlns:a16="http://schemas.microsoft.com/office/drawing/2014/main" id="{92D95F50-C606-4C27-B93F-C3CFDAA380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100694</xdr:colOff>
      <xdr:row>2</xdr:row>
      <xdr:rowOff>163286</xdr:rowOff>
    </xdr:from>
    <xdr:to>
      <xdr:col>2</xdr:col>
      <xdr:colOff>362728</xdr:colOff>
      <xdr:row>6</xdr:row>
      <xdr:rowOff>95250</xdr:rowOff>
    </xdr:to>
    <xdr:grpSp>
      <xdr:nvGrpSpPr>
        <xdr:cNvPr id="69" name="Group 68">
          <a:extLst>
            <a:ext uri="{FF2B5EF4-FFF2-40B4-BE49-F238E27FC236}">
              <a16:creationId xmlns:a16="http://schemas.microsoft.com/office/drawing/2014/main" id="{0C78BEBE-96B3-50BE-7FDF-4F9BF7ECEC36}"/>
            </a:ext>
          </a:extLst>
        </xdr:cNvPr>
        <xdr:cNvGrpSpPr/>
      </xdr:nvGrpSpPr>
      <xdr:grpSpPr>
        <a:xfrm>
          <a:off x="100694" y="526143"/>
          <a:ext cx="1477605" cy="657678"/>
          <a:chOff x="222250" y="596900"/>
          <a:chExt cx="1377950" cy="800100"/>
        </a:xfrm>
      </xdr:grpSpPr>
      <xdr:sp macro="" textlink="">
        <xdr:nvSpPr>
          <xdr:cNvPr id="70" name="Rectangle: Rounded Corners 69">
            <a:extLst>
              <a:ext uri="{FF2B5EF4-FFF2-40B4-BE49-F238E27FC236}">
                <a16:creationId xmlns:a16="http://schemas.microsoft.com/office/drawing/2014/main" id="{75BE81EE-B91F-6C25-C982-063791F9F55F}"/>
              </a:ext>
            </a:extLst>
          </xdr:cNvPr>
          <xdr:cNvSpPr/>
        </xdr:nvSpPr>
        <xdr:spPr>
          <a:xfrm>
            <a:off x="241300" y="596900"/>
            <a:ext cx="1339850" cy="723900"/>
          </a:xfrm>
          <a:prstGeom prst="roundRect">
            <a:avLst/>
          </a:prstGeom>
          <a:solidFill>
            <a:schemeClr val="tx1"/>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sp macro="" textlink="">
        <xdr:nvSpPr>
          <xdr:cNvPr id="71" name="Rectangle: Rounded Corners 70">
            <a:extLst>
              <a:ext uri="{FF2B5EF4-FFF2-40B4-BE49-F238E27FC236}">
                <a16:creationId xmlns:a16="http://schemas.microsoft.com/office/drawing/2014/main" id="{E6B9C9C5-8A8D-DB21-3957-3E24C1525ADA}"/>
              </a:ext>
            </a:extLst>
          </xdr:cNvPr>
          <xdr:cNvSpPr/>
        </xdr:nvSpPr>
        <xdr:spPr>
          <a:xfrm>
            <a:off x="222250" y="673100"/>
            <a:ext cx="1377950" cy="723900"/>
          </a:xfrm>
          <a:prstGeom prst="roundRect">
            <a:avLst/>
          </a:prstGeom>
          <a:solidFill>
            <a:srgbClr val="FFFF00"/>
          </a:solidFill>
        </xdr:spPr>
        <xdr:style>
          <a:lnRef idx="1">
            <a:schemeClr val="accent4"/>
          </a:lnRef>
          <a:fillRef idx="1003">
            <a:schemeClr val="dk2"/>
          </a:fillRef>
          <a:effectRef idx="1">
            <a:schemeClr val="accent4"/>
          </a:effectRef>
          <a:fontRef idx="minor">
            <a:schemeClr val="dk1"/>
          </a:fontRef>
        </xdr:style>
        <xdr:txBody>
          <a:bodyPr vertOverflow="clip" horzOverflow="clip" rtlCol="0" anchor="t"/>
          <a:lstStyle/>
          <a:p>
            <a:pPr algn="ctr"/>
            <a:r>
              <a:rPr lang="en-US" sz="1400" b="1" i="0" u="none" strike="noStrike">
                <a:solidFill>
                  <a:schemeClr val="dk1"/>
                </a:solidFill>
                <a:effectLst/>
                <a:latin typeface="Times" panose="020B0500000000000000" pitchFamily="34" charset="0"/>
                <a:ea typeface="Times" panose="020B0500000000000000" pitchFamily="34" charset="0"/>
                <a:cs typeface="Times" panose="020B0500000000000000" pitchFamily="34" charset="0"/>
              </a:rPr>
              <a:t> </a:t>
            </a:r>
            <a:endParaRPr lang="en-US" sz="1400">
              <a:latin typeface="Times" panose="020B0500000000000000" pitchFamily="34" charset="0"/>
              <a:ea typeface="Times" panose="020B0500000000000000" pitchFamily="34" charset="0"/>
              <a:cs typeface="Times" panose="020B0500000000000000" pitchFamily="34" charset="0"/>
            </a:endParaRPr>
          </a:p>
        </xdr:txBody>
      </xdr:sp>
    </xdr:grpSp>
    <xdr:clientData/>
  </xdr:twoCellAnchor>
  <xdr:twoCellAnchor>
    <xdr:from>
      <xdr:col>0</xdr:col>
      <xdr:colOff>273050</xdr:colOff>
      <xdr:row>3</xdr:row>
      <xdr:rowOff>38100</xdr:rowOff>
    </xdr:from>
    <xdr:to>
      <xdr:col>2</xdr:col>
      <xdr:colOff>349250</xdr:colOff>
      <xdr:row>5</xdr:row>
      <xdr:rowOff>126093</xdr:rowOff>
    </xdr:to>
    <xdr:sp macro="" textlink="">
      <xdr:nvSpPr>
        <xdr:cNvPr id="72" name="TextBox 71">
          <a:extLst>
            <a:ext uri="{FF2B5EF4-FFF2-40B4-BE49-F238E27FC236}">
              <a16:creationId xmlns:a16="http://schemas.microsoft.com/office/drawing/2014/main" id="{77E31D1A-65B7-2E55-B3D7-4BC8001598A9}"/>
            </a:ext>
          </a:extLst>
        </xdr:cNvPr>
        <xdr:cNvSpPr txBox="1"/>
      </xdr:nvSpPr>
      <xdr:spPr>
        <a:xfrm>
          <a:off x="273050" y="590550"/>
          <a:ext cx="1295400" cy="456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chemeClr val="tx2">
                  <a:lumMod val="75000"/>
                </a:schemeClr>
              </a:solidFill>
              <a:latin typeface="Times" panose="020B0500000000000000" pitchFamily="34" charset="0"/>
              <a:ea typeface="Times" panose="020B0500000000000000" pitchFamily="34" charset="0"/>
              <a:cs typeface="Times" panose="020B0500000000000000" pitchFamily="34" charset="0"/>
            </a:rPr>
            <a:t>Total Participants</a:t>
          </a:r>
          <a:endParaRPr lang="en-US" sz="1200" b="1">
            <a:solidFill>
              <a:schemeClr val="tx2">
                <a:lumMod val="75000"/>
              </a:schemeClr>
            </a:solidFill>
            <a:latin typeface="Times" panose="020B0500000000000000" pitchFamily="34" charset="0"/>
            <a:ea typeface="Times" panose="020B0500000000000000" pitchFamily="34" charset="0"/>
            <a:cs typeface="Times" panose="020B0500000000000000" pitchFamily="34" charset="0"/>
          </a:endParaRPr>
        </a:p>
      </xdr:txBody>
    </xdr:sp>
    <xdr:clientData/>
  </xdr:twoCellAnchor>
  <xdr:twoCellAnchor>
    <xdr:from>
      <xdr:col>0</xdr:col>
      <xdr:colOff>368300</xdr:colOff>
      <xdr:row>4</xdr:row>
      <xdr:rowOff>38100</xdr:rowOff>
    </xdr:from>
    <xdr:to>
      <xdr:col>2</xdr:col>
      <xdr:colOff>101600</xdr:colOff>
      <xdr:row>6</xdr:row>
      <xdr:rowOff>180521</xdr:rowOff>
    </xdr:to>
    <xdr:sp macro="" textlink="">
      <xdr:nvSpPr>
        <xdr:cNvPr id="73" name="TextBox 72">
          <a:extLst>
            <a:ext uri="{FF2B5EF4-FFF2-40B4-BE49-F238E27FC236}">
              <a16:creationId xmlns:a16="http://schemas.microsoft.com/office/drawing/2014/main" id="{E9D3EB1A-DBDA-B980-1762-2D8C74E4225A}"/>
            </a:ext>
          </a:extLst>
        </xdr:cNvPr>
        <xdr:cNvSpPr txBox="1"/>
      </xdr:nvSpPr>
      <xdr:spPr>
        <a:xfrm>
          <a:off x="368300" y="774700"/>
          <a:ext cx="952500" cy="5107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rgbClr val="FF0000"/>
              </a:solidFill>
              <a:latin typeface="Times" panose="020B0500000000000000" pitchFamily="34" charset="0"/>
              <a:ea typeface="Times" panose="020B0500000000000000" pitchFamily="34" charset="0"/>
              <a:cs typeface="Times" panose="020B0500000000000000" pitchFamily="34" charset="0"/>
            </a:rPr>
            <a:t>494</a:t>
          </a:r>
          <a:endParaRPr lang="en-US" sz="1800" b="1">
            <a:solidFill>
              <a:srgbClr val="FF0000"/>
            </a:solidFill>
            <a:latin typeface="Times" panose="020B0500000000000000" pitchFamily="34" charset="0"/>
            <a:ea typeface="Times" panose="020B0500000000000000" pitchFamily="34" charset="0"/>
            <a:cs typeface="Times" panose="020B0500000000000000" pitchFamily="34" charset="0"/>
          </a:endParaRPr>
        </a:p>
      </xdr:txBody>
    </xdr:sp>
    <xdr:clientData/>
  </xdr:twoCellAnchor>
  <xdr:twoCellAnchor>
    <xdr:from>
      <xdr:col>2</xdr:col>
      <xdr:colOff>520700</xdr:colOff>
      <xdr:row>2</xdr:row>
      <xdr:rowOff>177800</xdr:rowOff>
    </xdr:from>
    <xdr:to>
      <xdr:col>6</xdr:col>
      <xdr:colOff>127000</xdr:colOff>
      <xdr:row>5</xdr:row>
      <xdr:rowOff>119743</xdr:rowOff>
    </xdr:to>
    <xdr:sp macro="" textlink="">
      <xdr:nvSpPr>
        <xdr:cNvPr id="77" name="TextBox 76">
          <a:extLst>
            <a:ext uri="{FF2B5EF4-FFF2-40B4-BE49-F238E27FC236}">
              <a16:creationId xmlns:a16="http://schemas.microsoft.com/office/drawing/2014/main" id="{0F088472-DDCD-E07A-AC81-FF9304F168AF}"/>
            </a:ext>
          </a:extLst>
        </xdr:cNvPr>
        <xdr:cNvSpPr txBox="1"/>
      </xdr:nvSpPr>
      <xdr:spPr>
        <a:xfrm>
          <a:off x="1739900" y="546100"/>
          <a:ext cx="2044700" cy="494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chemeClr val="tx2">
                  <a:lumMod val="75000"/>
                </a:schemeClr>
              </a:solidFill>
              <a:latin typeface="Times" panose="020B0500000000000000" pitchFamily="34" charset="0"/>
              <a:ea typeface="Times" panose="020B0500000000000000" pitchFamily="34" charset="0"/>
              <a:cs typeface="Times" panose="020B0500000000000000" pitchFamily="34" charset="0"/>
            </a:rPr>
            <a:t>Metabolic Syndrome Prevalence</a:t>
          </a:r>
          <a:endParaRPr lang="en-US" sz="1200" b="1">
            <a:solidFill>
              <a:schemeClr val="tx2">
                <a:lumMod val="75000"/>
              </a:schemeClr>
            </a:solidFill>
            <a:latin typeface="Times" panose="020B0500000000000000" pitchFamily="34" charset="0"/>
            <a:ea typeface="Times" panose="020B0500000000000000" pitchFamily="34" charset="0"/>
            <a:cs typeface="Times" panose="020B0500000000000000" pitchFamily="34" charset="0"/>
          </a:endParaRPr>
        </a:p>
      </xdr:txBody>
    </xdr:sp>
    <xdr:clientData/>
  </xdr:twoCellAnchor>
  <xdr:twoCellAnchor>
    <xdr:from>
      <xdr:col>3</xdr:col>
      <xdr:colOff>177800</xdr:colOff>
      <xdr:row>4</xdr:row>
      <xdr:rowOff>0</xdr:rowOff>
    </xdr:from>
    <xdr:to>
      <xdr:col>5</xdr:col>
      <xdr:colOff>44450</xdr:colOff>
      <xdr:row>6</xdr:row>
      <xdr:rowOff>174171</xdr:rowOff>
    </xdr:to>
    <xdr:sp macro="" textlink="">
      <xdr:nvSpPr>
        <xdr:cNvPr id="78" name="TextBox 77">
          <a:extLst>
            <a:ext uri="{FF2B5EF4-FFF2-40B4-BE49-F238E27FC236}">
              <a16:creationId xmlns:a16="http://schemas.microsoft.com/office/drawing/2014/main" id="{2BF99D91-7B77-9C2D-91C8-AE633B111228}"/>
            </a:ext>
          </a:extLst>
        </xdr:cNvPr>
        <xdr:cNvSpPr txBox="1"/>
      </xdr:nvSpPr>
      <xdr:spPr>
        <a:xfrm>
          <a:off x="2006600" y="736600"/>
          <a:ext cx="1085850" cy="542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rgbClr val="FF0000"/>
              </a:solidFill>
              <a:latin typeface="Times" panose="020B0500000000000000" pitchFamily="34" charset="0"/>
              <a:ea typeface="Times" panose="020B0500000000000000" pitchFamily="34" charset="0"/>
              <a:cs typeface="Times" panose="020B0500000000000000" pitchFamily="34" charset="0"/>
            </a:rPr>
            <a:t>57.89</a:t>
          </a:r>
          <a:r>
            <a:rPr lang="en-US" sz="1800" b="1">
              <a:solidFill>
                <a:srgbClr val="FF0000"/>
              </a:solidFill>
              <a:latin typeface="Times" panose="020B0500000000000000" pitchFamily="34" charset="0"/>
              <a:ea typeface="Times" panose="020B0500000000000000" pitchFamily="34" charset="0"/>
              <a:cs typeface="Times" panose="020B0500000000000000" pitchFamily="34" charset="0"/>
            </a:rPr>
            <a:t>%</a:t>
          </a:r>
        </a:p>
      </xdr:txBody>
    </xdr:sp>
    <xdr:clientData/>
  </xdr:twoCellAnchor>
  <xdr:twoCellAnchor>
    <xdr:from>
      <xdr:col>10</xdr:col>
      <xdr:colOff>82550</xdr:colOff>
      <xdr:row>3</xdr:row>
      <xdr:rowOff>19050</xdr:rowOff>
    </xdr:from>
    <xdr:to>
      <xdr:col>12</xdr:col>
      <xdr:colOff>577850</xdr:colOff>
      <xdr:row>5</xdr:row>
      <xdr:rowOff>119743</xdr:rowOff>
    </xdr:to>
    <xdr:sp macro="" textlink="">
      <xdr:nvSpPr>
        <xdr:cNvPr id="82" name="TextBox 81">
          <a:extLst>
            <a:ext uri="{FF2B5EF4-FFF2-40B4-BE49-F238E27FC236}">
              <a16:creationId xmlns:a16="http://schemas.microsoft.com/office/drawing/2014/main" id="{C02BFE8C-959B-5E34-7938-DA31505F50DC}"/>
            </a:ext>
          </a:extLst>
        </xdr:cNvPr>
        <xdr:cNvSpPr txBox="1"/>
      </xdr:nvSpPr>
      <xdr:spPr>
        <a:xfrm>
          <a:off x="6178550" y="571500"/>
          <a:ext cx="1714500" cy="468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2">
                  <a:lumMod val="75000"/>
                </a:schemeClr>
              </a:solidFill>
              <a:latin typeface="Times" panose="020B0500000000000000" pitchFamily="34" charset="0"/>
              <a:ea typeface="Times" panose="020B0500000000000000" pitchFamily="34" charset="0"/>
              <a:cs typeface="Times" panose="020B0500000000000000" pitchFamily="34" charset="0"/>
            </a:rPr>
            <a:t>Mean Fasting Blood Sugar</a:t>
          </a:r>
          <a:endParaRPr lang="en-US" sz="1400" b="1">
            <a:solidFill>
              <a:schemeClr val="tx2">
                <a:lumMod val="75000"/>
              </a:schemeClr>
            </a:solidFill>
            <a:latin typeface="Times" panose="020B0500000000000000" pitchFamily="34" charset="0"/>
            <a:ea typeface="Times" panose="020B0500000000000000" pitchFamily="34" charset="0"/>
            <a:cs typeface="Times" panose="020B0500000000000000" pitchFamily="34" charset="0"/>
          </a:endParaRPr>
        </a:p>
      </xdr:txBody>
    </xdr:sp>
    <xdr:clientData/>
  </xdr:twoCellAnchor>
  <xdr:twoCellAnchor>
    <xdr:from>
      <xdr:col>10</xdr:col>
      <xdr:colOff>260350</xdr:colOff>
      <xdr:row>4</xdr:row>
      <xdr:rowOff>0</xdr:rowOff>
    </xdr:from>
    <xdr:to>
      <xdr:col>12</xdr:col>
      <xdr:colOff>577850</xdr:colOff>
      <xdr:row>6</xdr:row>
      <xdr:rowOff>174171</xdr:rowOff>
    </xdr:to>
    <xdr:sp macro="" textlink="">
      <xdr:nvSpPr>
        <xdr:cNvPr id="83" name="TextBox 82">
          <a:extLst>
            <a:ext uri="{FF2B5EF4-FFF2-40B4-BE49-F238E27FC236}">
              <a16:creationId xmlns:a16="http://schemas.microsoft.com/office/drawing/2014/main" id="{8D0578D6-31DF-E32E-9532-4208CEAA541A}"/>
            </a:ext>
          </a:extLst>
        </xdr:cNvPr>
        <xdr:cNvSpPr txBox="1"/>
      </xdr:nvSpPr>
      <xdr:spPr>
        <a:xfrm>
          <a:off x="6356350" y="736600"/>
          <a:ext cx="1536700" cy="542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rgbClr val="FF0000"/>
              </a:solidFill>
              <a:latin typeface="Times" panose="020B0500000000000000" pitchFamily="34" charset="0"/>
              <a:ea typeface="Times" panose="020B0500000000000000" pitchFamily="34" charset="0"/>
              <a:cs typeface="Times" panose="020B0500000000000000" pitchFamily="34" charset="0"/>
            </a:rPr>
            <a:t>111.16</a:t>
          </a:r>
          <a:r>
            <a:rPr lang="en-US" sz="1800" b="1">
              <a:solidFill>
                <a:srgbClr val="FF0000"/>
              </a:solidFill>
              <a:latin typeface="Times" panose="020B0500000000000000" pitchFamily="34" charset="0"/>
              <a:ea typeface="Times" panose="020B0500000000000000" pitchFamily="34" charset="0"/>
              <a:cs typeface="Times" panose="020B0500000000000000" pitchFamily="34" charset="0"/>
            </a:rPr>
            <a:t> mg/dL</a:t>
          </a:r>
        </a:p>
      </xdr:txBody>
    </xdr:sp>
    <xdr:clientData/>
  </xdr:twoCellAnchor>
  <xdr:twoCellAnchor>
    <xdr:from>
      <xdr:col>13</xdr:col>
      <xdr:colOff>367394</xdr:colOff>
      <xdr:row>3</xdr:row>
      <xdr:rowOff>12700</xdr:rowOff>
    </xdr:from>
    <xdr:to>
      <xdr:col>15</xdr:col>
      <xdr:colOff>571500</xdr:colOff>
      <xdr:row>5</xdr:row>
      <xdr:rowOff>145143</xdr:rowOff>
    </xdr:to>
    <xdr:sp macro="" textlink="">
      <xdr:nvSpPr>
        <xdr:cNvPr id="87" name="TextBox 86">
          <a:extLst>
            <a:ext uri="{FF2B5EF4-FFF2-40B4-BE49-F238E27FC236}">
              <a16:creationId xmlns:a16="http://schemas.microsoft.com/office/drawing/2014/main" id="{77E6E689-E4D3-BC80-AE27-4DE638C37327}"/>
            </a:ext>
          </a:extLst>
        </xdr:cNvPr>
        <xdr:cNvSpPr txBox="1"/>
      </xdr:nvSpPr>
      <xdr:spPr>
        <a:xfrm>
          <a:off x="8292194" y="565150"/>
          <a:ext cx="1423306" cy="500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2">
                  <a:lumMod val="75000"/>
                </a:schemeClr>
              </a:solidFill>
              <a:latin typeface="Times" panose="020B0500000000000000" pitchFamily="34" charset="0"/>
              <a:ea typeface="Times" panose="020B0500000000000000" pitchFamily="34" charset="0"/>
              <a:cs typeface="Times" panose="020B0500000000000000" pitchFamily="34" charset="0"/>
            </a:rPr>
            <a:t>Mean BMI</a:t>
          </a:r>
          <a:endParaRPr lang="en-US" sz="1400" b="1">
            <a:solidFill>
              <a:schemeClr val="tx2">
                <a:lumMod val="75000"/>
              </a:schemeClr>
            </a:solidFill>
            <a:latin typeface="Times" panose="020B0500000000000000" pitchFamily="34" charset="0"/>
            <a:ea typeface="Times" panose="020B0500000000000000" pitchFamily="34" charset="0"/>
            <a:cs typeface="Times" panose="020B0500000000000000" pitchFamily="34" charset="0"/>
          </a:endParaRPr>
        </a:p>
      </xdr:txBody>
    </xdr:sp>
    <xdr:clientData/>
  </xdr:twoCellAnchor>
  <xdr:twoCellAnchor>
    <xdr:from>
      <xdr:col>13</xdr:col>
      <xdr:colOff>285750</xdr:colOff>
      <xdr:row>3</xdr:row>
      <xdr:rowOff>171450</xdr:rowOff>
    </xdr:from>
    <xdr:to>
      <xdr:col>16</xdr:col>
      <xdr:colOff>44450</xdr:colOff>
      <xdr:row>7</xdr:row>
      <xdr:rowOff>15421</xdr:rowOff>
    </xdr:to>
    <xdr:sp macro="" textlink="">
      <xdr:nvSpPr>
        <xdr:cNvPr id="88" name="TextBox 87">
          <a:extLst>
            <a:ext uri="{FF2B5EF4-FFF2-40B4-BE49-F238E27FC236}">
              <a16:creationId xmlns:a16="http://schemas.microsoft.com/office/drawing/2014/main" id="{F3F60894-732A-421C-AF55-CD8EB6DD1F34}"/>
            </a:ext>
          </a:extLst>
        </xdr:cNvPr>
        <xdr:cNvSpPr txBox="1"/>
      </xdr:nvSpPr>
      <xdr:spPr>
        <a:xfrm>
          <a:off x="8210550" y="723900"/>
          <a:ext cx="1587500" cy="580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rgbClr val="FF0000"/>
              </a:solidFill>
              <a:latin typeface="Times" panose="020B0500000000000000" pitchFamily="34" charset="0"/>
              <a:ea typeface="Times" panose="020B0500000000000000" pitchFamily="34" charset="0"/>
              <a:cs typeface="Times" panose="020B0500000000000000" pitchFamily="34" charset="0"/>
            </a:rPr>
            <a:t>25.44</a:t>
          </a:r>
          <a:r>
            <a:rPr lang="en-US" sz="1800" b="1">
              <a:solidFill>
                <a:srgbClr val="FF0000"/>
              </a:solidFill>
              <a:latin typeface="Times" panose="020B0500000000000000" pitchFamily="34" charset="0"/>
              <a:ea typeface="Times" panose="020B0500000000000000" pitchFamily="34" charset="0"/>
              <a:cs typeface="Times" panose="020B0500000000000000" pitchFamily="34" charset="0"/>
            </a:rPr>
            <a:t> kg/m²</a:t>
          </a:r>
        </a:p>
      </xdr:txBody>
    </xdr:sp>
    <xdr:clientData/>
  </xdr:twoCellAnchor>
  <xdr:twoCellAnchor>
    <xdr:from>
      <xdr:col>6</xdr:col>
      <xdr:colOff>527050</xdr:colOff>
      <xdr:row>2</xdr:row>
      <xdr:rowOff>177801</xdr:rowOff>
    </xdr:from>
    <xdr:to>
      <xdr:col>9</xdr:col>
      <xdr:colOff>330200</xdr:colOff>
      <xdr:row>4</xdr:row>
      <xdr:rowOff>57151</xdr:rowOff>
    </xdr:to>
    <xdr:sp macro="" textlink="">
      <xdr:nvSpPr>
        <xdr:cNvPr id="92" name="TextBox 91">
          <a:extLst>
            <a:ext uri="{FF2B5EF4-FFF2-40B4-BE49-F238E27FC236}">
              <a16:creationId xmlns:a16="http://schemas.microsoft.com/office/drawing/2014/main" id="{82E7772B-F281-3440-75F3-86BCEF1335FF}"/>
            </a:ext>
          </a:extLst>
        </xdr:cNvPr>
        <xdr:cNvSpPr txBox="1"/>
      </xdr:nvSpPr>
      <xdr:spPr>
        <a:xfrm>
          <a:off x="4184650" y="546101"/>
          <a:ext cx="16319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2">
                  <a:lumMod val="75000"/>
                </a:schemeClr>
              </a:solidFill>
              <a:latin typeface="Times" panose="020B0500000000000000" pitchFamily="34" charset="0"/>
              <a:ea typeface="Times" panose="020B0500000000000000" pitchFamily="34" charset="0"/>
              <a:cs typeface="Times" panose="020B0500000000000000" pitchFamily="34" charset="0"/>
            </a:rPr>
            <a:t>Mean Systolic BP</a:t>
          </a:r>
          <a:endParaRPr lang="en-US" sz="1400" b="1">
            <a:solidFill>
              <a:schemeClr val="tx2">
                <a:lumMod val="75000"/>
              </a:schemeClr>
            </a:solidFill>
            <a:latin typeface="Times" panose="020B0500000000000000" pitchFamily="34" charset="0"/>
            <a:ea typeface="Times" panose="020B0500000000000000" pitchFamily="34" charset="0"/>
            <a:cs typeface="Times" panose="020B0500000000000000" pitchFamily="34" charset="0"/>
          </a:endParaRPr>
        </a:p>
      </xdr:txBody>
    </xdr:sp>
    <xdr:clientData/>
  </xdr:twoCellAnchor>
  <xdr:twoCellAnchor>
    <xdr:from>
      <xdr:col>7</xdr:col>
      <xdr:colOff>31750</xdr:colOff>
      <xdr:row>3</xdr:row>
      <xdr:rowOff>171450</xdr:rowOff>
    </xdr:from>
    <xdr:to>
      <xdr:col>9</xdr:col>
      <xdr:colOff>177800</xdr:colOff>
      <xdr:row>6</xdr:row>
      <xdr:rowOff>123371</xdr:rowOff>
    </xdr:to>
    <xdr:sp macro="" textlink="">
      <xdr:nvSpPr>
        <xdr:cNvPr id="93" name="TextBox 92">
          <a:extLst>
            <a:ext uri="{FF2B5EF4-FFF2-40B4-BE49-F238E27FC236}">
              <a16:creationId xmlns:a16="http://schemas.microsoft.com/office/drawing/2014/main" id="{488437AD-2DF4-9097-707F-1AC4A22CC30B}"/>
            </a:ext>
          </a:extLst>
        </xdr:cNvPr>
        <xdr:cNvSpPr txBox="1"/>
      </xdr:nvSpPr>
      <xdr:spPr>
        <a:xfrm>
          <a:off x="4298950" y="723900"/>
          <a:ext cx="1365250" cy="504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rgbClr val="FF0000"/>
              </a:solidFill>
              <a:latin typeface="Times" panose="020B0500000000000000" pitchFamily="34" charset="0"/>
              <a:ea typeface="Times" panose="020B0500000000000000" pitchFamily="34" charset="0"/>
              <a:cs typeface="Times" panose="020B0500000000000000" pitchFamily="34" charset="0"/>
            </a:rPr>
            <a:t>127 mmHg</a:t>
          </a:r>
        </a:p>
      </xdr:txBody>
    </xdr:sp>
    <xdr:clientData/>
  </xdr:twoCellAnchor>
  <xdr:twoCellAnchor editAs="oneCell">
    <xdr:from>
      <xdr:col>0</xdr:col>
      <xdr:colOff>88900</xdr:colOff>
      <xdr:row>0</xdr:row>
      <xdr:rowOff>0</xdr:rowOff>
    </xdr:from>
    <xdr:to>
      <xdr:col>0</xdr:col>
      <xdr:colOff>552450</xdr:colOff>
      <xdr:row>2</xdr:row>
      <xdr:rowOff>95250</xdr:rowOff>
    </xdr:to>
    <xdr:pic>
      <xdr:nvPicPr>
        <xdr:cNvPr id="106" name="Picture 105" descr="Metabolic Syndrome Icon - Download SVG, PNG for Nature | IconScout">
          <a:extLst>
            <a:ext uri="{FF2B5EF4-FFF2-40B4-BE49-F238E27FC236}">
              <a16:creationId xmlns:a16="http://schemas.microsoft.com/office/drawing/2014/main" id="{4682287F-E956-C341-E2C4-E3C08A3AF11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8900" y="0"/>
          <a:ext cx="463550" cy="463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562841</xdr:colOff>
      <xdr:row>3</xdr:row>
      <xdr:rowOff>164255</xdr:rowOff>
    </xdr:from>
    <xdr:to>
      <xdr:col>3</xdr:col>
      <xdr:colOff>368010</xdr:colOff>
      <xdr:row>6</xdr:row>
      <xdr:rowOff>22461</xdr:rowOff>
    </xdr:to>
    <xdr:pic>
      <xdr:nvPicPr>
        <xdr:cNvPr id="107" name="Picture 106" descr="endocrine disorder obesity overweight icon doodle illustration 62469994  Vector Art at Vecteezy">
          <a:extLst>
            <a:ext uri="{FF2B5EF4-FFF2-40B4-BE49-F238E27FC236}">
              <a16:creationId xmlns:a16="http://schemas.microsoft.com/office/drawing/2014/main" id="{EF132853-1263-DF76-FFEE-7591DCBA9E8B}"/>
            </a:ext>
          </a:extLst>
        </xdr:cNvPr>
        <xdr:cNvPicPr>
          <a:picLocks noChangeAspect="1" noChangeArrowheads="1"/>
        </xdr:cNvPicPr>
      </xdr:nvPicPr>
      <xdr:blipFill>
        <a:blip xmlns:r="http://schemas.openxmlformats.org/officeDocument/2006/relationships" r:embed="rId4" cstate="print">
          <a:extLst>
            <a:ext uri="{BEBA8EAE-BF5A-486C-A8C5-ECC9F3942E4B}">
              <a14:imgProps xmlns:a14="http://schemas.microsoft.com/office/drawing/2010/main">
                <a14:imgLayer r:embed="rId5">
                  <a14:imgEffect>
                    <a14:backgroundRemoval t="10000" b="90000" l="10000" r="90000"/>
                  </a14:imgEffect>
                </a14:imgLayer>
              </a14:imgProps>
            </a:ext>
            <a:ext uri="{28A0092B-C50C-407E-A947-70E740481C1C}">
              <a14:useLocalDpi xmlns:a14="http://schemas.microsoft.com/office/drawing/2010/main" val="0"/>
            </a:ext>
          </a:extLst>
        </a:blip>
        <a:srcRect/>
        <a:stretch>
          <a:fillRect/>
        </a:stretch>
      </xdr:blipFill>
      <xdr:spPr bwMode="auto">
        <a:xfrm>
          <a:off x="1775114" y="727096"/>
          <a:ext cx="411305" cy="4210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187614</xdr:colOff>
      <xdr:row>4</xdr:row>
      <xdr:rowOff>64940</xdr:rowOff>
    </xdr:from>
    <xdr:to>
      <xdr:col>0</xdr:col>
      <xdr:colOff>498714</xdr:colOff>
      <xdr:row>6</xdr:row>
      <xdr:rowOff>8368</xdr:rowOff>
    </xdr:to>
    <xdr:pic>
      <xdr:nvPicPr>
        <xdr:cNvPr id="108" name="Picture 107" descr="Download Free Participants Icons in PNG &amp; SVG | Magnific (formerly Freepik)">
          <a:extLst>
            <a:ext uri="{FF2B5EF4-FFF2-40B4-BE49-F238E27FC236}">
              <a16:creationId xmlns:a16="http://schemas.microsoft.com/office/drawing/2014/main" id="{EA9D6058-1948-AAA6-ED50-8AC9C03A786E}"/>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87614" y="815395"/>
          <a:ext cx="311100" cy="3186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391491</xdr:colOff>
      <xdr:row>4</xdr:row>
      <xdr:rowOff>13032</xdr:rowOff>
    </xdr:from>
    <xdr:to>
      <xdr:col>7</xdr:col>
      <xdr:colOff>101022</xdr:colOff>
      <xdr:row>5</xdr:row>
      <xdr:rowOff>148753</xdr:rowOff>
    </xdr:to>
    <xdr:pic>
      <xdr:nvPicPr>
        <xdr:cNvPr id="109" name="Picture 108" descr="Blood pressure - Free healthcare and medical icons">
          <a:extLst>
            <a:ext uri="{FF2B5EF4-FFF2-40B4-BE49-F238E27FC236}">
              <a16:creationId xmlns:a16="http://schemas.microsoft.com/office/drawing/2014/main" id="{822A4B24-97F2-7A4E-CB5D-39061F2062B3}"/>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4028309" y="763487"/>
          <a:ext cx="315668" cy="3233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36079</xdr:colOff>
      <xdr:row>4</xdr:row>
      <xdr:rowOff>103329</xdr:rowOff>
    </xdr:from>
    <xdr:to>
      <xdr:col>10</xdr:col>
      <xdr:colOff>358197</xdr:colOff>
      <xdr:row>6</xdr:row>
      <xdr:rowOff>50220</xdr:rowOff>
    </xdr:to>
    <xdr:pic>
      <xdr:nvPicPr>
        <xdr:cNvPr id="110" name="Picture 109">
          <a:extLst>
            <a:ext uri="{FF2B5EF4-FFF2-40B4-BE49-F238E27FC236}">
              <a16:creationId xmlns:a16="http://schemas.microsoft.com/office/drawing/2014/main" id="{A2AE19AE-56B9-5BF5-077D-1151F4C7405C}"/>
            </a:ext>
          </a:extLst>
        </xdr:cNvPr>
        <xdr:cNvPicPr>
          <a:picLocks noChangeAspect="1"/>
        </xdr:cNvPicPr>
      </xdr:nvPicPr>
      <xdr:blipFill>
        <a:blip xmlns:r="http://schemas.openxmlformats.org/officeDocument/2006/relationships" r:embed="rId8"/>
        <a:stretch>
          <a:fillRect/>
        </a:stretch>
      </xdr:blipFill>
      <xdr:spPr>
        <a:xfrm>
          <a:off x="6097443" y="853784"/>
          <a:ext cx="322118" cy="322118"/>
        </a:xfrm>
        <a:prstGeom prst="rect">
          <a:avLst/>
        </a:prstGeom>
      </xdr:spPr>
    </xdr:pic>
    <xdr:clientData/>
  </xdr:twoCellAnchor>
  <xdr:twoCellAnchor editAs="oneCell">
    <xdr:from>
      <xdr:col>13</xdr:col>
      <xdr:colOff>299115</xdr:colOff>
      <xdr:row>4</xdr:row>
      <xdr:rowOff>137142</xdr:rowOff>
    </xdr:from>
    <xdr:to>
      <xdr:col>13</xdr:col>
      <xdr:colOff>526763</xdr:colOff>
      <xdr:row>6</xdr:row>
      <xdr:rowOff>1278</xdr:rowOff>
    </xdr:to>
    <xdr:pic>
      <xdr:nvPicPr>
        <xdr:cNvPr id="111" name="Picture 110" descr="Bmi - Free healthcare and medical icons">
          <a:extLst>
            <a:ext uri="{FF2B5EF4-FFF2-40B4-BE49-F238E27FC236}">
              <a16:creationId xmlns:a16="http://schemas.microsoft.com/office/drawing/2014/main" id="{32D66DFF-FD33-97E1-5B33-04506BED6E81}"/>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8178888" y="887597"/>
          <a:ext cx="227648" cy="2331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238124</xdr:colOff>
      <xdr:row>7</xdr:row>
      <xdr:rowOff>57727</xdr:rowOff>
    </xdr:from>
    <xdr:to>
      <xdr:col>11</xdr:col>
      <xdr:colOff>180398</xdr:colOff>
      <xdr:row>15</xdr:row>
      <xdr:rowOff>137102</xdr:rowOff>
    </xdr:to>
    <xdr:graphicFrame macro="">
      <xdr:nvGraphicFramePr>
        <xdr:cNvPr id="112" name="Chart 111">
          <a:extLst>
            <a:ext uri="{FF2B5EF4-FFF2-40B4-BE49-F238E27FC236}">
              <a16:creationId xmlns:a16="http://schemas.microsoft.com/office/drawing/2014/main" id="{2FD7C8B9-D240-4EFA-AF3D-8B6BB9FEEE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216477</xdr:colOff>
      <xdr:row>7</xdr:row>
      <xdr:rowOff>64944</xdr:rowOff>
    </xdr:from>
    <xdr:to>
      <xdr:col>16</xdr:col>
      <xdr:colOff>0</xdr:colOff>
      <xdr:row>16</xdr:row>
      <xdr:rowOff>37233</xdr:rowOff>
    </xdr:to>
    <xdr:graphicFrame macro="">
      <xdr:nvGraphicFramePr>
        <xdr:cNvPr id="113" name="Chart 112">
          <a:extLst>
            <a:ext uri="{FF2B5EF4-FFF2-40B4-BE49-F238E27FC236}">
              <a16:creationId xmlns:a16="http://schemas.microsoft.com/office/drawing/2014/main" id="{972FB1B1-4CE2-4393-AA0E-098FE069EC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59171</xdr:colOff>
      <xdr:row>7</xdr:row>
      <xdr:rowOff>36080</xdr:rowOff>
    </xdr:from>
    <xdr:to>
      <xdr:col>5</xdr:col>
      <xdr:colOff>562841</xdr:colOff>
      <xdr:row>15</xdr:row>
      <xdr:rowOff>7215</xdr:rowOff>
    </xdr:to>
    <xdr:graphicFrame macro="">
      <xdr:nvGraphicFramePr>
        <xdr:cNvPr id="115" name="Chart 114">
          <a:extLst>
            <a:ext uri="{FF2B5EF4-FFF2-40B4-BE49-F238E27FC236}">
              <a16:creationId xmlns:a16="http://schemas.microsoft.com/office/drawing/2014/main" id="{02A99572-E17C-471E-88B1-5D7CFF4452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80964</xdr:colOff>
      <xdr:row>16</xdr:row>
      <xdr:rowOff>86592</xdr:rowOff>
    </xdr:from>
    <xdr:to>
      <xdr:col>6</xdr:col>
      <xdr:colOff>555625</xdr:colOff>
      <xdr:row>25</xdr:row>
      <xdr:rowOff>21648</xdr:rowOff>
    </xdr:to>
    <xdr:graphicFrame macro="">
      <xdr:nvGraphicFramePr>
        <xdr:cNvPr id="117" name="Chart 116">
          <a:extLst>
            <a:ext uri="{FF2B5EF4-FFF2-40B4-BE49-F238E27FC236}">
              <a16:creationId xmlns:a16="http://schemas.microsoft.com/office/drawing/2014/main" id="{D788DDE7-5563-4B5B-A881-3BB5CEDCF0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1</xdr:colOff>
      <xdr:row>16</xdr:row>
      <xdr:rowOff>129887</xdr:rowOff>
    </xdr:from>
    <xdr:to>
      <xdr:col>15</xdr:col>
      <xdr:colOff>295854</xdr:colOff>
      <xdr:row>18</xdr:row>
      <xdr:rowOff>27215</xdr:rowOff>
    </xdr:to>
    <xdr:sp macro="" textlink="">
      <xdr:nvSpPr>
        <xdr:cNvPr id="120" name="TextBox 119">
          <a:extLst>
            <a:ext uri="{FF2B5EF4-FFF2-40B4-BE49-F238E27FC236}">
              <a16:creationId xmlns:a16="http://schemas.microsoft.com/office/drawing/2014/main" id="{3E2B87EE-6086-6CF6-27EA-FA3B6699BE1B}"/>
            </a:ext>
          </a:extLst>
        </xdr:cNvPr>
        <xdr:cNvSpPr txBox="1"/>
      </xdr:nvSpPr>
      <xdr:spPr>
        <a:xfrm>
          <a:off x="7293430" y="3032744"/>
          <a:ext cx="2119210" cy="260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2"/>
              </a:solidFill>
            </a:rPr>
            <a:t>Metabolic Syndrome </a:t>
          </a:r>
          <a:r>
            <a:rPr lang="en-US" sz="1400" b="1">
              <a:solidFill>
                <a:schemeClr val="tx2"/>
              </a:solidFill>
            </a:rPr>
            <a:t>by</a:t>
          </a:r>
          <a:r>
            <a:rPr lang="en-US" sz="1200" b="1">
              <a:solidFill>
                <a:schemeClr val="tx2"/>
              </a:solidFill>
            </a:rPr>
            <a:t> Salt </a:t>
          </a:r>
          <a:r>
            <a:rPr lang="en-US" sz="1100" b="1">
              <a:solidFill>
                <a:schemeClr val="tx2"/>
              </a:solidFill>
            </a:rPr>
            <a:t>Intake</a:t>
          </a:r>
        </a:p>
      </xdr:txBody>
    </xdr:sp>
    <xdr:clientData/>
  </xdr:twoCellAnchor>
  <xdr:twoCellAnchor editAs="oneCell">
    <xdr:from>
      <xdr:col>16</xdr:col>
      <xdr:colOff>81644</xdr:colOff>
      <xdr:row>0</xdr:row>
      <xdr:rowOff>40286</xdr:rowOff>
    </xdr:from>
    <xdr:to>
      <xdr:col>19</xdr:col>
      <xdr:colOff>250949</xdr:colOff>
      <xdr:row>6</xdr:row>
      <xdr:rowOff>108857</xdr:rowOff>
    </xdr:to>
    <mc:AlternateContent xmlns:mc="http://schemas.openxmlformats.org/markup-compatibility/2006">
      <mc:Choice xmlns:a14="http://schemas.microsoft.com/office/drawing/2010/main" Requires="a14">
        <xdr:graphicFrame macro="">
          <xdr:nvGraphicFramePr>
            <xdr:cNvPr id="121" name="Gender">
              <a:extLst>
                <a:ext uri="{FF2B5EF4-FFF2-40B4-BE49-F238E27FC236}">
                  <a16:creationId xmlns:a16="http://schemas.microsoft.com/office/drawing/2014/main" id="{850A598D-B3DA-56C3-AAB0-57B27E85318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806215" y="40286"/>
              <a:ext cx="1992663" cy="11571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68199</xdr:colOff>
      <xdr:row>6</xdr:row>
      <xdr:rowOff>119166</xdr:rowOff>
    </xdr:from>
    <xdr:to>
      <xdr:col>19</xdr:col>
      <xdr:colOff>78590</xdr:colOff>
      <xdr:row>14</xdr:row>
      <xdr:rowOff>145143</xdr:rowOff>
    </xdr:to>
    <mc:AlternateContent xmlns:mc="http://schemas.openxmlformats.org/markup-compatibility/2006" xmlns:a14="http://schemas.microsoft.com/office/drawing/2010/main">
      <mc:Choice Requires="a14">
        <xdr:graphicFrame macro="">
          <xdr:nvGraphicFramePr>
            <xdr:cNvPr id="122" name="Education ">
              <a:extLst>
                <a:ext uri="{FF2B5EF4-FFF2-40B4-BE49-F238E27FC236}">
                  <a16:creationId xmlns:a16="http://schemas.microsoft.com/office/drawing/2014/main" id="{949E11CA-4678-FA80-83BA-FCA0120E1301}"/>
                </a:ext>
              </a:extLst>
            </xdr:cNvPr>
            <xdr:cNvGraphicFramePr/>
          </xdr:nvGraphicFramePr>
          <xdr:xfrm>
            <a:off x="0" y="0"/>
            <a:ext cx="0" cy="0"/>
          </xdr:xfrm>
          <a:graphic>
            <a:graphicData uri="http://schemas.microsoft.com/office/drawing/2010/slicer">
              <sle:slicer xmlns:sle="http://schemas.microsoft.com/office/drawing/2010/slicer" name="Education "/>
            </a:graphicData>
          </a:graphic>
        </xdr:graphicFrame>
      </mc:Choice>
      <mc:Fallback xmlns="">
        <xdr:sp macro="" textlink="">
          <xdr:nvSpPr>
            <xdr:cNvPr id="0" name=""/>
            <xdr:cNvSpPr>
              <a:spLocks noTextEdit="1"/>
            </xdr:cNvSpPr>
          </xdr:nvSpPr>
          <xdr:spPr>
            <a:xfrm>
              <a:off x="9889532" y="1198666"/>
              <a:ext cx="1851891" cy="14653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115207</xdr:colOff>
      <xdr:row>14</xdr:row>
      <xdr:rowOff>108528</xdr:rowOff>
    </xdr:from>
    <xdr:to>
      <xdr:col>19</xdr:col>
      <xdr:colOff>125598</xdr:colOff>
      <xdr:row>19</xdr:row>
      <xdr:rowOff>80818</xdr:rowOff>
    </xdr:to>
    <mc:AlternateContent xmlns:mc="http://schemas.openxmlformats.org/markup-compatibility/2006" xmlns:a14="http://schemas.microsoft.com/office/drawing/2010/main">
      <mc:Choice Requires="a14">
        <xdr:graphicFrame macro="">
          <xdr:nvGraphicFramePr>
            <xdr:cNvPr id="123" name="Smoking">
              <a:extLst>
                <a:ext uri="{FF2B5EF4-FFF2-40B4-BE49-F238E27FC236}">
                  <a16:creationId xmlns:a16="http://schemas.microsoft.com/office/drawing/2014/main" id="{DCD252C8-C7C5-0881-86C6-1D153A4F8E8E}"/>
                </a:ext>
              </a:extLst>
            </xdr:cNvPr>
            <xdr:cNvGraphicFramePr/>
          </xdr:nvGraphicFramePr>
          <xdr:xfrm>
            <a:off x="0" y="0"/>
            <a:ext cx="0" cy="0"/>
          </xdr:xfrm>
          <a:graphic>
            <a:graphicData uri="http://schemas.microsoft.com/office/drawing/2010/slicer">
              <sle:slicer xmlns:sle="http://schemas.microsoft.com/office/drawing/2010/slicer" name="Smoking"/>
            </a:graphicData>
          </a:graphic>
        </xdr:graphicFrame>
      </mc:Choice>
      <mc:Fallback xmlns="">
        <xdr:sp macro="" textlink="">
          <xdr:nvSpPr>
            <xdr:cNvPr id="0" name=""/>
            <xdr:cNvSpPr>
              <a:spLocks noTextEdit="1"/>
            </xdr:cNvSpPr>
          </xdr:nvSpPr>
          <xdr:spPr>
            <a:xfrm>
              <a:off x="9936540" y="2627361"/>
              <a:ext cx="1851891" cy="871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109846</xdr:colOff>
      <xdr:row>19</xdr:row>
      <xdr:rowOff>145224</xdr:rowOff>
    </xdr:from>
    <xdr:to>
      <xdr:col>19</xdr:col>
      <xdr:colOff>120237</xdr:colOff>
      <xdr:row>26</xdr:row>
      <xdr:rowOff>9071</xdr:rowOff>
    </xdr:to>
    <mc:AlternateContent xmlns:mc="http://schemas.openxmlformats.org/markup-compatibility/2006" xmlns:a14="http://schemas.microsoft.com/office/drawing/2010/main">
      <mc:Choice Requires="a14">
        <xdr:graphicFrame macro="">
          <xdr:nvGraphicFramePr>
            <xdr:cNvPr id="126" name="PhysExercise">
              <a:extLst>
                <a:ext uri="{FF2B5EF4-FFF2-40B4-BE49-F238E27FC236}">
                  <a16:creationId xmlns:a16="http://schemas.microsoft.com/office/drawing/2014/main" id="{AA92E9CC-7B3A-A919-14BA-D32C213569B1}"/>
                </a:ext>
              </a:extLst>
            </xdr:cNvPr>
            <xdr:cNvGraphicFramePr/>
          </xdr:nvGraphicFramePr>
          <xdr:xfrm>
            <a:off x="0" y="0"/>
            <a:ext cx="0" cy="0"/>
          </xdr:xfrm>
          <a:graphic>
            <a:graphicData uri="http://schemas.microsoft.com/office/drawing/2010/slicer">
              <sle:slicer xmlns:sle="http://schemas.microsoft.com/office/drawing/2010/slicer" name="PhysExercise"/>
            </a:graphicData>
          </a:graphic>
        </xdr:graphicFrame>
      </mc:Choice>
      <mc:Fallback xmlns="">
        <xdr:sp macro="" textlink="">
          <xdr:nvSpPr>
            <xdr:cNvPr id="0" name=""/>
            <xdr:cNvSpPr>
              <a:spLocks noTextEdit="1"/>
            </xdr:cNvSpPr>
          </xdr:nvSpPr>
          <xdr:spPr>
            <a:xfrm>
              <a:off x="9931179" y="3563641"/>
              <a:ext cx="1851891" cy="11232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190501</xdr:colOff>
      <xdr:row>16</xdr:row>
      <xdr:rowOff>127000</xdr:rowOff>
    </xdr:from>
    <xdr:to>
      <xdr:col>11</xdr:col>
      <xdr:colOff>308428</xdr:colOff>
      <xdr:row>25</xdr:row>
      <xdr:rowOff>132898</xdr:rowOff>
    </xdr:to>
    <xdr:graphicFrame macro="">
      <xdr:nvGraphicFramePr>
        <xdr:cNvPr id="10" name="Chart 9">
          <a:extLst>
            <a:ext uri="{FF2B5EF4-FFF2-40B4-BE49-F238E27FC236}">
              <a16:creationId xmlns:a16="http://schemas.microsoft.com/office/drawing/2014/main" id="{0B2B1184-C1C8-439B-9EAE-CBF91364ED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466612</xdr:colOff>
      <xdr:row>17</xdr:row>
      <xdr:rowOff>90714</xdr:rowOff>
    </xdr:from>
    <xdr:to>
      <xdr:col>15</xdr:col>
      <xdr:colOff>562429</xdr:colOff>
      <xdr:row>25</xdr:row>
      <xdr:rowOff>172357</xdr:rowOff>
    </xdr:to>
    <xdr:graphicFrame macro="">
      <xdr:nvGraphicFramePr>
        <xdr:cNvPr id="11" name="Chart 10">
          <a:extLst>
            <a:ext uri="{FF2B5EF4-FFF2-40B4-BE49-F238E27FC236}">
              <a16:creationId xmlns:a16="http://schemas.microsoft.com/office/drawing/2014/main" id="{BE3876C2-59C6-4300-AD46-8FB1F6DDD7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mse Essa" refreshedDate="46247.497689583332" createdVersion="8" refreshedVersion="8" minRefreshableVersion="3" recordCount="494" xr:uid="{56FF05E3-64C3-4B7C-A2A8-FFAE7D363FCA}">
  <cacheSource type="worksheet">
    <worksheetSource name="tbl_meto"/>
  </cacheSource>
  <cacheFields count="19">
    <cacheField name="Participant ID" numFmtId="0">
      <sharedItems containsSemiMixedTypes="0" containsString="0" containsNumber="1" containsInteger="1" minValue="1" maxValue="498"/>
    </cacheField>
    <cacheField name="Age" numFmtId="0">
      <sharedItems containsSemiMixedTypes="0" containsString="0" containsNumber="1" containsInteger="1" minValue="19" maxValue="82"/>
    </cacheField>
    <cacheField name="Gender" numFmtId="0">
      <sharedItems count="2">
        <s v="Female"/>
        <s v="Male"/>
      </sharedItems>
    </cacheField>
    <cacheField name="Educ" numFmtId="0">
      <sharedItems count="4">
        <s v="Secondary School"/>
        <s v="Primary School"/>
        <s v="No School"/>
        <s v="University"/>
      </sharedItems>
    </cacheField>
    <cacheField name="Income" numFmtId="170">
      <sharedItems containsSemiMixedTypes="0" containsString="0" containsNumber="1" containsInteger="1" minValue="100" maxValue="2800"/>
    </cacheField>
    <cacheField name="Smoke" numFmtId="0">
      <sharedItems count="2">
        <s v="No"/>
        <s v="Yes"/>
      </sharedItems>
    </cacheField>
    <cacheField name="Khat" numFmtId="0">
      <sharedItems count="2">
        <s v="Yes"/>
        <s v="No"/>
      </sharedItems>
    </cacheField>
    <cacheField name="Salt" numFmtId="0">
      <sharedItems count="5">
        <s v="Too little"/>
        <s v="Too much"/>
        <s v="Far too much"/>
        <s v="Just right amount"/>
        <s v="Far too little"/>
      </sharedItems>
    </cacheField>
    <cacheField name="PhysExercise" numFmtId="0">
      <sharedItems count="3">
        <s v="Low"/>
        <s v="High"/>
        <s v="Moderate"/>
      </sharedItems>
    </cacheField>
    <cacheField name="Sittime" numFmtId="165">
      <sharedItems containsSemiMixedTypes="0" containsString="0" containsNumber="1" containsInteger="1" minValue="1" maxValue="12"/>
    </cacheField>
    <cacheField name="Sysbp" numFmtId="166">
      <sharedItems containsSemiMixedTypes="0" containsString="0" containsNumber="1" containsInteger="1" minValue="87" maxValue="232"/>
    </cacheField>
    <cacheField name="Disbp" numFmtId="166">
      <sharedItems containsSemiMixedTypes="0" containsString="0" containsNumber="1" containsInteger="1" minValue="51" maxValue="120"/>
    </cacheField>
    <cacheField name="Waist" numFmtId="167">
      <sharedItems containsSemiMixedTypes="0" containsString="0" containsNumber="1" containsInteger="1" minValue="60" maxValue="120"/>
    </cacheField>
    <cacheField name="FBS" numFmtId="168">
      <sharedItems containsSemiMixedTypes="0" containsString="0" containsNumber="1" containsInteger="1" minValue="61" maxValue="325"/>
    </cacheField>
    <cacheField name="Triglycerides" numFmtId="168">
      <sharedItems containsSemiMixedTypes="0" containsString="0" containsNumber="1" containsInteger="1" minValue="35" maxValue="312"/>
    </cacheField>
    <cacheField name="HDL" numFmtId="168">
      <sharedItems containsSemiMixedTypes="0" containsString="0" containsNumber="1" containsInteger="1" minValue="22" maxValue="92"/>
    </cacheField>
    <cacheField name="MetSyn" numFmtId="1">
      <sharedItems count="2">
        <s v="yes"/>
        <s v="no"/>
      </sharedItems>
    </cacheField>
    <cacheField name="BMI" numFmtId="169">
      <sharedItems containsSemiMixedTypes="0" containsString="0" containsNumber="1" minValue="13.71742112482853" maxValue="42.871315192743772"/>
    </cacheField>
    <cacheField name="MetSyn_Status" numFmtId="1">
      <sharedItems count="4">
        <s v="Mets"/>
        <s v="No Mets"/>
        <s v="MetSyn" u="1"/>
        <s v="noMetSyn" u="1"/>
      </sharedItems>
    </cacheField>
  </cacheFields>
  <extLst>
    <ext xmlns:x14="http://schemas.microsoft.com/office/spreadsheetml/2009/9/main" uri="{725AE2AE-9491-48be-B2B4-4EB974FC3084}">
      <x14:pivotCacheDefinition pivotCacheId="6650322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4">
  <r>
    <n v="1"/>
    <n v="23"/>
    <x v="0"/>
    <x v="0"/>
    <n v="500"/>
    <x v="0"/>
    <x v="0"/>
    <x v="0"/>
    <x v="0"/>
    <n v="2"/>
    <n v="117"/>
    <n v="87"/>
    <n v="83"/>
    <n v="92"/>
    <n v="98"/>
    <n v="33"/>
    <x v="0"/>
    <n v="22.948115744558788"/>
    <x v="0"/>
  </r>
  <r>
    <n v="2"/>
    <n v="19"/>
    <x v="1"/>
    <x v="1"/>
    <n v="100"/>
    <x v="0"/>
    <x v="0"/>
    <x v="0"/>
    <x v="1"/>
    <n v="7"/>
    <n v="133"/>
    <n v="83"/>
    <n v="90"/>
    <n v="97"/>
    <n v="100"/>
    <n v="36"/>
    <x v="0"/>
    <n v="24.337479718766904"/>
    <x v="0"/>
  </r>
  <r>
    <n v="3"/>
    <n v="60"/>
    <x v="0"/>
    <x v="2"/>
    <n v="200"/>
    <x v="0"/>
    <x v="1"/>
    <x v="0"/>
    <x v="0"/>
    <n v="4"/>
    <n v="136"/>
    <n v="76"/>
    <n v="95"/>
    <n v="105"/>
    <n v="110"/>
    <n v="50"/>
    <x v="1"/>
    <n v="32.421874999999993"/>
    <x v="1"/>
  </r>
  <r>
    <n v="4"/>
    <n v="20"/>
    <x v="1"/>
    <x v="0"/>
    <n v="300"/>
    <x v="0"/>
    <x v="1"/>
    <x v="0"/>
    <x v="0"/>
    <n v="3"/>
    <n v="116"/>
    <n v="69"/>
    <n v="82"/>
    <n v="94"/>
    <n v="88"/>
    <n v="54"/>
    <x v="1"/>
    <n v="15.548945375878855"/>
    <x v="1"/>
  </r>
  <r>
    <n v="5"/>
    <n v="32"/>
    <x v="0"/>
    <x v="1"/>
    <n v="200"/>
    <x v="0"/>
    <x v="1"/>
    <x v="0"/>
    <x v="0"/>
    <n v="2"/>
    <n v="111"/>
    <n v="82"/>
    <n v="85"/>
    <n v="98"/>
    <n v="110"/>
    <n v="38"/>
    <x v="1"/>
    <n v="24.242424242424246"/>
    <x v="1"/>
  </r>
  <r>
    <n v="6"/>
    <n v="50"/>
    <x v="0"/>
    <x v="2"/>
    <n v="200"/>
    <x v="0"/>
    <x v="1"/>
    <x v="0"/>
    <x v="0"/>
    <n v="2"/>
    <n v="148"/>
    <n v="77"/>
    <n v="115"/>
    <n v="103"/>
    <n v="192"/>
    <n v="31"/>
    <x v="0"/>
    <n v="40.458259894247711"/>
    <x v="0"/>
  </r>
  <r>
    <n v="7"/>
    <n v="50"/>
    <x v="0"/>
    <x v="0"/>
    <n v="500"/>
    <x v="0"/>
    <x v="0"/>
    <x v="0"/>
    <x v="0"/>
    <n v="4"/>
    <n v="134"/>
    <n v="83"/>
    <n v="100"/>
    <n v="185"/>
    <n v="144"/>
    <n v="39"/>
    <x v="1"/>
    <n v="42.669152712538995"/>
    <x v="1"/>
  </r>
  <r>
    <n v="8"/>
    <n v="28"/>
    <x v="0"/>
    <x v="0"/>
    <n v="300"/>
    <x v="0"/>
    <x v="1"/>
    <x v="0"/>
    <x v="0"/>
    <n v="4"/>
    <n v="104"/>
    <n v="53"/>
    <n v="85"/>
    <n v="98"/>
    <n v="96"/>
    <n v="50"/>
    <x v="0"/>
    <n v="24.801587301587304"/>
    <x v="0"/>
  </r>
  <r>
    <n v="9"/>
    <n v="25"/>
    <x v="0"/>
    <x v="2"/>
    <n v="200"/>
    <x v="0"/>
    <x v="1"/>
    <x v="0"/>
    <x v="1"/>
    <n v="3"/>
    <n v="130"/>
    <n v="80"/>
    <n v="107"/>
    <n v="90"/>
    <n v="138"/>
    <n v="50"/>
    <x v="1"/>
    <n v="28.360351528307834"/>
    <x v="1"/>
  </r>
  <r>
    <n v="10"/>
    <n v="24"/>
    <x v="0"/>
    <x v="0"/>
    <n v="100"/>
    <x v="0"/>
    <x v="0"/>
    <x v="1"/>
    <x v="0"/>
    <n v="4"/>
    <n v="126"/>
    <n v="66"/>
    <n v="96"/>
    <n v="103"/>
    <n v="96"/>
    <n v="40"/>
    <x v="0"/>
    <n v="26.709401709401707"/>
    <x v="0"/>
  </r>
  <r>
    <n v="11"/>
    <n v="47"/>
    <x v="1"/>
    <x v="3"/>
    <n v="700"/>
    <x v="0"/>
    <x v="1"/>
    <x v="2"/>
    <x v="2"/>
    <n v="4"/>
    <n v="151"/>
    <n v="83"/>
    <n v="99"/>
    <n v="102"/>
    <n v="128"/>
    <n v="50"/>
    <x v="0"/>
    <n v="25.880570635020831"/>
    <x v="0"/>
  </r>
  <r>
    <n v="12"/>
    <n v="63"/>
    <x v="1"/>
    <x v="3"/>
    <n v="600"/>
    <x v="0"/>
    <x v="0"/>
    <x v="0"/>
    <x v="0"/>
    <n v="3"/>
    <n v="120"/>
    <n v="78"/>
    <n v="107"/>
    <n v="87"/>
    <n v="130"/>
    <n v="53"/>
    <x v="0"/>
    <n v="28.734672057202044"/>
    <x v="0"/>
  </r>
  <r>
    <n v="13"/>
    <n v="39"/>
    <x v="0"/>
    <x v="0"/>
    <n v="800"/>
    <x v="0"/>
    <x v="1"/>
    <x v="0"/>
    <x v="0"/>
    <n v="7"/>
    <n v="140"/>
    <n v="93"/>
    <n v="107"/>
    <n v="114"/>
    <n v="109"/>
    <n v="51"/>
    <x v="1"/>
    <n v="36.250470230156289"/>
    <x v="1"/>
  </r>
  <r>
    <n v="14"/>
    <n v="23"/>
    <x v="0"/>
    <x v="0"/>
    <n v="200"/>
    <x v="0"/>
    <x v="1"/>
    <x v="0"/>
    <x v="0"/>
    <n v="3"/>
    <n v="120"/>
    <n v="76"/>
    <n v="78"/>
    <n v="99"/>
    <n v="119"/>
    <n v="51"/>
    <x v="0"/>
    <n v="23.683171790710933"/>
    <x v="0"/>
  </r>
  <r>
    <n v="15"/>
    <n v="33"/>
    <x v="0"/>
    <x v="3"/>
    <n v="800"/>
    <x v="0"/>
    <x v="0"/>
    <x v="1"/>
    <x v="0"/>
    <n v="6"/>
    <n v="125"/>
    <n v="91"/>
    <n v="92"/>
    <n v="91"/>
    <n v="95"/>
    <n v="38"/>
    <x v="1"/>
    <n v="24.690405462752206"/>
    <x v="1"/>
  </r>
  <r>
    <n v="16"/>
    <n v="21"/>
    <x v="1"/>
    <x v="3"/>
    <n v="100"/>
    <x v="0"/>
    <x v="1"/>
    <x v="1"/>
    <x v="2"/>
    <n v="3"/>
    <n v="110"/>
    <n v="56"/>
    <n v="64"/>
    <n v="96"/>
    <n v="108"/>
    <n v="53"/>
    <x v="0"/>
    <n v="18.424036281179141"/>
    <x v="0"/>
  </r>
  <r>
    <n v="17"/>
    <n v="48"/>
    <x v="0"/>
    <x v="1"/>
    <n v="800"/>
    <x v="0"/>
    <x v="1"/>
    <x v="0"/>
    <x v="0"/>
    <n v="8"/>
    <n v="146"/>
    <n v="87"/>
    <n v="67"/>
    <n v="298"/>
    <n v="194"/>
    <n v="39"/>
    <x v="0"/>
    <n v="16.974653755642141"/>
    <x v="0"/>
  </r>
  <r>
    <n v="18"/>
    <n v="27"/>
    <x v="1"/>
    <x v="3"/>
    <n v="350"/>
    <x v="0"/>
    <x v="0"/>
    <x v="0"/>
    <x v="1"/>
    <n v="2"/>
    <n v="133"/>
    <n v="79"/>
    <n v="84"/>
    <n v="80"/>
    <n v="126"/>
    <n v="53"/>
    <x v="1"/>
    <n v="24.302487059714682"/>
    <x v="1"/>
  </r>
  <r>
    <n v="19"/>
    <n v="30"/>
    <x v="1"/>
    <x v="3"/>
    <n v="750"/>
    <x v="0"/>
    <x v="1"/>
    <x v="3"/>
    <x v="0"/>
    <n v="2"/>
    <n v="122"/>
    <n v="79"/>
    <n v="89"/>
    <n v="91"/>
    <n v="126"/>
    <n v="44"/>
    <x v="1"/>
    <n v="25.978679566424791"/>
    <x v="1"/>
  </r>
  <r>
    <n v="20"/>
    <n v="31"/>
    <x v="0"/>
    <x v="3"/>
    <n v="400"/>
    <x v="0"/>
    <x v="1"/>
    <x v="1"/>
    <x v="0"/>
    <n v="3"/>
    <n v="143"/>
    <n v="89"/>
    <n v="100"/>
    <n v="178"/>
    <n v="124"/>
    <n v="51"/>
    <x v="1"/>
    <n v="34.478096268253111"/>
    <x v="1"/>
  </r>
  <r>
    <n v="21"/>
    <n v="40"/>
    <x v="0"/>
    <x v="2"/>
    <n v="300"/>
    <x v="0"/>
    <x v="0"/>
    <x v="3"/>
    <x v="2"/>
    <n v="1"/>
    <n v="116"/>
    <n v="80"/>
    <n v="119"/>
    <n v="105"/>
    <n v="129"/>
    <n v="40"/>
    <x v="1"/>
    <n v="33.705044999820721"/>
    <x v="1"/>
  </r>
  <r>
    <n v="22"/>
    <n v="25"/>
    <x v="0"/>
    <x v="2"/>
    <n v="300"/>
    <x v="0"/>
    <x v="1"/>
    <x v="3"/>
    <x v="0"/>
    <n v="1"/>
    <n v="95"/>
    <n v="56"/>
    <n v="103"/>
    <n v="98"/>
    <n v="133"/>
    <n v="54"/>
    <x v="0"/>
    <n v="22.213678499722331"/>
    <x v="0"/>
  </r>
  <r>
    <n v="23"/>
    <n v="50"/>
    <x v="0"/>
    <x v="2"/>
    <n v="380"/>
    <x v="0"/>
    <x v="1"/>
    <x v="3"/>
    <x v="2"/>
    <n v="1"/>
    <n v="178"/>
    <n v="103"/>
    <n v="104"/>
    <n v="184"/>
    <n v="256"/>
    <n v="33"/>
    <x v="0"/>
    <n v="26.037493991347535"/>
    <x v="0"/>
  </r>
  <r>
    <n v="24"/>
    <n v="32"/>
    <x v="0"/>
    <x v="3"/>
    <n v="600"/>
    <x v="0"/>
    <x v="1"/>
    <x v="3"/>
    <x v="0"/>
    <n v="1"/>
    <n v="142"/>
    <n v="81"/>
    <n v="120"/>
    <n v="83"/>
    <n v="102"/>
    <n v="53"/>
    <x v="0"/>
    <n v="39.669421487603309"/>
    <x v="0"/>
  </r>
  <r>
    <n v="25"/>
    <n v="60"/>
    <x v="0"/>
    <x v="2"/>
    <n v="300"/>
    <x v="0"/>
    <x v="1"/>
    <x v="3"/>
    <x v="1"/>
    <n v="1"/>
    <n v="161"/>
    <n v="94"/>
    <n v="103"/>
    <n v="97"/>
    <n v="122"/>
    <n v="56"/>
    <x v="0"/>
    <n v="27.852007979223909"/>
    <x v="0"/>
  </r>
  <r>
    <n v="26"/>
    <n v="52"/>
    <x v="0"/>
    <x v="2"/>
    <n v="300"/>
    <x v="0"/>
    <x v="0"/>
    <x v="1"/>
    <x v="0"/>
    <n v="2"/>
    <n v="135"/>
    <n v="86"/>
    <n v="107"/>
    <n v="103"/>
    <n v="111"/>
    <n v="60"/>
    <x v="1"/>
    <n v="31.161373901474043"/>
    <x v="1"/>
  </r>
  <r>
    <n v="27"/>
    <n v="55"/>
    <x v="0"/>
    <x v="2"/>
    <n v="300"/>
    <x v="0"/>
    <x v="1"/>
    <x v="3"/>
    <x v="2"/>
    <n v="1"/>
    <n v="121"/>
    <n v="77"/>
    <n v="97"/>
    <n v="105"/>
    <n v="181"/>
    <n v="42"/>
    <x v="1"/>
    <n v="27.005130974885226"/>
    <x v="1"/>
  </r>
  <r>
    <n v="28"/>
    <n v="35"/>
    <x v="0"/>
    <x v="2"/>
    <n v="500"/>
    <x v="0"/>
    <x v="1"/>
    <x v="3"/>
    <x v="0"/>
    <n v="2"/>
    <n v="130"/>
    <n v="83"/>
    <n v="76"/>
    <n v="96"/>
    <n v="117"/>
    <n v="38"/>
    <x v="1"/>
    <n v="20.820939916716245"/>
    <x v="1"/>
  </r>
  <r>
    <n v="29"/>
    <n v="42"/>
    <x v="0"/>
    <x v="2"/>
    <n v="110"/>
    <x v="0"/>
    <x v="1"/>
    <x v="3"/>
    <x v="2"/>
    <n v="1"/>
    <n v="123"/>
    <n v="79"/>
    <n v="79"/>
    <n v="95"/>
    <n v="167"/>
    <n v="51"/>
    <x v="1"/>
    <n v="26.609712545078956"/>
    <x v="1"/>
  </r>
  <r>
    <n v="30"/>
    <n v="62"/>
    <x v="1"/>
    <x v="1"/>
    <n v="300"/>
    <x v="0"/>
    <x v="1"/>
    <x v="3"/>
    <x v="0"/>
    <n v="1"/>
    <n v="133"/>
    <n v="93"/>
    <n v="88"/>
    <n v="92"/>
    <n v="108"/>
    <n v="37"/>
    <x v="0"/>
    <n v="27.459821944733491"/>
    <x v="0"/>
  </r>
  <r>
    <n v="31"/>
    <n v="40"/>
    <x v="0"/>
    <x v="1"/>
    <n v="200"/>
    <x v="0"/>
    <x v="0"/>
    <x v="3"/>
    <x v="0"/>
    <n v="3"/>
    <n v="131"/>
    <n v="76"/>
    <n v="78"/>
    <n v="98"/>
    <n v="58"/>
    <n v="32"/>
    <x v="1"/>
    <n v="23.147255121330193"/>
    <x v="1"/>
  </r>
  <r>
    <n v="32"/>
    <n v="70"/>
    <x v="0"/>
    <x v="0"/>
    <n v="300"/>
    <x v="0"/>
    <x v="1"/>
    <x v="3"/>
    <x v="0"/>
    <n v="4"/>
    <n v="172"/>
    <n v="82"/>
    <n v="104"/>
    <n v="96"/>
    <n v="199"/>
    <n v="43"/>
    <x v="0"/>
    <n v="23.624447492760247"/>
    <x v="0"/>
  </r>
  <r>
    <n v="33"/>
    <n v="22"/>
    <x v="1"/>
    <x v="0"/>
    <n v="650"/>
    <x v="0"/>
    <x v="1"/>
    <x v="1"/>
    <x v="1"/>
    <n v="2"/>
    <n v="137"/>
    <n v="81"/>
    <n v="72"/>
    <n v="83"/>
    <n v="60"/>
    <n v="41"/>
    <x v="0"/>
    <n v="16.372080590731397"/>
    <x v="0"/>
  </r>
  <r>
    <n v="34"/>
    <n v="22"/>
    <x v="0"/>
    <x v="0"/>
    <n v="300"/>
    <x v="0"/>
    <x v="1"/>
    <x v="2"/>
    <x v="0"/>
    <n v="4"/>
    <n v="131"/>
    <n v="85"/>
    <n v="76"/>
    <n v="87"/>
    <n v="190"/>
    <n v="53"/>
    <x v="0"/>
    <n v="32.323232323232325"/>
    <x v="0"/>
  </r>
  <r>
    <n v="35"/>
    <n v="38"/>
    <x v="0"/>
    <x v="3"/>
    <n v="600"/>
    <x v="0"/>
    <x v="1"/>
    <x v="1"/>
    <x v="0"/>
    <n v="5"/>
    <n v="137"/>
    <n v="89"/>
    <n v="94"/>
    <n v="76"/>
    <n v="102"/>
    <n v="52"/>
    <x v="1"/>
    <n v="24.304617877396701"/>
    <x v="1"/>
  </r>
  <r>
    <n v="36"/>
    <n v="54"/>
    <x v="0"/>
    <x v="2"/>
    <n v="200"/>
    <x v="0"/>
    <x v="1"/>
    <x v="3"/>
    <x v="0"/>
    <n v="10"/>
    <n v="148"/>
    <n v="95"/>
    <n v="79"/>
    <n v="98"/>
    <n v="125"/>
    <n v="51"/>
    <x v="1"/>
    <n v="25.864512471655331"/>
    <x v="1"/>
  </r>
  <r>
    <n v="37"/>
    <n v="53"/>
    <x v="0"/>
    <x v="0"/>
    <n v="600"/>
    <x v="0"/>
    <x v="0"/>
    <x v="0"/>
    <x v="0"/>
    <n v="10"/>
    <n v="124"/>
    <n v="55"/>
    <n v="106"/>
    <n v="119"/>
    <n v="124"/>
    <n v="40"/>
    <x v="1"/>
    <n v="42.871315192743772"/>
    <x v="1"/>
  </r>
  <r>
    <n v="38"/>
    <n v="70"/>
    <x v="0"/>
    <x v="1"/>
    <n v="150"/>
    <x v="0"/>
    <x v="1"/>
    <x v="3"/>
    <x v="0"/>
    <n v="12"/>
    <n v="175"/>
    <n v="100"/>
    <n v="90"/>
    <n v="115"/>
    <n v="119"/>
    <n v="51"/>
    <x v="0"/>
    <n v="29.065743944636683"/>
    <x v="0"/>
  </r>
  <r>
    <n v="39"/>
    <n v="36"/>
    <x v="0"/>
    <x v="3"/>
    <n v="600"/>
    <x v="0"/>
    <x v="1"/>
    <x v="1"/>
    <x v="1"/>
    <n v="2"/>
    <n v="105"/>
    <n v="66"/>
    <n v="81"/>
    <n v="108"/>
    <n v="100"/>
    <n v="51"/>
    <x v="0"/>
    <n v="26.643598615916957"/>
    <x v="0"/>
  </r>
  <r>
    <n v="40"/>
    <n v="68"/>
    <x v="0"/>
    <x v="1"/>
    <n v="200"/>
    <x v="0"/>
    <x v="1"/>
    <x v="0"/>
    <x v="0"/>
    <n v="2"/>
    <n v="116"/>
    <n v="58"/>
    <n v="92"/>
    <n v="233"/>
    <n v="108"/>
    <n v="52"/>
    <x v="0"/>
    <n v="29.065743944636683"/>
    <x v="0"/>
  </r>
  <r>
    <n v="41"/>
    <n v="45"/>
    <x v="0"/>
    <x v="0"/>
    <n v="250"/>
    <x v="0"/>
    <x v="1"/>
    <x v="3"/>
    <x v="0"/>
    <n v="8"/>
    <n v="154"/>
    <n v="78"/>
    <n v="96"/>
    <n v="161"/>
    <n v="157"/>
    <n v="40"/>
    <x v="0"/>
    <n v="30.778701138811947"/>
    <x v="0"/>
  </r>
  <r>
    <n v="42"/>
    <n v="40"/>
    <x v="0"/>
    <x v="1"/>
    <n v="300"/>
    <x v="0"/>
    <x v="1"/>
    <x v="3"/>
    <x v="0"/>
    <n v="4"/>
    <n v="134"/>
    <n v="87"/>
    <n v="88"/>
    <n v="126"/>
    <n v="132"/>
    <n v="53"/>
    <x v="1"/>
    <n v="28.06642386982525"/>
    <x v="1"/>
  </r>
  <r>
    <n v="43"/>
    <n v="24"/>
    <x v="0"/>
    <x v="0"/>
    <n v="300"/>
    <x v="0"/>
    <x v="1"/>
    <x v="0"/>
    <x v="0"/>
    <n v="6"/>
    <n v="128"/>
    <n v="87"/>
    <n v="101"/>
    <n v="104"/>
    <n v="126"/>
    <n v="51"/>
    <x v="0"/>
    <n v="35.566499093738251"/>
    <x v="0"/>
  </r>
  <r>
    <n v="44"/>
    <n v="22"/>
    <x v="0"/>
    <x v="1"/>
    <n v="800"/>
    <x v="0"/>
    <x v="1"/>
    <x v="3"/>
    <x v="0"/>
    <n v="7"/>
    <n v="120"/>
    <n v="85"/>
    <n v="99"/>
    <n v="109"/>
    <n v="134"/>
    <n v="52"/>
    <x v="0"/>
    <n v="33.464034613304491"/>
    <x v="0"/>
  </r>
  <r>
    <n v="45"/>
    <n v="30"/>
    <x v="1"/>
    <x v="3"/>
    <n v="400"/>
    <x v="0"/>
    <x v="1"/>
    <x v="3"/>
    <x v="0"/>
    <n v="6"/>
    <n v="104"/>
    <n v="65"/>
    <n v="90"/>
    <n v="89"/>
    <n v="113"/>
    <n v="64"/>
    <x v="1"/>
    <n v="26.874496103198062"/>
    <x v="1"/>
  </r>
  <r>
    <n v="46"/>
    <n v="60"/>
    <x v="0"/>
    <x v="1"/>
    <n v="400"/>
    <x v="0"/>
    <x v="1"/>
    <x v="3"/>
    <x v="0"/>
    <n v="4"/>
    <n v="133"/>
    <n v="83"/>
    <n v="90"/>
    <n v="161"/>
    <n v="104"/>
    <n v="61"/>
    <x v="0"/>
    <n v="27.70083102493075"/>
    <x v="0"/>
  </r>
  <r>
    <n v="47"/>
    <n v="70"/>
    <x v="1"/>
    <x v="1"/>
    <n v="400"/>
    <x v="0"/>
    <x v="0"/>
    <x v="3"/>
    <x v="0"/>
    <n v="5"/>
    <n v="133"/>
    <n v="76"/>
    <n v="84"/>
    <n v="162"/>
    <n v="114"/>
    <n v="43"/>
    <x v="0"/>
    <n v="20.380434782608695"/>
    <x v="0"/>
  </r>
  <r>
    <n v="48"/>
    <n v="36"/>
    <x v="0"/>
    <x v="3"/>
    <n v="400"/>
    <x v="0"/>
    <x v="1"/>
    <x v="1"/>
    <x v="0"/>
    <n v="4"/>
    <n v="110"/>
    <n v="67"/>
    <n v="91"/>
    <n v="114"/>
    <n v="106"/>
    <n v="53"/>
    <x v="1"/>
    <n v="27.099251006812452"/>
    <x v="1"/>
  </r>
  <r>
    <n v="49"/>
    <n v="41"/>
    <x v="1"/>
    <x v="3"/>
    <n v="1200"/>
    <x v="0"/>
    <x v="1"/>
    <x v="1"/>
    <x v="0"/>
    <n v="4"/>
    <n v="100"/>
    <n v="62"/>
    <n v="72"/>
    <n v="64"/>
    <n v="92"/>
    <n v="53"/>
    <x v="1"/>
    <n v="17.239048134126556"/>
    <x v="1"/>
  </r>
  <r>
    <n v="50"/>
    <n v="39"/>
    <x v="1"/>
    <x v="3"/>
    <n v="600"/>
    <x v="0"/>
    <x v="0"/>
    <x v="3"/>
    <x v="0"/>
    <n v="3"/>
    <n v="122"/>
    <n v="81"/>
    <n v="84"/>
    <n v="118"/>
    <n v="89"/>
    <n v="43"/>
    <x v="1"/>
    <n v="26.82742078020452"/>
    <x v="1"/>
  </r>
  <r>
    <n v="51"/>
    <n v="35"/>
    <x v="0"/>
    <x v="1"/>
    <n v="500"/>
    <x v="0"/>
    <x v="1"/>
    <x v="3"/>
    <x v="0"/>
    <n v="5"/>
    <n v="118"/>
    <n v="81"/>
    <n v="102"/>
    <n v="93"/>
    <n v="108"/>
    <n v="43"/>
    <x v="1"/>
    <n v="32.830614548066073"/>
    <x v="1"/>
  </r>
  <r>
    <n v="52"/>
    <n v="32"/>
    <x v="1"/>
    <x v="0"/>
    <n v="400"/>
    <x v="0"/>
    <x v="1"/>
    <x v="3"/>
    <x v="0"/>
    <n v="4"/>
    <n v="143"/>
    <n v="83"/>
    <n v="84"/>
    <n v="99"/>
    <n v="116"/>
    <n v="33"/>
    <x v="1"/>
    <n v="26.332888752094664"/>
    <x v="1"/>
  </r>
  <r>
    <n v="53"/>
    <n v="20"/>
    <x v="1"/>
    <x v="3"/>
    <n v="200"/>
    <x v="0"/>
    <x v="1"/>
    <x v="3"/>
    <x v="0"/>
    <n v="4"/>
    <n v="105"/>
    <n v="63"/>
    <n v="79"/>
    <n v="99"/>
    <n v="106"/>
    <n v="40"/>
    <x v="0"/>
    <n v="20.576131687242793"/>
    <x v="0"/>
  </r>
  <r>
    <n v="54"/>
    <n v="36"/>
    <x v="0"/>
    <x v="0"/>
    <n v="800"/>
    <x v="0"/>
    <x v="1"/>
    <x v="1"/>
    <x v="0"/>
    <n v="2"/>
    <n v="110"/>
    <n v="75"/>
    <n v="102"/>
    <n v="105"/>
    <n v="143"/>
    <n v="34"/>
    <x v="0"/>
    <n v="38.974765490817809"/>
    <x v="0"/>
  </r>
  <r>
    <n v="55"/>
    <n v="35"/>
    <x v="0"/>
    <x v="2"/>
    <n v="400"/>
    <x v="0"/>
    <x v="1"/>
    <x v="0"/>
    <x v="2"/>
    <n v="5"/>
    <n v="130"/>
    <n v="76"/>
    <n v="79"/>
    <n v="128"/>
    <n v="135"/>
    <n v="39"/>
    <x v="1"/>
    <n v="26.813590449954088"/>
    <x v="1"/>
  </r>
  <r>
    <n v="56"/>
    <n v="23"/>
    <x v="1"/>
    <x v="3"/>
    <n v="100"/>
    <x v="0"/>
    <x v="1"/>
    <x v="3"/>
    <x v="0"/>
    <n v="4"/>
    <n v="111"/>
    <n v="69"/>
    <n v="80"/>
    <n v="95"/>
    <n v="97"/>
    <n v="40"/>
    <x v="1"/>
    <n v="19.031141868512112"/>
    <x v="1"/>
  </r>
  <r>
    <n v="57"/>
    <n v="40"/>
    <x v="0"/>
    <x v="3"/>
    <n v="800"/>
    <x v="0"/>
    <x v="1"/>
    <x v="1"/>
    <x v="2"/>
    <n v="5"/>
    <n v="145"/>
    <n v="62"/>
    <n v="69"/>
    <n v="113"/>
    <n v="109"/>
    <n v="41"/>
    <x v="0"/>
    <n v="16.015624999999996"/>
    <x v="0"/>
  </r>
  <r>
    <n v="58"/>
    <n v="37"/>
    <x v="0"/>
    <x v="2"/>
    <n v="850"/>
    <x v="0"/>
    <x v="1"/>
    <x v="1"/>
    <x v="0"/>
    <n v="8"/>
    <n v="149"/>
    <n v="84"/>
    <n v="79"/>
    <n v="100"/>
    <n v="97"/>
    <n v="37"/>
    <x v="1"/>
    <n v="25.039918710988534"/>
    <x v="1"/>
  </r>
  <r>
    <n v="59"/>
    <n v="21"/>
    <x v="1"/>
    <x v="0"/>
    <n v="100"/>
    <x v="0"/>
    <x v="0"/>
    <x v="0"/>
    <x v="0"/>
    <n v="4"/>
    <n v="126"/>
    <n v="51"/>
    <n v="80"/>
    <n v="102"/>
    <n v="139"/>
    <n v="35"/>
    <x v="0"/>
    <n v="19.591836734693878"/>
    <x v="0"/>
  </r>
  <r>
    <n v="60"/>
    <n v="30"/>
    <x v="0"/>
    <x v="3"/>
    <n v="700"/>
    <x v="0"/>
    <x v="1"/>
    <x v="0"/>
    <x v="0"/>
    <n v="5"/>
    <n v="109"/>
    <n v="76"/>
    <n v="78"/>
    <n v="96"/>
    <n v="143"/>
    <n v="40"/>
    <x v="0"/>
    <n v="25.344352617079892"/>
    <x v="0"/>
  </r>
  <r>
    <n v="61"/>
    <n v="65"/>
    <x v="1"/>
    <x v="0"/>
    <n v="800"/>
    <x v="1"/>
    <x v="0"/>
    <x v="1"/>
    <x v="0"/>
    <n v="5"/>
    <n v="152"/>
    <n v="86"/>
    <n v="77"/>
    <n v="99"/>
    <n v="108"/>
    <n v="44"/>
    <x v="1"/>
    <n v="21.545090797168363"/>
    <x v="1"/>
  </r>
  <r>
    <n v="62"/>
    <n v="55"/>
    <x v="0"/>
    <x v="1"/>
    <n v="700"/>
    <x v="0"/>
    <x v="1"/>
    <x v="1"/>
    <x v="2"/>
    <n v="4"/>
    <n v="139"/>
    <n v="86"/>
    <n v="99"/>
    <n v="75"/>
    <n v="107"/>
    <n v="53"/>
    <x v="0"/>
    <n v="30.486685032139579"/>
    <x v="0"/>
  </r>
  <r>
    <n v="63"/>
    <n v="37"/>
    <x v="0"/>
    <x v="3"/>
    <n v="500"/>
    <x v="0"/>
    <x v="1"/>
    <x v="0"/>
    <x v="0"/>
    <n v="4"/>
    <n v="125"/>
    <n v="80"/>
    <n v="86"/>
    <n v="99"/>
    <n v="99"/>
    <n v="42"/>
    <x v="1"/>
    <n v="24.535123966942148"/>
    <x v="1"/>
  </r>
  <r>
    <n v="64"/>
    <n v="47"/>
    <x v="1"/>
    <x v="1"/>
    <n v="300"/>
    <x v="1"/>
    <x v="1"/>
    <x v="0"/>
    <x v="0"/>
    <n v="4"/>
    <n v="100"/>
    <n v="66"/>
    <n v="83"/>
    <n v="97"/>
    <n v="85"/>
    <n v="51"/>
    <x v="1"/>
    <n v="24.489795918367346"/>
    <x v="1"/>
  </r>
  <r>
    <n v="65"/>
    <n v="49"/>
    <x v="1"/>
    <x v="3"/>
    <n v="400"/>
    <x v="0"/>
    <x v="1"/>
    <x v="0"/>
    <x v="0"/>
    <n v="4"/>
    <n v="105"/>
    <n v="66"/>
    <n v="102"/>
    <n v="138"/>
    <n v="55"/>
    <n v="56"/>
    <x v="0"/>
    <n v="31.561671506122963"/>
    <x v="0"/>
  </r>
  <r>
    <n v="66"/>
    <n v="24"/>
    <x v="0"/>
    <x v="0"/>
    <n v="400"/>
    <x v="0"/>
    <x v="1"/>
    <x v="0"/>
    <x v="1"/>
    <n v="2"/>
    <n v="122"/>
    <n v="66"/>
    <n v="77"/>
    <n v="97"/>
    <n v="55"/>
    <n v="63"/>
    <x v="1"/>
    <n v="25.351541373715524"/>
    <x v="1"/>
  </r>
  <r>
    <n v="67"/>
    <n v="45"/>
    <x v="0"/>
    <x v="1"/>
    <n v="300"/>
    <x v="0"/>
    <x v="1"/>
    <x v="0"/>
    <x v="0"/>
    <n v="3"/>
    <n v="151"/>
    <n v="84"/>
    <n v="109"/>
    <n v="157"/>
    <n v="88"/>
    <n v="51"/>
    <x v="1"/>
    <n v="34.74890574359317"/>
    <x v="1"/>
  </r>
  <r>
    <n v="68"/>
    <n v="45"/>
    <x v="0"/>
    <x v="2"/>
    <n v="600"/>
    <x v="0"/>
    <x v="1"/>
    <x v="1"/>
    <x v="0"/>
    <n v="2"/>
    <n v="162"/>
    <n v="96"/>
    <n v="104"/>
    <n v="86"/>
    <n v="105"/>
    <n v="57"/>
    <x v="1"/>
    <n v="31.773931855056791"/>
    <x v="1"/>
  </r>
  <r>
    <n v="69"/>
    <n v="45"/>
    <x v="0"/>
    <x v="2"/>
    <n v="200"/>
    <x v="0"/>
    <x v="1"/>
    <x v="1"/>
    <x v="0"/>
    <n v="6"/>
    <n v="117"/>
    <n v="98"/>
    <n v="76"/>
    <n v="103"/>
    <n v="77"/>
    <n v="35"/>
    <x v="0"/>
    <n v="23.529411764705884"/>
    <x v="0"/>
  </r>
  <r>
    <n v="70"/>
    <n v="60"/>
    <x v="0"/>
    <x v="2"/>
    <n v="400"/>
    <x v="0"/>
    <x v="1"/>
    <x v="0"/>
    <x v="0"/>
    <n v="3"/>
    <n v="135"/>
    <n v="86"/>
    <n v="80"/>
    <n v="100"/>
    <n v="107"/>
    <n v="42"/>
    <x v="1"/>
    <n v="23.140495867768596"/>
    <x v="1"/>
  </r>
  <r>
    <n v="71"/>
    <n v="50"/>
    <x v="0"/>
    <x v="2"/>
    <n v="700"/>
    <x v="0"/>
    <x v="1"/>
    <x v="0"/>
    <x v="0"/>
    <n v="6"/>
    <n v="151"/>
    <n v="89"/>
    <n v="76"/>
    <n v="100"/>
    <n v="114"/>
    <n v="50"/>
    <x v="1"/>
    <n v="22.145328719723185"/>
    <x v="1"/>
  </r>
  <r>
    <n v="72"/>
    <n v="34"/>
    <x v="0"/>
    <x v="2"/>
    <n v="200"/>
    <x v="0"/>
    <x v="1"/>
    <x v="3"/>
    <x v="0"/>
    <n v="4"/>
    <n v="121"/>
    <n v="73"/>
    <n v="76"/>
    <n v="85"/>
    <n v="75"/>
    <n v="55"/>
    <x v="0"/>
    <n v="19.100091827364558"/>
    <x v="0"/>
  </r>
  <r>
    <n v="73"/>
    <n v="40"/>
    <x v="0"/>
    <x v="2"/>
    <n v="300"/>
    <x v="0"/>
    <x v="1"/>
    <x v="0"/>
    <x v="0"/>
    <n v="5"/>
    <n v="120"/>
    <n v="69"/>
    <n v="76"/>
    <n v="86"/>
    <n v="114"/>
    <n v="52"/>
    <x v="0"/>
    <n v="24.167162403331353"/>
    <x v="0"/>
  </r>
  <r>
    <n v="74"/>
    <n v="32"/>
    <x v="1"/>
    <x v="3"/>
    <n v="1000"/>
    <x v="0"/>
    <x v="1"/>
    <x v="3"/>
    <x v="0"/>
    <n v="8"/>
    <n v="122"/>
    <n v="78"/>
    <n v="93"/>
    <n v="109"/>
    <n v="84"/>
    <n v="66"/>
    <x v="0"/>
    <n v="27.763429752066116"/>
    <x v="0"/>
  </r>
  <r>
    <n v="75"/>
    <n v="27"/>
    <x v="1"/>
    <x v="3"/>
    <n v="400"/>
    <x v="0"/>
    <x v="0"/>
    <x v="3"/>
    <x v="0"/>
    <n v="5"/>
    <n v="118"/>
    <n v="78"/>
    <n v="94"/>
    <n v="111"/>
    <n v="130"/>
    <n v="41"/>
    <x v="1"/>
    <n v="26.423569824283259"/>
    <x v="1"/>
  </r>
  <r>
    <n v="76"/>
    <n v="30"/>
    <x v="1"/>
    <x v="3"/>
    <n v="350"/>
    <x v="0"/>
    <x v="1"/>
    <x v="3"/>
    <x v="0"/>
    <n v="4"/>
    <n v="119"/>
    <n v="81"/>
    <n v="80"/>
    <n v="270"/>
    <n v="63"/>
    <n v="63"/>
    <x v="0"/>
    <n v="20.902385858042937"/>
    <x v="0"/>
  </r>
  <r>
    <n v="77"/>
    <n v="39"/>
    <x v="1"/>
    <x v="0"/>
    <n v="200"/>
    <x v="0"/>
    <x v="0"/>
    <x v="3"/>
    <x v="0"/>
    <n v="4"/>
    <n v="112"/>
    <n v="78"/>
    <n v="78"/>
    <n v="82"/>
    <n v="102"/>
    <n v="38"/>
    <x v="1"/>
    <n v="17.901234567901234"/>
    <x v="1"/>
  </r>
  <r>
    <n v="78"/>
    <n v="50"/>
    <x v="0"/>
    <x v="2"/>
    <n v="500"/>
    <x v="0"/>
    <x v="1"/>
    <x v="3"/>
    <x v="0"/>
    <n v="8"/>
    <n v="118"/>
    <n v="85"/>
    <n v="99"/>
    <n v="300"/>
    <n v="149"/>
    <n v="40"/>
    <x v="0"/>
    <n v="28.373702422145332"/>
    <x v="0"/>
  </r>
  <r>
    <n v="79"/>
    <n v="35"/>
    <x v="0"/>
    <x v="3"/>
    <n v="800"/>
    <x v="0"/>
    <x v="1"/>
    <x v="3"/>
    <x v="2"/>
    <n v="5"/>
    <n v="115"/>
    <n v="78"/>
    <n v="76"/>
    <n v="74"/>
    <n v="133"/>
    <n v="52"/>
    <x v="1"/>
    <n v="22.582709172343712"/>
    <x v="1"/>
  </r>
  <r>
    <n v="80"/>
    <n v="23"/>
    <x v="0"/>
    <x v="3"/>
    <n v="100"/>
    <x v="0"/>
    <x v="1"/>
    <x v="3"/>
    <x v="0"/>
    <n v="4"/>
    <n v="118"/>
    <n v="78"/>
    <n v="76"/>
    <n v="89"/>
    <n v="112"/>
    <n v="51"/>
    <x v="1"/>
    <n v="24.767565919829291"/>
    <x v="1"/>
  </r>
  <r>
    <n v="81"/>
    <n v="29"/>
    <x v="0"/>
    <x v="3"/>
    <n v="300"/>
    <x v="0"/>
    <x v="1"/>
    <x v="0"/>
    <x v="0"/>
    <n v="4"/>
    <n v="127"/>
    <n v="73"/>
    <n v="77"/>
    <n v="94"/>
    <n v="83"/>
    <n v="43"/>
    <x v="1"/>
    <n v="23.529411764705884"/>
    <x v="1"/>
  </r>
  <r>
    <n v="82"/>
    <n v="30"/>
    <x v="0"/>
    <x v="2"/>
    <n v="800"/>
    <x v="0"/>
    <x v="1"/>
    <x v="0"/>
    <x v="0"/>
    <n v="6"/>
    <n v="105"/>
    <n v="70"/>
    <n v="76"/>
    <n v="129"/>
    <n v="119"/>
    <n v="54"/>
    <x v="1"/>
    <n v="31.553659148768332"/>
    <x v="1"/>
  </r>
  <r>
    <n v="83"/>
    <n v="45"/>
    <x v="1"/>
    <x v="0"/>
    <n v="600"/>
    <x v="1"/>
    <x v="0"/>
    <x v="0"/>
    <x v="1"/>
    <n v="4"/>
    <n v="126"/>
    <n v="81"/>
    <n v="73"/>
    <n v="235"/>
    <n v="97"/>
    <n v="44"/>
    <x v="1"/>
    <n v="20.571428571428573"/>
    <x v="1"/>
  </r>
  <r>
    <n v="84"/>
    <n v="37"/>
    <x v="0"/>
    <x v="0"/>
    <n v="450"/>
    <x v="0"/>
    <x v="1"/>
    <x v="3"/>
    <x v="0"/>
    <n v="1"/>
    <n v="146"/>
    <n v="75"/>
    <n v="100"/>
    <n v="95"/>
    <n v="56"/>
    <n v="38"/>
    <x v="0"/>
    <n v="30.449826989619382"/>
    <x v="0"/>
  </r>
  <r>
    <n v="85"/>
    <n v="51"/>
    <x v="1"/>
    <x v="1"/>
    <n v="750"/>
    <x v="1"/>
    <x v="1"/>
    <x v="0"/>
    <x v="0"/>
    <n v="1"/>
    <n v="108"/>
    <n v="69"/>
    <n v="80"/>
    <n v="95"/>
    <n v="84"/>
    <n v="42"/>
    <x v="1"/>
    <n v="18.710949246550168"/>
    <x v="1"/>
  </r>
  <r>
    <n v="86"/>
    <n v="40"/>
    <x v="0"/>
    <x v="2"/>
    <n v="450"/>
    <x v="0"/>
    <x v="1"/>
    <x v="3"/>
    <x v="0"/>
    <n v="6"/>
    <n v="144"/>
    <n v="79"/>
    <n v="76"/>
    <n v="128"/>
    <n v="175"/>
    <n v="38"/>
    <x v="1"/>
    <n v="22.145328719723185"/>
    <x v="1"/>
  </r>
  <r>
    <n v="87"/>
    <n v="36"/>
    <x v="0"/>
    <x v="2"/>
    <n v="790"/>
    <x v="0"/>
    <x v="1"/>
    <x v="3"/>
    <x v="0"/>
    <n v="1"/>
    <n v="124"/>
    <n v="91"/>
    <n v="104"/>
    <n v="89"/>
    <n v="63"/>
    <n v="54"/>
    <x v="0"/>
    <n v="32.179930795847753"/>
    <x v="0"/>
  </r>
  <r>
    <n v="88"/>
    <n v="37"/>
    <x v="0"/>
    <x v="0"/>
    <n v="600"/>
    <x v="0"/>
    <x v="1"/>
    <x v="0"/>
    <x v="2"/>
    <n v="4"/>
    <n v="118"/>
    <n v="70"/>
    <n v="110"/>
    <n v="91"/>
    <n v="67"/>
    <n v="44"/>
    <x v="0"/>
    <n v="35.265306122448976"/>
    <x v="0"/>
  </r>
  <r>
    <n v="89"/>
    <n v="26"/>
    <x v="1"/>
    <x v="0"/>
    <n v="400"/>
    <x v="0"/>
    <x v="0"/>
    <x v="3"/>
    <x v="1"/>
    <n v="4"/>
    <n v="141"/>
    <n v="71"/>
    <n v="79"/>
    <n v="84"/>
    <n v="99"/>
    <n v="51"/>
    <x v="1"/>
    <n v="18.673607967406067"/>
    <x v="1"/>
  </r>
  <r>
    <n v="90"/>
    <n v="50"/>
    <x v="0"/>
    <x v="0"/>
    <n v="750"/>
    <x v="0"/>
    <x v="1"/>
    <x v="3"/>
    <x v="0"/>
    <n v="5"/>
    <n v="110"/>
    <n v="77"/>
    <n v="81"/>
    <n v="113"/>
    <n v="126"/>
    <n v="50"/>
    <x v="1"/>
    <n v="26.026174895895306"/>
    <x v="1"/>
  </r>
  <r>
    <n v="91"/>
    <n v="32"/>
    <x v="1"/>
    <x v="0"/>
    <n v="300"/>
    <x v="0"/>
    <x v="1"/>
    <x v="3"/>
    <x v="0"/>
    <n v="6"/>
    <n v="115"/>
    <n v="78"/>
    <n v="82"/>
    <n v="213"/>
    <n v="88"/>
    <n v="51"/>
    <x v="1"/>
    <n v="21.847008520333322"/>
    <x v="1"/>
  </r>
  <r>
    <n v="92"/>
    <n v="50"/>
    <x v="0"/>
    <x v="1"/>
    <n v="300"/>
    <x v="0"/>
    <x v="1"/>
    <x v="3"/>
    <x v="0"/>
    <n v="5"/>
    <n v="122"/>
    <n v="80"/>
    <n v="90"/>
    <n v="252"/>
    <n v="92"/>
    <n v="54"/>
    <x v="1"/>
    <n v="26.365603028664147"/>
    <x v="1"/>
  </r>
  <r>
    <n v="93"/>
    <n v="30"/>
    <x v="0"/>
    <x v="3"/>
    <n v="700"/>
    <x v="0"/>
    <x v="1"/>
    <x v="0"/>
    <x v="0"/>
    <n v="4"/>
    <n v="157"/>
    <n v="82"/>
    <n v="89"/>
    <n v="86"/>
    <n v="44"/>
    <n v="40"/>
    <x v="1"/>
    <n v="26.448979591836736"/>
    <x v="1"/>
  </r>
  <r>
    <n v="94"/>
    <n v="50"/>
    <x v="0"/>
    <x v="0"/>
    <n v="800"/>
    <x v="0"/>
    <x v="1"/>
    <x v="0"/>
    <x v="0"/>
    <n v="1"/>
    <n v="159"/>
    <n v="89"/>
    <n v="76"/>
    <n v="96"/>
    <n v="93"/>
    <n v="51"/>
    <x v="1"/>
    <n v="16.135393882892899"/>
    <x v="1"/>
  </r>
  <r>
    <n v="95"/>
    <n v="67"/>
    <x v="0"/>
    <x v="1"/>
    <n v="300"/>
    <x v="0"/>
    <x v="1"/>
    <x v="1"/>
    <x v="0"/>
    <n v="10"/>
    <n v="232"/>
    <n v="94"/>
    <n v="76"/>
    <n v="99"/>
    <n v="149"/>
    <n v="38"/>
    <x v="0"/>
    <n v="17.630853994490359"/>
    <x v="0"/>
  </r>
  <r>
    <n v="96"/>
    <n v="80"/>
    <x v="0"/>
    <x v="0"/>
    <n v="400"/>
    <x v="0"/>
    <x v="1"/>
    <x v="3"/>
    <x v="0"/>
    <n v="8"/>
    <n v="170"/>
    <n v="82"/>
    <n v="90"/>
    <n v="154"/>
    <n v="120"/>
    <n v="39"/>
    <x v="1"/>
    <n v="26.122448979591837"/>
    <x v="1"/>
  </r>
  <r>
    <n v="97"/>
    <n v="36"/>
    <x v="0"/>
    <x v="1"/>
    <n v="300"/>
    <x v="0"/>
    <x v="1"/>
    <x v="3"/>
    <x v="0"/>
    <n v="2"/>
    <n v="124"/>
    <n v="69"/>
    <n v="90"/>
    <n v="120"/>
    <n v="87"/>
    <n v="55"/>
    <x v="1"/>
    <n v="24.343809494085704"/>
    <x v="1"/>
  </r>
  <r>
    <n v="98"/>
    <n v="29"/>
    <x v="0"/>
    <x v="0"/>
    <n v="200"/>
    <x v="0"/>
    <x v="1"/>
    <x v="2"/>
    <x v="0"/>
    <n v="3"/>
    <n v="114"/>
    <n v="91"/>
    <n v="76"/>
    <n v="61"/>
    <n v="94"/>
    <n v="56"/>
    <x v="0"/>
    <n v="21.629648760330578"/>
    <x v="0"/>
  </r>
  <r>
    <n v="99"/>
    <n v="39"/>
    <x v="1"/>
    <x v="3"/>
    <n v="800"/>
    <x v="0"/>
    <x v="1"/>
    <x v="0"/>
    <x v="0"/>
    <n v="4"/>
    <n v="151"/>
    <n v="89"/>
    <n v="90"/>
    <n v="109"/>
    <n v="101"/>
    <n v="42"/>
    <x v="1"/>
    <n v="26.196187350082059"/>
    <x v="1"/>
  </r>
  <r>
    <n v="100"/>
    <n v="40"/>
    <x v="1"/>
    <x v="2"/>
    <n v="300"/>
    <x v="1"/>
    <x v="1"/>
    <x v="0"/>
    <x v="0"/>
    <n v="2"/>
    <n v="116"/>
    <n v="90"/>
    <n v="70"/>
    <n v="88"/>
    <n v="72"/>
    <n v="36"/>
    <x v="1"/>
    <n v="16.60899653979239"/>
    <x v="1"/>
  </r>
  <r>
    <n v="101"/>
    <n v="27"/>
    <x v="1"/>
    <x v="3"/>
    <n v="650"/>
    <x v="0"/>
    <x v="1"/>
    <x v="1"/>
    <x v="1"/>
    <n v="1"/>
    <n v="123"/>
    <n v="82"/>
    <n v="69"/>
    <n v="94"/>
    <n v="65"/>
    <n v="54"/>
    <x v="1"/>
    <n v="16.262975778546714"/>
    <x v="1"/>
  </r>
  <r>
    <n v="102"/>
    <n v="37"/>
    <x v="0"/>
    <x v="1"/>
    <n v="450"/>
    <x v="0"/>
    <x v="1"/>
    <x v="3"/>
    <x v="0"/>
    <n v="8"/>
    <n v="110"/>
    <n v="62"/>
    <n v="97"/>
    <n v="111"/>
    <n v="119"/>
    <n v="51"/>
    <x v="1"/>
    <n v="27.732299776136855"/>
    <x v="1"/>
  </r>
  <r>
    <n v="103"/>
    <n v="29"/>
    <x v="1"/>
    <x v="3"/>
    <n v="1400"/>
    <x v="0"/>
    <x v="0"/>
    <x v="1"/>
    <x v="2"/>
    <n v="6"/>
    <n v="122"/>
    <n v="84"/>
    <n v="87"/>
    <n v="71"/>
    <n v="144"/>
    <n v="51"/>
    <x v="1"/>
    <n v="23.98687034465345"/>
    <x v="1"/>
  </r>
  <r>
    <n v="104"/>
    <n v="30"/>
    <x v="1"/>
    <x v="3"/>
    <n v="350"/>
    <x v="1"/>
    <x v="1"/>
    <x v="3"/>
    <x v="0"/>
    <n v="7"/>
    <n v="140"/>
    <n v="94"/>
    <n v="92"/>
    <n v="66"/>
    <n v="210"/>
    <n v="41"/>
    <x v="0"/>
    <n v="25.978679566424791"/>
    <x v="0"/>
  </r>
  <r>
    <n v="105"/>
    <n v="55"/>
    <x v="1"/>
    <x v="1"/>
    <n v="500"/>
    <x v="0"/>
    <x v="1"/>
    <x v="3"/>
    <x v="0"/>
    <n v="5"/>
    <n v="125"/>
    <n v="83"/>
    <n v="104"/>
    <n v="210"/>
    <n v="144"/>
    <n v="52"/>
    <x v="1"/>
    <n v="31.708283789139912"/>
    <x v="1"/>
  </r>
  <r>
    <n v="106"/>
    <n v="20"/>
    <x v="0"/>
    <x v="0"/>
    <n v="300"/>
    <x v="0"/>
    <x v="1"/>
    <x v="3"/>
    <x v="0"/>
    <n v="4"/>
    <n v="106"/>
    <n v="53"/>
    <n v="100"/>
    <n v="88"/>
    <n v="132"/>
    <n v="37"/>
    <x v="1"/>
    <n v="25.14860539551897"/>
    <x v="1"/>
  </r>
  <r>
    <n v="107"/>
    <n v="60"/>
    <x v="0"/>
    <x v="2"/>
    <n v="500"/>
    <x v="0"/>
    <x v="1"/>
    <x v="3"/>
    <x v="0"/>
    <n v="6"/>
    <n v="147"/>
    <n v="83"/>
    <n v="82"/>
    <n v="202"/>
    <n v="203"/>
    <n v="33"/>
    <x v="1"/>
    <n v="23.722810651876106"/>
    <x v="1"/>
  </r>
  <r>
    <n v="108"/>
    <n v="37"/>
    <x v="0"/>
    <x v="2"/>
    <n v="800"/>
    <x v="0"/>
    <x v="1"/>
    <x v="3"/>
    <x v="0"/>
    <n v="4"/>
    <n v="123"/>
    <n v="87"/>
    <n v="104"/>
    <n v="125"/>
    <n v="108"/>
    <n v="42"/>
    <x v="1"/>
    <n v="27.398175682448461"/>
    <x v="1"/>
  </r>
  <r>
    <n v="109"/>
    <n v="70"/>
    <x v="0"/>
    <x v="0"/>
    <n v="700"/>
    <x v="1"/>
    <x v="1"/>
    <x v="3"/>
    <x v="0"/>
    <n v="4"/>
    <n v="169"/>
    <n v="117"/>
    <n v="110"/>
    <n v="152"/>
    <n v="121"/>
    <n v="36"/>
    <x v="0"/>
    <n v="31.919307989402789"/>
    <x v="0"/>
  </r>
  <r>
    <n v="110"/>
    <n v="30"/>
    <x v="1"/>
    <x v="3"/>
    <n v="500"/>
    <x v="1"/>
    <x v="1"/>
    <x v="1"/>
    <x v="2"/>
    <n v="4"/>
    <n v="144"/>
    <n v="75"/>
    <n v="90"/>
    <n v="98"/>
    <n v="91"/>
    <n v="51"/>
    <x v="1"/>
    <n v="24.441802087462015"/>
    <x v="1"/>
  </r>
  <r>
    <n v="111"/>
    <n v="25"/>
    <x v="1"/>
    <x v="0"/>
    <n v="150"/>
    <x v="1"/>
    <x v="1"/>
    <x v="1"/>
    <x v="0"/>
    <n v="2"/>
    <n v="137"/>
    <n v="67"/>
    <n v="78"/>
    <n v="72"/>
    <n v="98"/>
    <n v="55"/>
    <x v="0"/>
    <n v="17.505615008587661"/>
    <x v="0"/>
  </r>
  <r>
    <n v="112"/>
    <n v="36"/>
    <x v="0"/>
    <x v="2"/>
    <n v="300"/>
    <x v="0"/>
    <x v="1"/>
    <x v="1"/>
    <x v="0"/>
    <n v="4"/>
    <n v="147"/>
    <n v="84"/>
    <n v="87"/>
    <n v="125"/>
    <n v="137"/>
    <n v="53"/>
    <x v="0"/>
    <n v="23.183673469387756"/>
    <x v="0"/>
  </r>
  <r>
    <n v="113"/>
    <n v="60"/>
    <x v="0"/>
    <x v="0"/>
    <n v="600"/>
    <x v="0"/>
    <x v="1"/>
    <x v="3"/>
    <x v="0"/>
    <n v="10"/>
    <n v="148"/>
    <n v="90"/>
    <n v="110"/>
    <n v="196"/>
    <n v="139"/>
    <n v="41"/>
    <x v="1"/>
    <n v="37.113546444452233"/>
    <x v="1"/>
  </r>
  <r>
    <n v="114"/>
    <n v="25"/>
    <x v="0"/>
    <x v="1"/>
    <n v="200"/>
    <x v="0"/>
    <x v="1"/>
    <x v="1"/>
    <x v="0"/>
    <n v="5"/>
    <n v="118"/>
    <n v="60"/>
    <n v="76"/>
    <n v="96"/>
    <n v="70"/>
    <n v="52"/>
    <x v="1"/>
    <n v="20.312499999999996"/>
    <x v="1"/>
  </r>
  <r>
    <n v="115"/>
    <n v="26"/>
    <x v="0"/>
    <x v="1"/>
    <n v="750"/>
    <x v="0"/>
    <x v="1"/>
    <x v="1"/>
    <x v="2"/>
    <n v="1"/>
    <n v="123"/>
    <n v="71"/>
    <n v="96"/>
    <n v="91"/>
    <n v="64"/>
    <n v="38"/>
    <x v="0"/>
    <n v="24.767565919829291"/>
    <x v="0"/>
  </r>
  <r>
    <n v="116"/>
    <n v="33"/>
    <x v="0"/>
    <x v="1"/>
    <n v="100"/>
    <x v="0"/>
    <x v="1"/>
    <x v="0"/>
    <x v="0"/>
    <n v="1"/>
    <n v="87"/>
    <n v="59"/>
    <n v="72"/>
    <n v="98"/>
    <n v="68"/>
    <n v="40"/>
    <x v="1"/>
    <n v="15.822158933586486"/>
    <x v="1"/>
  </r>
  <r>
    <n v="117"/>
    <n v="32"/>
    <x v="0"/>
    <x v="2"/>
    <n v="500"/>
    <x v="0"/>
    <x v="1"/>
    <x v="1"/>
    <x v="0"/>
    <n v="4"/>
    <n v="112"/>
    <n v="95"/>
    <n v="73"/>
    <n v="98"/>
    <n v="60"/>
    <n v="50"/>
    <x v="0"/>
    <n v="18.206645425580341"/>
    <x v="0"/>
  </r>
  <r>
    <n v="118"/>
    <n v="50"/>
    <x v="0"/>
    <x v="1"/>
    <n v="700"/>
    <x v="0"/>
    <x v="1"/>
    <x v="1"/>
    <x v="0"/>
    <n v="4"/>
    <n v="179"/>
    <n v="88"/>
    <n v="90"/>
    <n v="159"/>
    <n v="102"/>
    <n v="51"/>
    <x v="1"/>
    <n v="23.92242299970097"/>
    <x v="1"/>
  </r>
  <r>
    <n v="119"/>
    <n v="36"/>
    <x v="0"/>
    <x v="0"/>
    <n v="150"/>
    <x v="0"/>
    <x v="1"/>
    <x v="0"/>
    <x v="2"/>
    <n v="2"/>
    <n v="117"/>
    <n v="69"/>
    <n v="83"/>
    <n v="89"/>
    <n v="115"/>
    <n v="32"/>
    <x v="0"/>
    <n v="22.600262984878366"/>
    <x v="0"/>
  </r>
  <r>
    <n v="120"/>
    <n v="37"/>
    <x v="0"/>
    <x v="0"/>
    <n v="250"/>
    <x v="0"/>
    <x v="1"/>
    <x v="1"/>
    <x v="0"/>
    <n v="3"/>
    <n v="178"/>
    <n v="93"/>
    <n v="95"/>
    <n v="319"/>
    <n v="82"/>
    <n v="51"/>
    <x v="0"/>
    <n v="21.60410477990818"/>
    <x v="0"/>
  </r>
  <r>
    <n v="121"/>
    <n v="70"/>
    <x v="1"/>
    <x v="1"/>
    <n v="900"/>
    <x v="1"/>
    <x v="0"/>
    <x v="0"/>
    <x v="0"/>
    <n v="6"/>
    <n v="137"/>
    <n v="67"/>
    <n v="107"/>
    <n v="104"/>
    <n v="96"/>
    <n v="40"/>
    <x v="0"/>
    <n v="30.668904958677686"/>
    <x v="0"/>
  </r>
  <r>
    <n v="122"/>
    <n v="34"/>
    <x v="0"/>
    <x v="2"/>
    <n v="700"/>
    <x v="0"/>
    <x v="1"/>
    <x v="3"/>
    <x v="2"/>
    <n v="4"/>
    <n v="94"/>
    <n v="59"/>
    <n v="69"/>
    <n v="89"/>
    <n v="69"/>
    <n v="75"/>
    <x v="0"/>
    <n v="17.514631124781069"/>
    <x v="0"/>
  </r>
  <r>
    <n v="123"/>
    <n v="30"/>
    <x v="0"/>
    <x v="0"/>
    <n v="700"/>
    <x v="0"/>
    <x v="1"/>
    <x v="3"/>
    <x v="0"/>
    <n v="4"/>
    <n v="118"/>
    <n v="65"/>
    <n v="76"/>
    <n v="89"/>
    <n v="51"/>
    <n v="56"/>
    <x v="1"/>
    <n v="18.730489073881373"/>
    <x v="1"/>
  </r>
  <r>
    <n v="124"/>
    <n v="34"/>
    <x v="1"/>
    <x v="1"/>
    <n v="500"/>
    <x v="1"/>
    <x v="0"/>
    <x v="0"/>
    <x v="0"/>
    <n v="3"/>
    <n v="103"/>
    <n v="75"/>
    <n v="100"/>
    <n v="78"/>
    <n v="85"/>
    <n v="27"/>
    <x v="1"/>
    <n v="30.836530531750871"/>
    <x v="1"/>
  </r>
  <r>
    <n v="125"/>
    <n v="30"/>
    <x v="1"/>
    <x v="2"/>
    <n v="300"/>
    <x v="0"/>
    <x v="0"/>
    <x v="0"/>
    <x v="0"/>
    <n v="4"/>
    <n v="124"/>
    <n v="58"/>
    <n v="77"/>
    <n v="99"/>
    <n v="69"/>
    <n v="44"/>
    <x v="1"/>
    <n v="16.891891891891891"/>
    <x v="1"/>
  </r>
  <r>
    <n v="126"/>
    <n v="50"/>
    <x v="0"/>
    <x v="1"/>
    <n v="700"/>
    <x v="0"/>
    <x v="1"/>
    <x v="0"/>
    <x v="0"/>
    <n v="5"/>
    <n v="142"/>
    <n v="67"/>
    <n v="99"/>
    <n v="158"/>
    <n v="48"/>
    <n v="22"/>
    <x v="1"/>
    <n v="23.661438615467823"/>
    <x v="1"/>
  </r>
  <r>
    <n v="127"/>
    <n v="60"/>
    <x v="0"/>
    <x v="0"/>
    <n v="1200"/>
    <x v="0"/>
    <x v="1"/>
    <x v="0"/>
    <x v="0"/>
    <n v="4"/>
    <n v="182"/>
    <n v="104"/>
    <n v="106"/>
    <n v="132"/>
    <n v="73"/>
    <n v="28"/>
    <x v="0"/>
    <n v="28.875440053795337"/>
    <x v="0"/>
  </r>
  <r>
    <n v="128"/>
    <n v="47"/>
    <x v="1"/>
    <x v="0"/>
    <n v="500"/>
    <x v="0"/>
    <x v="1"/>
    <x v="0"/>
    <x v="2"/>
    <n v="1"/>
    <n v="99"/>
    <n v="72"/>
    <n v="79"/>
    <n v="228"/>
    <n v="121"/>
    <n v="28"/>
    <x v="1"/>
    <n v="22.145328719723185"/>
    <x v="1"/>
  </r>
  <r>
    <n v="129"/>
    <n v="35"/>
    <x v="0"/>
    <x v="0"/>
    <n v="400"/>
    <x v="0"/>
    <x v="1"/>
    <x v="3"/>
    <x v="0"/>
    <n v="5"/>
    <n v="118"/>
    <n v="70"/>
    <n v="76"/>
    <n v="184"/>
    <n v="129"/>
    <n v="26"/>
    <x v="0"/>
    <n v="18.796189499765049"/>
    <x v="0"/>
  </r>
  <r>
    <n v="130"/>
    <n v="56"/>
    <x v="0"/>
    <x v="2"/>
    <n v="300"/>
    <x v="0"/>
    <x v="1"/>
    <x v="0"/>
    <x v="0"/>
    <n v="6"/>
    <n v="142"/>
    <n v="82"/>
    <n v="91"/>
    <n v="118"/>
    <n v="48"/>
    <n v="36"/>
    <x v="1"/>
    <n v="25.727555214006482"/>
    <x v="1"/>
  </r>
  <r>
    <n v="131"/>
    <n v="25"/>
    <x v="0"/>
    <x v="0"/>
    <n v="500"/>
    <x v="0"/>
    <x v="1"/>
    <x v="3"/>
    <x v="0"/>
    <n v="2"/>
    <n v="123"/>
    <n v="79"/>
    <n v="78"/>
    <n v="95"/>
    <n v="83"/>
    <n v="27"/>
    <x v="0"/>
    <n v="22.481329065691202"/>
    <x v="0"/>
  </r>
  <r>
    <n v="132"/>
    <n v="32"/>
    <x v="0"/>
    <x v="3"/>
    <n v="300"/>
    <x v="0"/>
    <x v="1"/>
    <x v="3"/>
    <x v="2"/>
    <n v="1"/>
    <n v="117"/>
    <n v="84"/>
    <n v="78"/>
    <n v="97"/>
    <n v="61"/>
    <n v="39"/>
    <x v="0"/>
    <n v="22.64086462471699"/>
    <x v="0"/>
  </r>
  <r>
    <n v="133"/>
    <n v="33"/>
    <x v="0"/>
    <x v="0"/>
    <n v="500"/>
    <x v="0"/>
    <x v="1"/>
    <x v="3"/>
    <x v="0"/>
    <n v="2"/>
    <n v="124"/>
    <n v="82"/>
    <n v="99"/>
    <n v="89"/>
    <n v="42"/>
    <n v="38"/>
    <x v="1"/>
    <n v="26.1286108288576"/>
    <x v="1"/>
  </r>
  <r>
    <n v="134"/>
    <n v="40"/>
    <x v="0"/>
    <x v="0"/>
    <n v="300"/>
    <x v="0"/>
    <x v="1"/>
    <x v="3"/>
    <x v="0"/>
    <n v="8"/>
    <n v="142"/>
    <n v="87"/>
    <n v="103"/>
    <n v="131"/>
    <n v="201"/>
    <n v="22"/>
    <x v="1"/>
    <n v="25.909456951787405"/>
    <x v="1"/>
  </r>
  <r>
    <n v="135"/>
    <n v="70"/>
    <x v="1"/>
    <x v="0"/>
    <n v="600"/>
    <x v="1"/>
    <x v="0"/>
    <x v="3"/>
    <x v="0"/>
    <n v="8"/>
    <n v="162"/>
    <n v="82"/>
    <n v="112"/>
    <n v="95"/>
    <n v="107"/>
    <n v="26"/>
    <x v="0"/>
    <n v="27.609451755172291"/>
    <x v="0"/>
  </r>
  <r>
    <n v="136"/>
    <n v="38"/>
    <x v="0"/>
    <x v="0"/>
    <n v="400"/>
    <x v="0"/>
    <x v="1"/>
    <x v="3"/>
    <x v="0"/>
    <n v="2"/>
    <n v="142"/>
    <n v="75"/>
    <n v="98"/>
    <n v="144"/>
    <n v="86"/>
    <n v="27"/>
    <x v="0"/>
    <n v="31.645569620253159"/>
    <x v="0"/>
  </r>
  <r>
    <n v="137"/>
    <n v="40"/>
    <x v="0"/>
    <x v="0"/>
    <n v="600"/>
    <x v="0"/>
    <x v="1"/>
    <x v="1"/>
    <x v="0"/>
    <n v="4"/>
    <n v="134"/>
    <n v="80"/>
    <n v="111"/>
    <n v="90"/>
    <n v="84"/>
    <n v="26"/>
    <x v="0"/>
    <n v="31.588613406795229"/>
    <x v="0"/>
  </r>
  <r>
    <n v="138"/>
    <n v="27"/>
    <x v="0"/>
    <x v="3"/>
    <n v="500"/>
    <x v="0"/>
    <x v="1"/>
    <x v="0"/>
    <x v="0"/>
    <n v="1"/>
    <n v="118"/>
    <n v="70"/>
    <n v="101"/>
    <n v="91"/>
    <n v="81"/>
    <n v="89"/>
    <x v="1"/>
    <n v="28.282828282828287"/>
    <x v="1"/>
  </r>
  <r>
    <n v="139"/>
    <n v="29"/>
    <x v="0"/>
    <x v="1"/>
    <n v="650"/>
    <x v="0"/>
    <x v="1"/>
    <x v="0"/>
    <x v="1"/>
    <n v="3"/>
    <n v="114"/>
    <n v="69"/>
    <n v="72"/>
    <n v="95"/>
    <n v="98"/>
    <n v="26"/>
    <x v="1"/>
    <n v="18.645344042454013"/>
    <x v="1"/>
  </r>
  <r>
    <n v="140"/>
    <n v="27"/>
    <x v="1"/>
    <x v="3"/>
    <n v="600"/>
    <x v="0"/>
    <x v="1"/>
    <x v="3"/>
    <x v="0"/>
    <n v="3"/>
    <n v="134"/>
    <n v="81"/>
    <n v="75"/>
    <n v="91"/>
    <n v="57"/>
    <n v="34"/>
    <x v="1"/>
    <n v="16.757292842242059"/>
    <x v="1"/>
  </r>
  <r>
    <n v="141"/>
    <n v="62"/>
    <x v="1"/>
    <x v="3"/>
    <n v="400"/>
    <x v="0"/>
    <x v="0"/>
    <x v="3"/>
    <x v="0"/>
    <n v="10"/>
    <n v="106"/>
    <n v="76"/>
    <n v="97"/>
    <n v="132"/>
    <n v="66"/>
    <n v="23"/>
    <x v="1"/>
    <n v="22.460034350640772"/>
    <x v="1"/>
  </r>
  <r>
    <n v="142"/>
    <n v="48"/>
    <x v="1"/>
    <x v="3"/>
    <n v="300"/>
    <x v="0"/>
    <x v="1"/>
    <x v="3"/>
    <x v="0"/>
    <n v="4"/>
    <n v="120"/>
    <n v="86"/>
    <n v="92"/>
    <n v="80"/>
    <n v="118"/>
    <n v="31"/>
    <x v="0"/>
    <n v="25.762980578676178"/>
    <x v="0"/>
  </r>
  <r>
    <n v="143"/>
    <n v="64"/>
    <x v="0"/>
    <x v="1"/>
    <n v="700"/>
    <x v="0"/>
    <x v="1"/>
    <x v="0"/>
    <x v="0"/>
    <n v="7"/>
    <n v="180"/>
    <n v="120"/>
    <n v="114"/>
    <n v="78"/>
    <n v="107"/>
    <n v="22"/>
    <x v="1"/>
    <n v="35.492157923201731"/>
    <x v="1"/>
  </r>
  <r>
    <n v="144"/>
    <n v="40"/>
    <x v="0"/>
    <x v="2"/>
    <n v="700"/>
    <x v="0"/>
    <x v="1"/>
    <x v="3"/>
    <x v="0"/>
    <n v="4"/>
    <n v="144"/>
    <n v="74"/>
    <n v="66"/>
    <n v="111"/>
    <n v="35"/>
    <n v="73"/>
    <x v="0"/>
    <n v="16.649323621227886"/>
    <x v="0"/>
  </r>
  <r>
    <n v="145"/>
    <n v="32"/>
    <x v="0"/>
    <x v="1"/>
    <n v="1200"/>
    <x v="0"/>
    <x v="1"/>
    <x v="3"/>
    <x v="2"/>
    <n v="1"/>
    <n v="108"/>
    <n v="70"/>
    <n v="100"/>
    <n v="111"/>
    <n v="51"/>
    <n v="53"/>
    <x v="1"/>
    <n v="27.475629493018182"/>
    <x v="1"/>
  </r>
  <r>
    <n v="146"/>
    <n v="60"/>
    <x v="0"/>
    <x v="0"/>
    <n v="200"/>
    <x v="0"/>
    <x v="1"/>
    <x v="3"/>
    <x v="0"/>
    <n v="7"/>
    <n v="127"/>
    <n v="71"/>
    <n v="90"/>
    <n v="90"/>
    <n v="41"/>
    <n v="50"/>
    <x v="1"/>
    <n v="27.548209366391188"/>
    <x v="1"/>
  </r>
  <r>
    <n v="147"/>
    <n v="37"/>
    <x v="0"/>
    <x v="1"/>
    <n v="400"/>
    <x v="0"/>
    <x v="1"/>
    <x v="3"/>
    <x v="0"/>
    <n v="2"/>
    <n v="173"/>
    <n v="98"/>
    <n v="62"/>
    <n v="95"/>
    <n v="55"/>
    <n v="64"/>
    <x v="0"/>
    <n v="13.71742112482853"/>
    <x v="0"/>
  </r>
  <r>
    <n v="148"/>
    <n v="35"/>
    <x v="0"/>
    <x v="3"/>
    <n v="380"/>
    <x v="0"/>
    <x v="1"/>
    <x v="1"/>
    <x v="0"/>
    <n v="1"/>
    <n v="149"/>
    <n v="88"/>
    <n v="111"/>
    <n v="325"/>
    <n v="90"/>
    <n v="57"/>
    <x v="1"/>
    <n v="26.533758829646096"/>
    <x v="1"/>
  </r>
  <r>
    <n v="149"/>
    <n v="20"/>
    <x v="0"/>
    <x v="0"/>
    <n v="100"/>
    <x v="0"/>
    <x v="1"/>
    <x v="3"/>
    <x v="0"/>
    <n v="4"/>
    <n v="127"/>
    <n v="76"/>
    <n v="69"/>
    <n v="76"/>
    <n v="43"/>
    <n v="52"/>
    <x v="0"/>
    <n v="17.898022892819977"/>
    <x v="0"/>
  </r>
  <r>
    <n v="150"/>
    <n v="38"/>
    <x v="1"/>
    <x v="3"/>
    <n v="400"/>
    <x v="0"/>
    <x v="1"/>
    <x v="1"/>
    <x v="0"/>
    <n v="3"/>
    <n v="137"/>
    <n v="90"/>
    <n v="74"/>
    <n v="76"/>
    <n v="53"/>
    <n v="58"/>
    <x v="1"/>
    <n v="19.591836734693878"/>
    <x v="1"/>
  </r>
  <r>
    <n v="151"/>
    <n v="60"/>
    <x v="0"/>
    <x v="1"/>
    <n v="250"/>
    <x v="0"/>
    <x v="1"/>
    <x v="3"/>
    <x v="0"/>
    <n v="6"/>
    <n v="178"/>
    <n v="107"/>
    <n v="69"/>
    <n v="92"/>
    <n v="82"/>
    <n v="51"/>
    <x v="1"/>
    <n v="17.941817249775728"/>
    <x v="1"/>
  </r>
  <r>
    <n v="152"/>
    <n v="50"/>
    <x v="0"/>
    <x v="1"/>
    <n v="230"/>
    <x v="0"/>
    <x v="1"/>
    <x v="3"/>
    <x v="0"/>
    <n v="6"/>
    <n v="147"/>
    <n v="79"/>
    <n v="88"/>
    <n v="175"/>
    <n v="312"/>
    <n v="40"/>
    <x v="0"/>
    <n v="18.666666666666668"/>
    <x v="0"/>
  </r>
  <r>
    <n v="153"/>
    <n v="28"/>
    <x v="0"/>
    <x v="2"/>
    <n v="750"/>
    <x v="0"/>
    <x v="1"/>
    <x v="3"/>
    <x v="0"/>
    <n v="4"/>
    <n v="127"/>
    <n v="76"/>
    <n v="76"/>
    <n v="94"/>
    <n v="104"/>
    <n v="42"/>
    <x v="1"/>
    <n v="24.524346347059055"/>
    <x v="1"/>
  </r>
  <r>
    <n v="154"/>
    <n v="30"/>
    <x v="1"/>
    <x v="3"/>
    <n v="500"/>
    <x v="0"/>
    <x v="1"/>
    <x v="3"/>
    <x v="2"/>
    <n v="2"/>
    <n v="116"/>
    <n v="70"/>
    <n v="66"/>
    <n v="95"/>
    <n v="62"/>
    <n v="53"/>
    <x v="0"/>
    <n v="15.548945375878855"/>
    <x v="0"/>
  </r>
  <r>
    <n v="155"/>
    <n v="26"/>
    <x v="0"/>
    <x v="1"/>
    <n v="700"/>
    <x v="0"/>
    <x v="1"/>
    <x v="3"/>
    <x v="0"/>
    <n v="7"/>
    <n v="111"/>
    <n v="68"/>
    <n v="66"/>
    <n v="75"/>
    <n v="55"/>
    <n v="62"/>
    <x v="1"/>
    <n v="19.948059768903612"/>
    <x v="1"/>
  </r>
  <r>
    <n v="156"/>
    <n v="30"/>
    <x v="0"/>
    <x v="2"/>
    <n v="700"/>
    <x v="0"/>
    <x v="1"/>
    <x v="0"/>
    <x v="0"/>
    <n v="1"/>
    <n v="120"/>
    <n v="75"/>
    <n v="71"/>
    <n v="129"/>
    <n v="53"/>
    <n v="55"/>
    <x v="1"/>
    <n v="16.824226886716868"/>
    <x v="1"/>
  </r>
  <r>
    <n v="157"/>
    <n v="37"/>
    <x v="0"/>
    <x v="2"/>
    <n v="130"/>
    <x v="0"/>
    <x v="1"/>
    <x v="3"/>
    <x v="0"/>
    <n v="6"/>
    <n v="127"/>
    <n v="97"/>
    <n v="113"/>
    <n v="93"/>
    <n v="146"/>
    <n v="52"/>
    <x v="0"/>
    <n v="25.180785123966942"/>
    <x v="0"/>
  </r>
  <r>
    <n v="158"/>
    <n v="32"/>
    <x v="0"/>
    <x v="3"/>
    <n v="720"/>
    <x v="0"/>
    <x v="1"/>
    <x v="0"/>
    <x v="0"/>
    <n v="4"/>
    <n v="97"/>
    <n v="53"/>
    <n v="62"/>
    <n v="92"/>
    <n v="35"/>
    <n v="61"/>
    <x v="1"/>
    <n v="16.227838857560144"/>
    <x v="1"/>
  </r>
  <r>
    <n v="159"/>
    <n v="50"/>
    <x v="0"/>
    <x v="1"/>
    <n v="450"/>
    <x v="0"/>
    <x v="1"/>
    <x v="3"/>
    <x v="0"/>
    <n v="4"/>
    <n v="162"/>
    <n v="105"/>
    <n v="100"/>
    <n v="78"/>
    <n v="77"/>
    <n v="53"/>
    <x v="1"/>
    <n v="24.221453287197235"/>
    <x v="1"/>
  </r>
  <r>
    <n v="160"/>
    <n v="38"/>
    <x v="0"/>
    <x v="0"/>
    <n v="900"/>
    <x v="0"/>
    <x v="1"/>
    <x v="0"/>
    <x v="0"/>
    <n v="5"/>
    <n v="108"/>
    <n v="68"/>
    <n v="76"/>
    <n v="106"/>
    <n v="121"/>
    <n v="69"/>
    <x v="0"/>
    <n v="25.180785123966942"/>
    <x v="0"/>
  </r>
  <r>
    <n v="161"/>
    <n v="45"/>
    <x v="0"/>
    <x v="2"/>
    <n v="700"/>
    <x v="0"/>
    <x v="1"/>
    <x v="0"/>
    <x v="0"/>
    <n v="5"/>
    <n v="123"/>
    <n v="76"/>
    <n v="77"/>
    <n v="101"/>
    <n v="44"/>
    <n v="56"/>
    <x v="1"/>
    <n v="24.508945765204302"/>
    <x v="1"/>
  </r>
  <r>
    <n v="162"/>
    <n v="22"/>
    <x v="0"/>
    <x v="1"/>
    <n v="200"/>
    <x v="0"/>
    <x v="1"/>
    <x v="0"/>
    <x v="0"/>
    <n v="4"/>
    <n v="106"/>
    <n v="59"/>
    <n v="95"/>
    <n v="91"/>
    <n v="54"/>
    <n v="89"/>
    <x v="1"/>
    <n v="26.446280991735541"/>
    <x v="1"/>
  </r>
  <r>
    <n v="163"/>
    <n v="50"/>
    <x v="0"/>
    <x v="2"/>
    <n v="100"/>
    <x v="0"/>
    <x v="1"/>
    <x v="0"/>
    <x v="0"/>
    <n v="4"/>
    <n v="155"/>
    <n v="99"/>
    <n v="98"/>
    <n v="97"/>
    <n v="181"/>
    <n v="66"/>
    <x v="1"/>
    <n v="28.604764951635367"/>
    <x v="1"/>
  </r>
  <r>
    <n v="164"/>
    <n v="24"/>
    <x v="0"/>
    <x v="1"/>
    <n v="900"/>
    <x v="0"/>
    <x v="1"/>
    <x v="0"/>
    <x v="0"/>
    <n v="4"/>
    <n v="117"/>
    <n v="89"/>
    <n v="97"/>
    <n v="84"/>
    <n v="48"/>
    <n v="72"/>
    <x v="1"/>
    <n v="22.758306781975424"/>
    <x v="1"/>
  </r>
  <r>
    <n v="165"/>
    <n v="29"/>
    <x v="1"/>
    <x v="3"/>
    <n v="500"/>
    <x v="0"/>
    <x v="0"/>
    <x v="3"/>
    <x v="0"/>
    <n v="5"/>
    <n v="130"/>
    <n v="75"/>
    <n v="89"/>
    <n v="114"/>
    <n v="115"/>
    <n v="55"/>
    <x v="0"/>
    <n v="22.491349480968861"/>
    <x v="0"/>
  </r>
  <r>
    <n v="166"/>
    <n v="25"/>
    <x v="0"/>
    <x v="3"/>
    <n v="800"/>
    <x v="0"/>
    <x v="1"/>
    <x v="3"/>
    <x v="0"/>
    <n v="3"/>
    <n v="90"/>
    <n v="65"/>
    <n v="113"/>
    <n v="97"/>
    <n v="41"/>
    <n v="38"/>
    <x v="1"/>
    <n v="30.043262297708697"/>
    <x v="1"/>
  </r>
  <r>
    <n v="167"/>
    <n v="62"/>
    <x v="1"/>
    <x v="0"/>
    <n v="500"/>
    <x v="0"/>
    <x v="1"/>
    <x v="3"/>
    <x v="1"/>
    <n v="6"/>
    <n v="120"/>
    <n v="78"/>
    <n v="113"/>
    <n v="85"/>
    <n v="55"/>
    <n v="80"/>
    <x v="1"/>
    <n v="29.629629629629626"/>
    <x v="1"/>
  </r>
  <r>
    <n v="168"/>
    <n v="32"/>
    <x v="0"/>
    <x v="0"/>
    <n v="1500"/>
    <x v="0"/>
    <x v="1"/>
    <x v="3"/>
    <x v="0"/>
    <n v="3"/>
    <n v="122"/>
    <n v="84"/>
    <n v="110"/>
    <n v="82"/>
    <n v="64"/>
    <n v="54"/>
    <x v="0"/>
    <n v="29.667971215755585"/>
    <x v="0"/>
  </r>
  <r>
    <n v="169"/>
    <n v="55"/>
    <x v="1"/>
    <x v="3"/>
    <n v="1000"/>
    <x v="0"/>
    <x v="0"/>
    <x v="1"/>
    <x v="0"/>
    <n v="5"/>
    <n v="140"/>
    <n v="80"/>
    <n v="95"/>
    <n v="102"/>
    <n v="68"/>
    <n v="82"/>
    <x v="0"/>
    <n v="26.528510346119035"/>
    <x v="0"/>
  </r>
  <r>
    <n v="170"/>
    <n v="30"/>
    <x v="0"/>
    <x v="3"/>
    <n v="400"/>
    <x v="0"/>
    <x v="1"/>
    <x v="3"/>
    <x v="0"/>
    <n v="8"/>
    <n v="120"/>
    <n v="70"/>
    <n v="79"/>
    <n v="83"/>
    <n v="61"/>
    <n v="70"/>
    <x v="0"/>
    <n v="23.529411764705884"/>
    <x v="0"/>
  </r>
  <r>
    <n v="171"/>
    <n v="31"/>
    <x v="0"/>
    <x v="3"/>
    <n v="900"/>
    <x v="0"/>
    <x v="1"/>
    <x v="0"/>
    <x v="0"/>
    <n v="2"/>
    <n v="127"/>
    <n v="84"/>
    <n v="76"/>
    <n v="108"/>
    <n v="56"/>
    <n v="43"/>
    <x v="0"/>
    <n v="27.102040816326532"/>
    <x v="0"/>
  </r>
  <r>
    <n v="172"/>
    <n v="25"/>
    <x v="0"/>
    <x v="3"/>
    <n v="700"/>
    <x v="0"/>
    <x v="1"/>
    <x v="0"/>
    <x v="0"/>
    <n v="2"/>
    <n v="97"/>
    <n v="58"/>
    <n v="76"/>
    <n v="88"/>
    <n v="55"/>
    <n v="44"/>
    <x v="1"/>
    <n v="20.446742023841672"/>
    <x v="1"/>
  </r>
  <r>
    <n v="173"/>
    <n v="38"/>
    <x v="0"/>
    <x v="1"/>
    <n v="800"/>
    <x v="0"/>
    <x v="1"/>
    <x v="0"/>
    <x v="2"/>
    <n v="2"/>
    <n v="104"/>
    <n v="70"/>
    <n v="117"/>
    <n v="110"/>
    <n v="81"/>
    <n v="39"/>
    <x v="1"/>
    <n v="35.083029837281565"/>
    <x v="1"/>
  </r>
  <r>
    <n v="174"/>
    <n v="49"/>
    <x v="0"/>
    <x v="3"/>
    <n v="400"/>
    <x v="0"/>
    <x v="1"/>
    <x v="3"/>
    <x v="0"/>
    <n v="3"/>
    <n v="103"/>
    <n v="55"/>
    <n v="96"/>
    <n v="115"/>
    <n v="52"/>
    <n v="50"/>
    <x v="0"/>
    <n v="29.64951156330951"/>
    <x v="0"/>
  </r>
  <r>
    <n v="175"/>
    <n v="46"/>
    <x v="0"/>
    <x v="1"/>
    <n v="500"/>
    <x v="0"/>
    <x v="1"/>
    <x v="1"/>
    <x v="0"/>
    <n v="2"/>
    <n v="100"/>
    <n v="74"/>
    <n v="94"/>
    <n v="109"/>
    <n v="104"/>
    <n v="51"/>
    <x v="0"/>
    <n v="23.624447492760247"/>
    <x v="0"/>
  </r>
  <r>
    <n v="176"/>
    <n v="40"/>
    <x v="1"/>
    <x v="1"/>
    <n v="450"/>
    <x v="1"/>
    <x v="1"/>
    <x v="3"/>
    <x v="1"/>
    <n v="3"/>
    <n v="125"/>
    <n v="81"/>
    <n v="68"/>
    <n v="73"/>
    <n v="70"/>
    <n v="43"/>
    <x v="0"/>
    <n v="16.653061224489797"/>
    <x v="0"/>
  </r>
  <r>
    <n v="177"/>
    <n v="31"/>
    <x v="0"/>
    <x v="2"/>
    <n v="380"/>
    <x v="0"/>
    <x v="1"/>
    <x v="3"/>
    <x v="0"/>
    <n v="2"/>
    <n v="146"/>
    <n v="81"/>
    <n v="103"/>
    <n v="111"/>
    <n v="73"/>
    <n v="70"/>
    <x v="1"/>
    <n v="28.650137741046834"/>
    <x v="1"/>
  </r>
  <r>
    <n v="178"/>
    <n v="25"/>
    <x v="0"/>
    <x v="0"/>
    <n v="100"/>
    <x v="0"/>
    <x v="1"/>
    <x v="3"/>
    <x v="0"/>
    <n v="2"/>
    <n v="150"/>
    <n v="90"/>
    <n v="79"/>
    <n v="95"/>
    <n v="74"/>
    <n v="52"/>
    <x v="0"/>
    <n v="26.397977394408095"/>
    <x v="0"/>
  </r>
  <r>
    <n v="179"/>
    <n v="58"/>
    <x v="0"/>
    <x v="2"/>
    <n v="800"/>
    <x v="0"/>
    <x v="1"/>
    <x v="3"/>
    <x v="0"/>
    <n v="8"/>
    <n v="140"/>
    <n v="80"/>
    <n v="117"/>
    <n v="86"/>
    <n v="68"/>
    <n v="70"/>
    <x v="0"/>
    <n v="33.515273388872927"/>
    <x v="0"/>
  </r>
  <r>
    <n v="180"/>
    <n v="35"/>
    <x v="1"/>
    <x v="3"/>
    <n v="1800"/>
    <x v="0"/>
    <x v="1"/>
    <x v="4"/>
    <x v="0"/>
    <n v="3"/>
    <n v="95"/>
    <n v="70"/>
    <n v="89"/>
    <n v="116"/>
    <n v="40"/>
    <n v="50"/>
    <x v="1"/>
    <n v="21.146319909102385"/>
    <x v="1"/>
  </r>
  <r>
    <n v="181"/>
    <n v="33"/>
    <x v="0"/>
    <x v="3"/>
    <n v="800"/>
    <x v="0"/>
    <x v="1"/>
    <x v="4"/>
    <x v="2"/>
    <n v="5"/>
    <n v="95"/>
    <n v="70"/>
    <n v="76"/>
    <n v="104"/>
    <n v="36"/>
    <n v="60"/>
    <x v="1"/>
    <n v="29.744199881023206"/>
    <x v="1"/>
  </r>
  <r>
    <n v="182"/>
    <n v="60"/>
    <x v="1"/>
    <x v="1"/>
    <n v="600"/>
    <x v="1"/>
    <x v="1"/>
    <x v="3"/>
    <x v="0"/>
    <n v="2"/>
    <n v="142"/>
    <n v="102"/>
    <n v="70"/>
    <n v="96"/>
    <n v="172"/>
    <n v="43"/>
    <x v="0"/>
    <n v="20.983987603305785"/>
    <x v="0"/>
  </r>
  <r>
    <n v="183"/>
    <n v="29"/>
    <x v="0"/>
    <x v="1"/>
    <n v="600"/>
    <x v="0"/>
    <x v="1"/>
    <x v="3"/>
    <x v="0"/>
    <n v="4"/>
    <n v="130"/>
    <n v="83"/>
    <n v="100"/>
    <n v="116"/>
    <n v="78"/>
    <n v="54"/>
    <x v="1"/>
    <n v="30.693877551020407"/>
    <x v="1"/>
  </r>
  <r>
    <n v="184"/>
    <n v="60"/>
    <x v="0"/>
    <x v="1"/>
    <n v="400"/>
    <x v="0"/>
    <x v="1"/>
    <x v="0"/>
    <x v="0"/>
    <n v="4"/>
    <n v="120"/>
    <n v="85"/>
    <n v="111"/>
    <n v="246"/>
    <n v="70"/>
    <n v="40"/>
    <x v="1"/>
    <n v="26.078971533516992"/>
    <x v="1"/>
  </r>
  <r>
    <n v="185"/>
    <n v="40"/>
    <x v="0"/>
    <x v="1"/>
    <n v="250"/>
    <x v="0"/>
    <x v="1"/>
    <x v="0"/>
    <x v="0"/>
    <n v="10"/>
    <n v="150"/>
    <n v="89"/>
    <n v="90"/>
    <n v="141"/>
    <n v="53"/>
    <n v="52"/>
    <x v="1"/>
    <n v="25.20398137468495"/>
    <x v="1"/>
  </r>
  <r>
    <n v="186"/>
    <n v="35"/>
    <x v="0"/>
    <x v="1"/>
    <n v="100"/>
    <x v="0"/>
    <x v="1"/>
    <x v="3"/>
    <x v="0"/>
    <n v="4"/>
    <n v="104"/>
    <n v="67"/>
    <n v="79"/>
    <n v="97"/>
    <n v="83"/>
    <n v="39"/>
    <x v="0"/>
    <n v="24.801587301587304"/>
    <x v="0"/>
  </r>
  <r>
    <n v="187"/>
    <n v="30"/>
    <x v="0"/>
    <x v="1"/>
    <n v="200"/>
    <x v="0"/>
    <x v="1"/>
    <x v="0"/>
    <x v="0"/>
    <n v="10"/>
    <n v="158"/>
    <n v="95"/>
    <n v="102"/>
    <n v="103"/>
    <n v="61"/>
    <n v="34"/>
    <x v="0"/>
    <n v="28.084332107116012"/>
    <x v="0"/>
  </r>
  <r>
    <n v="188"/>
    <n v="25"/>
    <x v="0"/>
    <x v="1"/>
    <n v="300"/>
    <x v="0"/>
    <x v="1"/>
    <x v="0"/>
    <x v="0"/>
    <n v="1"/>
    <n v="106"/>
    <n v="58"/>
    <n v="76"/>
    <n v="87"/>
    <n v="82"/>
    <n v="54"/>
    <x v="0"/>
    <n v="26.106562240417702"/>
    <x v="0"/>
  </r>
  <r>
    <n v="189"/>
    <n v="60"/>
    <x v="0"/>
    <x v="2"/>
    <n v="500"/>
    <x v="0"/>
    <x v="1"/>
    <x v="0"/>
    <x v="0"/>
    <n v="4"/>
    <n v="162"/>
    <n v="89"/>
    <n v="77"/>
    <n v="95"/>
    <n v="47"/>
    <n v="63"/>
    <x v="0"/>
    <n v="26.298487836949374"/>
    <x v="0"/>
  </r>
  <r>
    <n v="190"/>
    <n v="35"/>
    <x v="0"/>
    <x v="3"/>
    <n v="900"/>
    <x v="0"/>
    <x v="1"/>
    <x v="0"/>
    <x v="1"/>
    <n v="2"/>
    <n v="116"/>
    <n v="80"/>
    <n v="93"/>
    <n v="82"/>
    <n v="99"/>
    <n v="53"/>
    <x v="0"/>
    <n v="31.861629494765594"/>
    <x v="0"/>
  </r>
  <r>
    <n v="191"/>
    <n v="30"/>
    <x v="0"/>
    <x v="0"/>
    <n v="100"/>
    <x v="0"/>
    <x v="1"/>
    <x v="3"/>
    <x v="0"/>
    <n v="2"/>
    <n v="116"/>
    <n v="70"/>
    <n v="77"/>
    <n v="95"/>
    <n v="48"/>
    <n v="35"/>
    <x v="0"/>
    <n v="18.286779733945284"/>
    <x v="0"/>
  </r>
  <r>
    <n v="192"/>
    <n v="20"/>
    <x v="0"/>
    <x v="0"/>
    <n v="200"/>
    <x v="0"/>
    <x v="1"/>
    <x v="3"/>
    <x v="0"/>
    <n v="1"/>
    <n v="101"/>
    <n v="72"/>
    <n v="97"/>
    <n v="94"/>
    <n v="40"/>
    <n v="53"/>
    <x v="0"/>
    <n v="25.847768218818715"/>
    <x v="0"/>
  </r>
  <r>
    <n v="193"/>
    <n v="30"/>
    <x v="0"/>
    <x v="0"/>
    <n v="250"/>
    <x v="0"/>
    <x v="1"/>
    <x v="0"/>
    <x v="0"/>
    <n v="1"/>
    <n v="121"/>
    <n v="73"/>
    <n v="93"/>
    <n v="94"/>
    <n v="54"/>
    <n v="63"/>
    <x v="0"/>
    <n v="25.076193048107708"/>
    <x v="0"/>
  </r>
  <r>
    <n v="194"/>
    <n v="29"/>
    <x v="1"/>
    <x v="3"/>
    <n v="150"/>
    <x v="0"/>
    <x v="1"/>
    <x v="3"/>
    <x v="2"/>
    <n v="1"/>
    <n v="120"/>
    <n v="67"/>
    <n v="68"/>
    <n v="90"/>
    <n v="43"/>
    <n v="44"/>
    <x v="0"/>
    <n v="16.141528925619834"/>
    <x v="0"/>
  </r>
  <r>
    <n v="195"/>
    <n v="42"/>
    <x v="1"/>
    <x v="3"/>
    <n v="600"/>
    <x v="1"/>
    <x v="0"/>
    <x v="3"/>
    <x v="0"/>
    <n v="8"/>
    <n v="140"/>
    <n v="87"/>
    <n v="96"/>
    <n v="116"/>
    <n v="148"/>
    <n v="65"/>
    <x v="0"/>
    <n v="28.731921487603305"/>
    <x v="0"/>
  </r>
  <r>
    <n v="196"/>
    <n v="40"/>
    <x v="0"/>
    <x v="3"/>
    <n v="800"/>
    <x v="0"/>
    <x v="1"/>
    <x v="3"/>
    <x v="0"/>
    <n v="1"/>
    <n v="120"/>
    <n v="85"/>
    <n v="113"/>
    <n v="152"/>
    <n v="65"/>
    <n v="55"/>
    <x v="0"/>
    <n v="27.548209366391188"/>
    <x v="0"/>
  </r>
  <r>
    <n v="197"/>
    <n v="21"/>
    <x v="0"/>
    <x v="0"/>
    <n v="1000"/>
    <x v="0"/>
    <x v="1"/>
    <x v="3"/>
    <x v="0"/>
    <n v="5"/>
    <n v="119"/>
    <n v="83"/>
    <n v="95"/>
    <n v="81"/>
    <n v="43"/>
    <n v="53"/>
    <x v="0"/>
    <n v="21.874999999999996"/>
    <x v="0"/>
  </r>
  <r>
    <n v="198"/>
    <n v="46"/>
    <x v="1"/>
    <x v="3"/>
    <n v="400"/>
    <x v="0"/>
    <x v="0"/>
    <x v="3"/>
    <x v="0"/>
    <n v="1"/>
    <n v="120"/>
    <n v="82"/>
    <n v="87"/>
    <n v="71"/>
    <n v="55"/>
    <n v="50"/>
    <x v="0"/>
    <n v="23.671253629592222"/>
    <x v="0"/>
  </r>
  <r>
    <n v="199"/>
    <n v="82"/>
    <x v="1"/>
    <x v="2"/>
    <n v="500"/>
    <x v="1"/>
    <x v="1"/>
    <x v="3"/>
    <x v="0"/>
    <n v="4"/>
    <n v="115"/>
    <n v="75"/>
    <n v="110"/>
    <n v="77"/>
    <n v="111"/>
    <n v="39"/>
    <x v="0"/>
    <n v="21.612811791383223"/>
    <x v="0"/>
  </r>
  <r>
    <n v="200"/>
    <n v="69"/>
    <x v="0"/>
    <x v="2"/>
    <n v="500"/>
    <x v="0"/>
    <x v="1"/>
    <x v="3"/>
    <x v="0"/>
    <n v="6"/>
    <n v="120"/>
    <n v="80"/>
    <n v="79"/>
    <n v="226"/>
    <n v="69"/>
    <n v="54"/>
    <x v="1"/>
    <n v="22.862534475250399"/>
    <x v="1"/>
  </r>
  <r>
    <n v="201"/>
    <n v="55"/>
    <x v="1"/>
    <x v="3"/>
    <n v="600"/>
    <x v="1"/>
    <x v="1"/>
    <x v="3"/>
    <x v="2"/>
    <n v="4"/>
    <n v="120"/>
    <n v="82"/>
    <n v="80"/>
    <n v="104"/>
    <n v="162"/>
    <n v="80"/>
    <x v="0"/>
    <n v="24.343809494085704"/>
    <x v="0"/>
  </r>
  <r>
    <n v="202"/>
    <n v="65"/>
    <x v="1"/>
    <x v="0"/>
    <n v="1800"/>
    <x v="0"/>
    <x v="0"/>
    <x v="3"/>
    <x v="0"/>
    <n v="3"/>
    <n v="120"/>
    <n v="80"/>
    <n v="90"/>
    <n v="90"/>
    <n v="120"/>
    <n v="58"/>
    <x v="1"/>
    <n v="26.296566837107374"/>
    <x v="1"/>
  </r>
  <r>
    <n v="203"/>
    <n v="52"/>
    <x v="1"/>
    <x v="3"/>
    <n v="300"/>
    <x v="0"/>
    <x v="1"/>
    <x v="1"/>
    <x v="0"/>
    <n v="4"/>
    <n v="110"/>
    <n v="72"/>
    <n v="90"/>
    <n v="87"/>
    <n v="140"/>
    <n v="80"/>
    <x v="1"/>
    <n v="25.661152034778407"/>
    <x v="1"/>
  </r>
  <r>
    <n v="204"/>
    <n v="70"/>
    <x v="1"/>
    <x v="1"/>
    <n v="700"/>
    <x v="1"/>
    <x v="0"/>
    <x v="1"/>
    <x v="0"/>
    <n v="10"/>
    <n v="145"/>
    <n v="91"/>
    <n v="106"/>
    <n v="108"/>
    <n v="170"/>
    <n v="38"/>
    <x v="1"/>
    <n v="30.421849648458629"/>
    <x v="1"/>
  </r>
  <r>
    <n v="205"/>
    <n v="72"/>
    <x v="1"/>
    <x v="3"/>
    <n v="300"/>
    <x v="0"/>
    <x v="0"/>
    <x v="1"/>
    <x v="0"/>
    <n v="12"/>
    <n v="162"/>
    <n v="98"/>
    <n v="110"/>
    <n v="125"/>
    <n v="165"/>
    <n v="35"/>
    <x v="1"/>
    <n v="30.717399920729289"/>
    <x v="1"/>
  </r>
  <r>
    <n v="206"/>
    <n v="43"/>
    <x v="1"/>
    <x v="3"/>
    <n v="600"/>
    <x v="0"/>
    <x v="1"/>
    <x v="1"/>
    <x v="0"/>
    <n v="3"/>
    <n v="100"/>
    <n v="72"/>
    <n v="90"/>
    <n v="96"/>
    <n v="173"/>
    <n v="55"/>
    <x v="0"/>
    <n v="22.460034350640772"/>
    <x v="0"/>
  </r>
  <r>
    <n v="207"/>
    <n v="41"/>
    <x v="1"/>
    <x v="3"/>
    <n v="1300"/>
    <x v="1"/>
    <x v="1"/>
    <x v="3"/>
    <x v="0"/>
    <n v="10"/>
    <n v="152"/>
    <n v="98"/>
    <n v="92"/>
    <n v="106"/>
    <n v="140"/>
    <n v="35"/>
    <x v="0"/>
    <n v="29.410734918245165"/>
    <x v="0"/>
  </r>
  <r>
    <n v="208"/>
    <n v="39"/>
    <x v="1"/>
    <x v="3"/>
    <n v="800"/>
    <x v="0"/>
    <x v="0"/>
    <x v="3"/>
    <x v="2"/>
    <n v="2"/>
    <n v="107"/>
    <n v="82"/>
    <n v="92"/>
    <n v="93"/>
    <n v="170"/>
    <n v="70"/>
    <x v="0"/>
    <n v="29.737044338267232"/>
    <x v="0"/>
  </r>
  <r>
    <n v="209"/>
    <n v="37"/>
    <x v="1"/>
    <x v="0"/>
    <n v="600"/>
    <x v="0"/>
    <x v="1"/>
    <x v="3"/>
    <x v="0"/>
    <n v="2"/>
    <n v="99"/>
    <n v="67"/>
    <n v="78"/>
    <n v="89"/>
    <n v="143"/>
    <n v="38"/>
    <x v="0"/>
    <n v="25.510204081632658"/>
    <x v="0"/>
  </r>
  <r>
    <n v="210"/>
    <n v="35"/>
    <x v="1"/>
    <x v="0"/>
    <n v="800"/>
    <x v="0"/>
    <x v="1"/>
    <x v="3"/>
    <x v="0"/>
    <n v="3"/>
    <n v="110"/>
    <n v="72"/>
    <n v="88"/>
    <n v="78"/>
    <n v="120"/>
    <n v="53"/>
    <x v="0"/>
    <n v="26.472107438016529"/>
    <x v="0"/>
  </r>
  <r>
    <n v="211"/>
    <n v="43"/>
    <x v="1"/>
    <x v="3"/>
    <n v="700"/>
    <x v="0"/>
    <x v="1"/>
    <x v="3"/>
    <x v="2"/>
    <n v="4"/>
    <n v="120"/>
    <n v="80"/>
    <n v="92"/>
    <n v="92"/>
    <n v="132"/>
    <n v="35"/>
    <x v="0"/>
    <n v="23.456790123456788"/>
    <x v="0"/>
  </r>
  <r>
    <n v="212"/>
    <n v="46"/>
    <x v="1"/>
    <x v="0"/>
    <n v="800"/>
    <x v="0"/>
    <x v="1"/>
    <x v="3"/>
    <x v="0"/>
    <n v="3"/>
    <n v="100"/>
    <n v="72"/>
    <n v="92"/>
    <n v="92"/>
    <n v="140"/>
    <n v="38"/>
    <x v="0"/>
    <n v="27.358845456721728"/>
    <x v="0"/>
  </r>
  <r>
    <n v="213"/>
    <n v="48"/>
    <x v="1"/>
    <x v="3"/>
    <n v="1200"/>
    <x v="1"/>
    <x v="1"/>
    <x v="3"/>
    <x v="0"/>
    <n v="4"/>
    <n v="110"/>
    <n v="75"/>
    <n v="90"/>
    <n v="88"/>
    <n v="120"/>
    <n v="62"/>
    <x v="1"/>
    <n v="27.08415906989034"/>
    <x v="1"/>
  </r>
  <r>
    <n v="214"/>
    <n v="51"/>
    <x v="1"/>
    <x v="0"/>
    <n v="800"/>
    <x v="0"/>
    <x v="1"/>
    <x v="1"/>
    <x v="0"/>
    <n v="4"/>
    <n v="107"/>
    <n v="78"/>
    <n v="90"/>
    <n v="88"/>
    <n v="122"/>
    <n v="50"/>
    <x v="0"/>
    <n v="27.763429752066116"/>
    <x v="0"/>
  </r>
  <r>
    <n v="215"/>
    <n v="58"/>
    <x v="1"/>
    <x v="0"/>
    <n v="700"/>
    <x v="0"/>
    <x v="1"/>
    <x v="3"/>
    <x v="2"/>
    <n v="4"/>
    <n v="110"/>
    <n v="98"/>
    <n v="92"/>
    <n v="94"/>
    <n v="130"/>
    <n v="70"/>
    <x v="1"/>
    <n v="30.38710529792575"/>
    <x v="1"/>
  </r>
  <r>
    <n v="216"/>
    <n v="65"/>
    <x v="1"/>
    <x v="0"/>
    <n v="2800"/>
    <x v="0"/>
    <x v="0"/>
    <x v="1"/>
    <x v="0"/>
    <n v="8"/>
    <n v="158"/>
    <n v="96"/>
    <n v="98"/>
    <n v="148"/>
    <n v="178"/>
    <n v="36"/>
    <x v="0"/>
    <n v="32.449972958355872"/>
    <x v="0"/>
  </r>
  <r>
    <n v="217"/>
    <n v="58"/>
    <x v="1"/>
    <x v="3"/>
    <n v="700"/>
    <x v="0"/>
    <x v="1"/>
    <x v="1"/>
    <x v="0"/>
    <n v="3"/>
    <n v="112"/>
    <n v="70"/>
    <n v="90"/>
    <n v="92"/>
    <n v="118"/>
    <n v="70"/>
    <x v="0"/>
    <n v="26.196187350082059"/>
    <x v="0"/>
  </r>
  <r>
    <n v="218"/>
    <n v="56"/>
    <x v="1"/>
    <x v="0"/>
    <n v="800"/>
    <x v="0"/>
    <x v="0"/>
    <x v="3"/>
    <x v="0"/>
    <n v="4"/>
    <n v="110"/>
    <n v="72"/>
    <n v="88"/>
    <n v="96"/>
    <n v="140"/>
    <n v="40"/>
    <x v="0"/>
    <n v="25.826446280991735"/>
    <x v="0"/>
  </r>
  <r>
    <n v="219"/>
    <n v="57"/>
    <x v="1"/>
    <x v="3"/>
    <n v="600"/>
    <x v="0"/>
    <x v="1"/>
    <x v="3"/>
    <x v="2"/>
    <n v="3"/>
    <n v="112"/>
    <n v="76"/>
    <n v="87"/>
    <n v="88"/>
    <n v="132"/>
    <n v="58"/>
    <x v="0"/>
    <n v="25.308641975308639"/>
    <x v="0"/>
  </r>
  <r>
    <n v="220"/>
    <n v="54"/>
    <x v="1"/>
    <x v="3"/>
    <n v="300"/>
    <x v="0"/>
    <x v="0"/>
    <x v="3"/>
    <x v="0"/>
    <n v="3"/>
    <n v="100"/>
    <n v="80"/>
    <n v="81"/>
    <n v="80"/>
    <n v="140"/>
    <n v="66"/>
    <x v="0"/>
    <n v="23.661438615467823"/>
    <x v="0"/>
  </r>
  <r>
    <n v="221"/>
    <n v="45"/>
    <x v="1"/>
    <x v="3"/>
    <n v="800"/>
    <x v="0"/>
    <x v="1"/>
    <x v="3"/>
    <x v="0"/>
    <n v="4"/>
    <n v="100"/>
    <n v="68"/>
    <n v="88"/>
    <n v="98"/>
    <n v="140"/>
    <n v="70"/>
    <x v="1"/>
    <n v="26.423569824283259"/>
    <x v="1"/>
  </r>
  <r>
    <n v="222"/>
    <n v="32"/>
    <x v="1"/>
    <x v="3"/>
    <n v="700"/>
    <x v="0"/>
    <x v="1"/>
    <x v="3"/>
    <x v="0"/>
    <n v="3"/>
    <n v="98"/>
    <n v="60"/>
    <n v="90"/>
    <n v="88"/>
    <n v="128"/>
    <n v="38"/>
    <x v="0"/>
    <n v="26.927437641723358"/>
    <x v="0"/>
  </r>
  <r>
    <n v="223"/>
    <n v="40"/>
    <x v="1"/>
    <x v="3"/>
    <n v="880"/>
    <x v="0"/>
    <x v="0"/>
    <x v="3"/>
    <x v="0"/>
    <n v="3"/>
    <n v="100"/>
    <n v="70"/>
    <n v="78"/>
    <n v="82"/>
    <n v="128"/>
    <n v="70"/>
    <x v="0"/>
    <n v="22.985397512168742"/>
    <x v="0"/>
  </r>
  <r>
    <n v="224"/>
    <n v="43"/>
    <x v="1"/>
    <x v="3"/>
    <n v="500"/>
    <x v="1"/>
    <x v="1"/>
    <x v="3"/>
    <x v="0"/>
    <n v="3"/>
    <n v="112"/>
    <n v="70"/>
    <n v="86"/>
    <n v="96"/>
    <n v="132"/>
    <n v="62"/>
    <x v="0"/>
    <n v="24.691358024691358"/>
    <x v="0"/>
  </r>
  <r>
    <n v="225"/>
    <n v="38"/>
    <x v="1"/>
    <x v="0"/>
    <n v="400"/>
    <x v="0"/>
    <x v="1"/>
    <x v="3"/>
    <x v="0"/>
    <n v="4"/>
    <n v="110"/>
    <n v="78"/>
    <n v="88"/>
    <n v="99"/>
    <n v="112"/>
    <n v="35"/>
    <x v="1"/>
    <n v="24.535123966942148"/>
    <x v="1"/>
  </r>
  <r>
    <n v="226"/>
    <n v="67"/>
    <x v="1"/>
    <x v="3"/>
    <n v="1800"/>
    <x v="1"/>
    <x v="1"/>
    <x v="1"/>
    <x v="0"/>
    <n v="8"/>
    <n v="160"/>
    <n v="105"/>
    <n v="93"/>
    <n v="138"/>
    <n v="180"/>
    <n v="38"/>
    <x v="1"/>
    <n v="29.410758865975858"/>
    <x v="1"/>
  </r>
  <r>
    <n v="227"/>
    <n v="62"/>
    <x v="1"/>
    <x v="3"/>
    <n v="400"/>
    <x v="0"/>
    <x v="1"/>
    <x v="1"/>
    <x v="0"/>
    <n v="2"/>
    <n v="120"/>
    <n v="80"/>
    <n v="86"/>
    <n v="92"/>
    <n v="120"/>
    <n v="34"/>
    <x v="0"/>
    <n v="25.762980578676178"/>
    <x v="0"/>
  </r>
  <r>
    <n v="228"/>
    <n v="53"/>
    <x v="1"/>
    <x v="0"/>
    <n v="300"/>
    <x v="0"/>
    <x v="0"/>
    <x v="3"/>
    <x v="0"/>
    <n v="3"/>
    <n v="110"/>
    <n v="72"/>
    <n v="88"/>
    <n v="88"/>
    <n v="140"/>
    <n v="38"/>
    <x v="1"/>
    <n v="27.763429752066116"/>
    <x v="1"/>
  </r>
  <r>
    <n v="229"/>
    <n v="58"/>
    <x v="1"/>
    <x v="1"/>
    <n v="480"/>
    <x v="0"/>
    <x v="1"/>
    <x v="3"/>
    <x v="0"/>
    <n v="4"/>
    <n v="105"/>
    <n v="70"/>
    <n v="90"/>
    <n v="82"/>
    <n v="136"/>
    <n v="53"/>
    <x v="1"/>
    <n v="27.170631566235961"/>
    <x v="1"/>
  </r>
  <r>
    <n v="230"/>
    <n v="60"/>
    <x v="1"/>
    <x v="1"/>
    <n v="600"/>
    <x v="0"/>
    <x v="1"/>
    <x v="3"/>
    <x v="0"/>
    <n v="4"/>
    <n v="98"/>
    <n v="72"/>
    <n v="84"/>
    <n v="88"/>
    <n v="140"/>
    <n v="50"/>
    <x v="0"/>
    <n v="25.180785123966942"/>
    <x v="0"/>
  </r>
  <r>
    <n v="231"/>
    <n v="58"/>
    <x v="1"/>
    <x v="3"/>
    <n v="2200"/>
    <x v="1"/>
    <x v="0"/>
    <x v="3"/>
    <x v="0"/>
    <n v="6"/>
    <n v="155"/>
    <n v="98"/>
    <n v="95"/>
    <n v="176"/>
    <n v="112"/>
    <n v="36"/>
    <x v="0"/>
    <n v="28.40909090909091"/>
    <x v="0"/>
  </r>
  <r>
    <n v="232"/>
    <n v="52"/>
    <x v="1"/>
    <x v="3"/>
    <n v="400"/>
    <x v="0"/>
    <x v="0"/>
    <x v="1"/>
    <x v="0"/>
    <n v="2"/>
    <n v="108"/>
    <n v="80"/>
    <n v="90"/>
    <n v="94"/>
    <n v="120"/>
    <n v="60"/>
    <x v="0"/>
    <n v="27.717685235262305"/>
    <x v="0"/>
  </r>
  <r>
    <n v="233"/>
    <n v="38"/>
    <x v="1"/>
    <x v="3"/>
    <n v="600"/>
    <x v="0"/>
    <x v="1"/>
    <x v="3"/>
    <x v="2"/>
    <n v="4"/>
    <n v="118"/>
    <n v="78"/>
    <n v="90"/>
    <n v="96"/>
    <n v="122"/>
    <n v="62"/>
    <x v="1"/>
    <n v="27.117768595041323"/>
    <x v="1"/>
  </r>
  <r>
    <n v="234"/>
    <n v="32"/>
    <x v="1"/>
    <x v="2"/>
    <n v="400"/>
    <x v="0"/>
    <x v="1"/>
    <x v="3"/>
    <x v="0"/>
    <n v="4"/>
    <n v="120"/>
    <n v="78"/>
    <n v="91"/>
    <n v="96"/>
    <n v="130"/>
    <n v="58"/>
    <x v="0"/>
    <n v="28.405337561104506"/>
    <x v="0"/>
  </r>
  <r>
    <n v="235"/>
    <n v="48"/>
    <x v="1"/>
    <x v="1"/>
    <n v="400"/>
    <x v="0"/>
    <x v="0"/>
    <x v="0"/>
    <x v="0"/>
    <n v="3"/>
    <n v="110"/>
    <n v="76"/>
    <n v="86"/>
    <n v="88"/>
    <n v="140"/>
    <n v="60"/>
    <x v="1"/>
    <n v="27.636054421768712"/>
    <x v="1"/>
  </r>
  <r>
    <n v="236"/>
    <n v="37"/>
    <x v="1"/>
    <x v="3"/>
    <n v="380"/>
    <x v="0"/>
    <x v="1"/>
    <x v="3"/>
    <x v="0"/>
    <n v="3"/>
    <n v="112"/>
    <n v="78"/>
    <n v="88"/>
    <n v="88"/>
    <n v="140"/>
    <n v="62"/>
    <x v="1"/>
    <n v="23.120623596247853"/>
    <x v="1"/>
  </r>
  <r>
    <n v="237"/>
    <n v="36"/>
    <x v="1"/>
    <x v="3"/>
    <n v="480"/>
    <x v="1"/>
    <x v="1"/>
    <x v="3"/>
    <x v="2"/>
    <n v="4"/>
    <n v="114"/>
    <n v="80"/>
    <n v="82"/>
    <n v="90"/>
    <n v="170"/>
    <n v="38"/>
    <x v="1"/>
    <n v="25.249337204898371"/>
    <x v="1"/>
  </r>
  <r>
    <n v="238"/>
    <n v="34"/>
    <x v="1"/>
    <x v="3"/>
    <n v="350"/>
    <x v="0"/>
    <x v="0"/>
    <x v="0"/>
    <x v="0"/>
    <n v="3"/>
    <n v="98"/>
    <n v="70"/>
    <n v="90"/>
    <n v="110"/>
    <n v="108"/>
    <n v="70"/>
    <x v="0"/>
    <n v="26.927437641723358"/>
    <x v="0"/>
  </r>
  <r>
    <n v="239"/>
    <n v="33"/>
    <x v="1"/>
    <x v="3"/>
    <n v="400"/>
    <x v="0"/>
    <x v="1"/>
    <x v="3"/>
    <x v="0"/>
    <n v="3"/>
    <n v="100"/>
    <n v="68"/>
    <n v="86"/>
    <n v="88"/>
    <n v="120"/>
    <n v="65"/>
    <x v="1"/>
    <n v="22.720438370810918"/>
    <x v="1"/>
  </r>
  <r>
    <n v="240"/>
    <n v="42"/>
    <x v="1"/>
    <x v="0"/>
    <n v="700"/>
    <x v="0"/>
    <x v="1"/>
    <x v="3"/>
    <x v="0"/>
    <n v="3"/>
    <n v="108"/>
    <n v="78"/>
    <n v="82"/>
    <n v="86"/>
    <n v="140"/>
    <n v="70"/>
    <x v="1"/>
    <n v="22.340297065571789"/>
    <x v="1"/>
  </r>
  <r>
    <n v="241"/>
    <n v="48"/>
    <x v="0"/>
    <x v="0"/>
    <n v="400"/>
    <x v="0"/>
    <x v="1"/>
    <x v="3"/>
    <x v="0"/>
    <n v="3"/>
    <n v="112"/>
    <n v="76"/>
    <n v="79"/>
    <n v="89"/>
    <n v="124"/>
    <n v="42"/>
    <x v="0"/>
    <n v="26.1286108288576"/>
    <x v="0"/>
  </r>
  <r>
    <n v="242"/>
    <n v="52"/>
    <x v="0"/>
    <x v="3"/>
    <n v="800"/>
    <x v="1"/>
    <x v="1"/>
    <x v="3"/>
    <x v="0"/>
    <n v="4"/>
    <n v="118"/>
    <n v="78"/>
    <n v="93"/>
    <n v="124"/>
    <n v="142"/>
    <n v="38"/>
    <x v="1"/>
    <n v="28.344671201814062"/>
    <x v="1"/>
  </r>
  <r>
    <n v="243"/>
    <n v="58"/>
    <x v="0"/>
    <x v="2"/>
    <n v="200"/>
    <x v="1"/>
    <x v="0"/>
    <x v="1"/>
    <x v="0"/>
    <n v="6"/>
    <n v="140"/>
    <n v="93"/>
    <n v="98"/>
    <n v="134"/>
    <n v="160"/>
    <n v="40"/>
    <x v="0"/>
    <n v="30.08382909680909"/>
    <x v="0"/>
  </r>
  <r>
    <n v="244"/>
    <n v="54"/>
    <x v="0"/>
    <x v="0"/>
    <n v="1200"/>
    <x v="0"/>
    <x v="1"/>
    <x v="3"/>
    <x v="0"/>
    <n v="5"/>
    <n v="125"/>
    <n v="88"/>
    <n v="96"/>
    <n v="184"/>
    <n v="180"/>
    <n v="42"/>
    <x v="1"/>
    <n v="30.094730002393902"/>
    <x v="1"/>
  </r>
  <r>
    <n v="245"/>
    <n v="62"/>
    <x v="0"/>
    <x v="0"/>
    <n v="700"/>
    <x v="0"/>
    <x v="1"/>
    <x v="3"/>
    <x v="0"/>
    <n v="6"/>
    <n v="160"/>
    <n v="108"/>
    <n v="94"/>
    <n v="132"/>
    <n v="120"/>
    <n v="40"/>
    <x v="0"/>
    <n v="31.231409875074366"/>
    <x v="0"/>
  </r>
  <r>
    <n v="246"/>
    <n v="67"/>
    <x v="1"/>
    <x v="0"/>
    <n v="2000"/>
    <x v="1"/>
    <x v="0"/>
    <x v="3"/>
    <x v="0"/>
    <n v="6"/>
    <n v="160"/>
    <n v="104"/>
    <n v="91"/>
    <n v="122"/>
    <n v="178"/>
    <n v="30"/>
    <x v="0"/>
    <n v="27.717685235262305"/>
    <x v="0"/>
  </r>
  <r>
    <n v="247"/>
    <n v="52"/>
    <x v="1"/>
    <x v="3"/>
    <n v="600"/>
    <x v="0"/>
    <x v="1"/>
    <x v="3"/>
    <x v="1"/>
    <n v="3"/>
    <n v="110"/>
    <n v="78"/>
    <n v="89"/>
    <n v="97"/>
    <n v="122"/>
    <n v="56"/>
    <x v="0"/>
    <n v="23.243801652892564"/>
    <x v="0"/>
  </r>
  <r>
    <n v="248"/>
    <n v="42"/>
    <x v="0"/>
    <x v="0"/>
    <n v="500"/>
    <x v="0"/>
    <x v="1"/>
    <x v="3"/>
    <x v="0"/>
    <n v="3"/>
    <n v="118"/>
    <n v="81"/>
    <n v="94"/>
    <n v="92"/>
    <n v="126"/>
    <n v="53"/>
    <x v="0"/>
    <n v="25.529644871208653"/>
    <x v="0"/>
  </r>
  <r>
    <n v="249"/>
    <n v="58"/>
    <x v="0"/>
    <x v="1"/>
    <n v="800"/>
    <x v="0"/>
    <x v="1"/>
    <x v="3"/>
    <x v="0"/>
    <n v="6"/>
    <n v="145"/>
    <n v="96"/>
    <n v="98"/>
    <n v="136"/>
    <n v="158"/>
    <n v="53"/>
    <x v="1"/>
    <n v="30.119375573921033"/>
    <x v="1"/>
  </r>
  <r>
    <n v="250"/>
    <n v="25"/>
    <x v="0"/>
    <x v="0"/>
    <n v="100"/>
    <x v="0"/>
    <x v="1"/>
    <x v="1"/>
    <x v="0"/>
    <n v="4"/>
    <n v="126"/>
    <n v="66"/>
    <n v="96"/>
    <n v="103"/>
    <n v="96"/>
    <n v="40"/>
    <x v="0"/>
    <n v="26.709401709401707"/>
    <x v="0"/>
  </r>
  <r>
    <n v="251"/>
    <n v="30"/>
    <x v="0"/>
    <x v="3"/>
    <n v="400"/>
    <x v="0"/>
    <x v="1"/>
    <x v="1"/>
    <x v="0"/>
    <n v="3"/>
    <n v="143"/>
    <n v="89"/>
    <n v="100"/>
    <n v="178"/>
    <n v="124"/>
    <n v="51"/>
    <x v="1"/>
    <n v="34.478096268253111"/>
    <x v="1"/>
  </r>
  <r>
    <n v="252"/>
    <n v="61"/>
    <x v="1"/>
    <x v="1"/>
    <n v="300"/>
    <x v="0"/>
    <x v="1"/>
    <x v="3"/>
    <x v="0"/>
    <n v="1"/>
    <n v="133"/>
    <n v="93"/>
    <n v="88"/>
    <n v="92"/>
    <n v="108"/>
    <n v="37"/>
    <x v="0"/>
    <n v="27.459821944733491"/>
    <x v="0"/>
  </r>
  <r>
    <n v="253"/>
    <n v="67"/>
    <x v="0"/>
    <x v="1"/>
    <n v="200"/>
    <x v="0"/>
    <x v="1"/>
    <x v="0"/>
    <x v="0"/>
    <n v="2"/>
    <n v="116"/>
    <n v="58"/>
    <n v="92"/>
    <n v="233"/>
    <n v="108"/>
    <n v="52"/>
    <x v="0"/>
    <n v="29.065743944636683"/>
    <x v="0"/>
  </r>
  <r>
    <n v="255"/>
    <n v="31"/>
    <x v="0"/>
    <x v="3"/>
    <n v="700"/>
    <x v="0"/>
    <x v="1"/>
    <x v="0"/>
    <x v="0"/>
    <n v="5"/>
    <n v="109"/>
    <n v="76"/>
    <n v="78"/>
    <n v="96"/>
    <n v="143"/>
    <n v="40"/>
    <x v="0"/>
    <n v="25.344352617079892"/>
    <x v="0"/>
  </r>
  <r>
    <n v="256"/>
    <n v="61"/>
    <x v="0"/>
    <x v="2"/>
    <n v="400"/>
    <x v="0"/>
    <x v="1"/>
    <x v="0"/>
    <x v="0"/>
    <n v="3"/>
    <n v="135"/>
    <n v="86"/>
    <n v="80"/>
    <n v="101"/>
    <n v="107"/>
    <n v="42"/>
    <x v="1"/>
    <n v="23.140495867768596"/>
    <x v="1"/>
  </r>
  <r>
    <n v="257"/>
    <n v="24"/>
    <x v="0"/>
    <x v="3"/>
    <n v="100"/>
    <x v="0"/>
    <x v="1"/>
    <x v="3"/>
    <x v="0"/>
    <n v="4"/>
    <n v="118"/>
    <n v="78"/>
    <n v="76"/>
    <n v="89"/>
    <n v="112"/>
    <n v="51"/>
    <x v="0"/>
    <n v="24.767565919829291"/>
    <x v="0"/>
  </r>
  <r>
    <n v="258"/>
    <n v="49"/>
    <x v="0"/>
    <x v="0"/>
    <n v="750"/>
    <x v="0"/>
    <x v="1"/>
    <x v="3"/>
    <x v="0"/>
    <n v="5"/>
    <n v="110"/>
    <n v="77"/>
    <n v="82"/>
    <n v="113"/>
    <n v="126"/>
    <n v="50"/>
    <x v="0"/>
    <n v="26.026174895895306"/>
    <x v="0"/>
  </r>
  <r>
    <n v="259"/>
    <n v="41"/>
    <x v="1"/>
    <x v="2"/>
    <n v="300"/>
    <x v="1"/>
    <x v="0"/>
    <x v="0"/>
    <x v="0"/>
    <n v="2"/>
    <n v="116"/>
    <n v="90"/>
    <n v="70"/>
    <n v="88"/>
    <n v="72"/>
    <n v="36"/>
    <x v="0"/>
    <n v="16.60899653979239"/>
    <x v="0"/>
  </r>
  <r>
    <n v="260"/>
    <n v="31"/>
    <x v="1"/>
    <x v="3"/>
    <n v="500"/>
    <x v="1"/>
    <x v="1"/>
    <x v="1"/>
    <x v="2"/>
    <n v="4"/>
    <n v="144"/>
    <n v="75"/>
    <n v="90"/>
    <n v="98"/>
    <n v="91"/>
    <n v="51"/>
    <x v="0"/>
    <n v="24.441802087462015"/>
    <x v="0"/>
  </r>
  <r>
    <n v="262"/>
    <n v="38"/>
    <x v="0"/>
    <x v="0"/>
    <n v="250"/>
    <x v="0"/>
    <x v="1"/>
    <x v="1"/>
    <x v="0"/>
    <n v="3"/>
    <n v="178"/>
    <n v="93"/>
    <n v="95"/>
    <n v="319"/>
    <n v="82"/>
    <n v="51"/>
    <x v="0"/>
    <n v="21.60410477990818"/>
    <x v="0"/>
  </r>
  <r>
    <n v="263"/>
    <n v="28"/>
    <x v="1"/>
    <x v="3"/>
    <n v="600"/>
    <x v="0"/>
    <x v="1"/>
    <x v="3"/>
    <x v="0"/>
    <n v="3"/>
    <n v="134"/>
    <n v="81"/>
    <n v="75"/>
    <n v="91"/>
    <n v="57"/>
    <n v="34"/>
    <x v="1"/>
    <n v="16.757292842242059"/>
    <x v="1"/>
  </r>
  <r>
    <n v="264"/>
    <n v="39"/>
    <x v="1"/>
    <x v="3"/>
    <n v="400"/>
    <x v="0"/>
    <x v="0"/>
    <x v="1"/>
    <x v="0"/>
    <n v="3"/>
    <n v="137"/>
    <n v="90"/>
    <n v="74"/>
    <n v="76"/>
    <n v="53"/>
    <n v="58"/>
    <x v="0"/>
    <n v="19.591836734693878"/>
    <x v="0"/>
  </r>
  <r>
    <n v="265"/>
    <n v="39"/>
    <x v="0"/>
    <x v="0"/>
    <n v="900"/>
    <x v="0"/>
    <x v="1"/>
    <x v="0"/>
    <x v="0"/>
    <n v="5"/>
    <n v="108"/>
    <n v="68"/>
    <n v="76"/>
    <n v="106"/>
    <n v="121"/>
    <n v="69"/>
    <x v="0"/>
    <n v="25.180785123966942"/>
    <x v="0"/>
  </r>
  <r>
    <n v="266"/>
    <n v="31"/>
    <x v="0"/>
    <x v="3"/>
    <n v="400"/>
    <x v="0"/>
    <x v="1"/>
    <x v="3"/>
    <x v="0"/>
    <n v="8"/>
    <n v="120"/>
    <n v="70"/>
    <n v="79"/>
    <n v="83"/>
    <n v="61"/>
    <n v="92"/>
    <x v="1"/>
    <n v="23.529411764705884"/>
    <x v="1"/>
  </r>
  <r>
    <n v="267"/>
    <n v="36"/>
    <x v="1"/>
    <x v="3"/>
    <n v="1800"/>
    <x v="0"/>
    <x v="1"/>
    <x v="4"/>
    <x v="0"/>
    <n v="3"/>
    <n v="95"/>
    <n v="70"/>
    <n v="89"/>
    <n v="116"/>
    <n v="40"/>
    <n v="50"/>
    <x v="0"/>
    <n v="21.146319909102385"/>
    <x v="0"/>
  </r>
  <r>
    <n v="268"/>
    <n v="36"/>
    <x v="0"/>
    <x v="3"/>
    <n v="900"/>
    <x v="0"/>
    <x v="1"/>
    <x v="0"/>
    <x v="1"/>
    <n v="2"/>
    <n v="116"/>
    <n v="80"/>
    <n v="93"/>
    <n v="82"/>
    <n v="99"/>
    <n v="53"/>
    <x v="1"/>
    <n v="31.861629494765594"/>
    <x v="1"/>
  </r>
  <r>
    <n v="269"/>
    <n v="70"/>
    <x v="0"/>
    <x v="2"/>
    <n v="500"/>
    <x v="0"/>
    <x v="1"/>
    <x v="3"/>
    <x v="0"/>
    <n v="6"/>
    <n v="120"/>
    <n v="80"/>
    <n v="79"/>
    <n v="226"/>
    <n v="69"/>
    <n v="54"/>
    <x v="0"/>
    <n v="22.862534475250399"/>
    <x v="0"/>
  </r>
  <r>
    <n v="270"/>
    <n v="36"/>
    <x v="1"/>
    <x v="0"/>
    <n v="800"/>
    <x v="0"/>
    <x v="1"/>
    <x v="3"/>
    <x v="0"/>
    <n v="3"/>
    <n v="110"/>
    <n v="72"/>
    <n v="88"/>
    <n v="78"/>
    <n v="120"/>
    <n v="53"/>
    <x v="1"/>
    <n v="26.472107438016529"/>
    <x v="1"/>
  </r>
  <r>
    <n v="271"/>
    <n v="55"/>
    <x v="1"/>
    <x v="3"/>
    <n v="300"/>
    <x v="0"/>
    <x v="0"/>
    <x v="3"/>
    <x v="0"/>
    <n v="3"/>
    <n v="100"/>
    <n v="80"/>
    <n v="81"/>
    <n v="80"/>
    <n v="140"/>
    <n v="66"/>
    <x v="1"/>
    <n v="23.661438615467823"/>
    <x v="1"/>
  </r>
  <r>
    <n v="272"/>
    <n v="61"/>
    <x v="1"/>
    <x v="1"/>
    <n v="600"/>
    <x v="0"/>
    <x v="1"/>
    <x v="3"/>
    <x v="0"/>
    <n v="4"/>
    <n v="98"/>
    <n v="72"/>
    <n v="84"/>
    <n v="88"/>
    <n v="140"/>
    <n v="50"/>
    <x v="0"/>
    <n v="25.180785123966942"/>
    <x v="0"/>
  </r>
  <r>
    <n v="273"/>
    <n v="43"/>
    <x v="1"/>
    <x v="0"/>
    <n v="700"/>
    <x v="0"/>
    <x v="0"/>
    <x v="3"/>
    <x v="0"/>
    <n v="3"/>
    <n v="108"/>
    <n v="78"/>
    <n v="82"/>
    <n v="86"/>
    <n v="140"/>
    <n v="70"/>
    <x v="1"/>
    <n v="22.340297065571789"/>
    <x v="1"/>
  </r>
  <r>
    <n v="274"/>
    <n v="24"/>
    <x v="0"/>
    <x v="0"/>
    <n v="500"/>
    <x v="0"/>
    <x v="1"/>
    <x v="0"/>
    <x v="0"/>
    <n v="2"/>
    <n v="117"/>
    <n v="87"/>
    <n v="85"/>
    <n v="92"/>
    <n v="98"/>
    <n v="33"/>
    <x v="0"/>
    <n v="22.948115744558788"/>
    <x v="0"/>
  </r>
  <r>
    <n v="275"/>
    <n v="48"/>
    <x v="1"/>
    <x v="3"/>
    <n v="700"/>
    <x v="0"/>
    <x v="0"/>
    <x v="2"/>
    <x v="2"/>
    <n v="4"/>
    <n v="151"/>
    <n v="83"/>
    <n v="99"/>
    <n v="102"/>
    <n v="128"/>
    <n v="50"/>
    <x v="0"/>
    <n v="25.880570635020831"/>
    <x v="0"/>
  </r>
  <r>
    <n v="276"/>
    <n v="41"/>
    <x v="0"/>
    <x v="2"/>
    <n v="300"/>
    <x v="0"/>
    <x v="1"/>
    <x v="3"/>
    <x v="2"/>
    <n v="1"/>
    <n v="116"/>
    <n v="80"/>
    <n v="119"/>
    <n v="105"/>
    <n v="129"/>
    <n v="40"/>
    <x v="0"/>
    <n v="33.705044999820721"/>
    <x v="0"/>
  </r>
  <r>
    <n v="277"/>
    <n v="42"/>
    <x v="0"/>
    <x v="1"/>
    <n v="200"/>
    <x v="0"/>
    <x v="1"/>
    <x v="3"/>
    <x v="0"/>
    <n v="3"/>
    <n v="131"/>
    <n v="76"/>
    <n v="78"/>
    <n v="98"/>
    <n v="58"/>
    <n v="32"/>
    <x v="1"/>
    <n v="23.147255121330193"/>
    <x v="1"/>
  </r>
  <r>
    <n v="278"/>
    <n v="46"/>
    <x v="0"/>
    <x v="0"/>
    <n v="250"/>
    <x v="0"/>
    <x v="1"/>
    <x v="3"/>
    <x v="0"/>
    <n v="8"/>
    <n v="154"/>
    <n v="78"/>
    <n v="96"/>
    <n v="161"/>
    <n v="157"/>
    <n v="40"/>
    <x v="1"/>
    <n v="30.778701138811947"/>
    <x v="1"/>
  </r>
  <r>
    <n v="279"/>
    <n v="36"/>
    <x v="0"/>
    <x v="1"/>
    <n v="500"/>
    <x v="0"/>
    <x v="1"/>
    <x v="3"/>
    <x v="0"/>
    <n v="5"/>
    <n v="118"/>
    <n v="81"/>
    <n v="102"/>
    <n v="93"/>
    <n v="108"/>
    <n v="43"/>
    <x v="0"/>
    <n v="32.830614548066073"/>
    <x v="0"/>
  </r>
  <r>
    <n v="280"/>
    <n v="66"/>
    <x v="1"/>
    <x v="0"/>
    <n v="800"/>
    <x v="1"/>
    <x v="0"/>
    <x v="1"/>
    <x v="0"/>
    <n v="5"/>
    <n v="152"/>
    <n v="86"/>
    <n v="77"/>
    <n v="99"/>
    <n v="108"/>
    <n v="44"/>
    <x v="0"/>
    <n v="21.545090797168363"/>
    <x v="0"/>
  </r>
  <r>
    <n v="282"/>
    <n v="30"/>
    <x v="0"/>
    <x v="3"/>
    <n v="300"/>
    <x v="0"/>
    <x v="1"/>
    <x v="0"/>
    <x v="0"/>
    <n v="4"/>
    <n v="127"/>
    <n v="73"/>
    <n v="77"/>
    <n v="94"/>
    <n v="83"/>
    <n v="43"/>
    <x v="0"/>
    <n v="23.529411764705884"/>
    <x v="0"/>
  </r>
  <r>
    <n v="283"/>
    <n v="33"/>
    <x v="1"/>
    <x v="0"/>
    <n v="300"/>
    <x v="0"/>
    <x v="1"/>
    <x v="3"/>
    <x v="0"/>
    <n v="6"/>
    <n v="115"/>
    <n v="78"/>
    <n v="82"/>
    <n v="213"/>
    <n v="88"/>
    <n v="51"/>
    <x v="0"/>
    <n v="21.847008520333322"/>
    <x v="0"/>
  </r>
  <r>
    <n v="284"/>
    <n v="28"/>
    <x v="1"/>
    <x v="3"/>
    <n v="650"/>
    <x v="0"/>
    <x v="1"/>
    <x v="1"/>
    <x v="1"/>
    <n v="1"/>
    <n v="123"/>
    <n v="82"/>
    <n v="69"/>
    <n v="94"/>
    <n v="65"/>
    <n v="54"/>
    <x v="0"/>
    <n v="16.262975778546714"/>
    <x v="0"/>
  </r>
  <r>
    <n v="285"/>
    <n v="26"/>
    <x v="1"/>
    <x v="0"/>
    <n v="150"/>
    <x v="1"/>
    <x v="1"/>
    <x v="1"/>
    <x v="0"/>
    <n v="2"/>
    <n v="137"/>
    <n v="67"/>
    <n v="78"/>
    <n v="72"/>
    <n v="98"/>
    <n v="55"/>
    <x v="1"/>
    <n v="17.505615008587661"/>
    <x v="1"/>
  </r>
  <r>
    <n v="286"/>
    <n v="71"/>
    <x v="1"/>
    <x v="1"/>
    <n v="900"/>
    <x v="1"/>
    <x v="1"/>
    <x v="0"/>
    <x v="0"/>
    <n v="6"/>
    <n v="137"/>
    <n v="67"/>
    <n v="107"/>
    <n v="104"/>
    <n v="96"/>
    <n v="40"/>
    <x v="0"/>
    <n v="30.668904958677686"/>
    <x v="0"/>
  </r>
  <r>
    <n v="287"/>
    <n v="26"/>
    <x v="0"/>
    <x v="0"/>
    <n v="500"/>
    <x v="0"/>
    <x v="1"/>
    <x v="3"/>
    <x v="0"/>
    <n v="2"/>
    <n v="123"/>
    <n v="79"/>
    <n v="78"/>
    <n v="95"/>
    <n v="83"/>
    <n v="27"/>
    <x v="1"/>
    <n v="22.481329065691202"/>
    <x v="1"/>
  </r>
  <r>
    <n v="288"/>
    <n v="63"/>
    <x v="1"/>
    <x v="3"/>
    <n v="400"/>
    <x v="0"/>
    <x v="0"/>
    <x v="3"/>
    <x v="0"/>
    <n v="10"/>
    <n v="106"/>
    <n v="76"/>
    <n v="97"/>
    <n v="132"/>
    <n v="66"/>
    <n v="23"/>
    <x v="0"/>
    <n v="22.460034350640772"/>
    <x v="0"/>
  </r>
  <r>
    <n v="289"/>
    <n v="61"/>
    <x v="0"/>
    <x v="1"/>
    <n v="250"/>
    <x v="0"/>
    <x v="1"/>
    <x v="3"/>
    <x v="0"/>
    <n v="6"/>
    <n v="178"/>
    <n v="107"/>
    <n v="69"/>
    <n v="92"/>
    <n v="82"/>
    <n v="51"/>
    <x v="1"/>
    <n v="17.941817249775728"/>
    <x v="1"/>
  </r>
  <r>
    <n v="290"/>
    <n v="46"/>
    <x v="0"/>
    <x v="2"/>
    <n v="700"/>
    <x v="0"/>
    <x v="1"/>
    <x v="0"/>
    <x v="0"/>
    <n v="5"/>
    <n v="123"/>
    <n v="76"/>
    <n v="78"/>
    <n v="101"/>
    <n v="44"/>
    <n v="56"/>
    <x v="0"/>
    <n v="24.508945765204302"/>
    <x v="0"/>
  </r>
  <r>
    <n v="291"/>
    <n v="32"/>
    <x v="0"/>
    <x v="3"/>
    <n v="900"/>
    <x v="0"/>
    <x v="1"/>
    <x v="0"/>
    <x v="0"/>
    <n v="2"/>
    <n v="127"/>
    <n v="84"/>
    <n v="76"/>
    <n v="108"/>
    <n v="56"/>
    <n v="43"/>
    <x v="1"/>
    <n v="27.102040816326532"/>
    <x v="1"/>
  </r>
  <r>
    <n v="292"/>
    <n v="34"/>
    <x v="0"/>
    <x v="3"/>
    <n v="800"/>
    <x v="0"/>
    <x v="1"/>
    <x v="4"/>
    <x v="2"/>
    <n v="5"/>
    <n v="95"/>
    <n v="70"/>
    <n v="76"/>
    <n v="104"/>
    <n v="36"/>
    <n v="60"/>
    <x v="1"/>
    <n v="29.744199881023206"/>
    <x v="1"/>
  </r>
  <r>
    <n v="293"/>
    <n v="31"/>
    <x v="0"/>
    <x v="0"/>
    <n v="100"/>
    <x v="0"/>
    <x v="1"/>
    <x v="3"/>
    <x v="0"/>
    <n v="2"/>
    <n v="116"/>
    <n v="70"/>
    <n v="77"/>
    <n v="95"/>
    <n v="48"/>
    <n v="35"/>
    <x v="1"/>
    <n v="18.286779733945284"/>
    <x v="1"/>
  </r>
  <r>
    <n v="294"/>
    <n v="56"/>
    <x v="1"/>
    <x v="3"/>
    <n v="600"/>
    <x v="1"/>
    <x v="1"/>
    <x v="3"/>
    <x v="2"/>
    <n v="4"/>
    <n v="120"/>
    <n v="82"/>
    <n v="80"/>
    <n v="104"/>
    <n v="162"/>
    <n v="80"/>
    <x v="1"/>
    <n v="24.343809494085704"/>
    <x v="1"/>
  </r>
  <r>
    <n v="295"/>
    <n v="44"/>
    <x v="1"/>
    <x v="3"/>
    <n v="700"/>
    <x v="0"/>
    <x v="1"/>
    <x v="3"/>
    <x v="2"/>
    <n v="4"/>
    <n v="120"/>
    <n v="80"/>
    <n v="92"/>
    <n v="92"/>
    <n v="132"/>
    <n v="35"/>
    <x v="0"/>
    <n v="23.456790123456788"/>
    <x v="0"/>
  </r>
  <r>
    <n v="296"/>
    <n v="46"/>
    <x v="1"/>
    <x v="3"/>
    <n v="800"/>
    <x v="0"/>
    <x v="0"/>
    <x v="3"/>
    <x v="0"/>
    <n v="4"/>
    <n v="100"/>
    <n v="68"/>
    <n v="88"/>
    <n v="98"/>
    <n v="140"/>
    <n v="70"/>
    <x v="1"/>
    <n v="26.423569824283259"/>
    <x v="1"/>
  </r>
  <r>
    <n v="297"/>
    <n v="59"/>
    <x v="1"/>
    <x v="3"/>
    <n v="2200"/>
    <x v="1"/>
    <x v="1"/>
    <x v="3"/>
    <x v="0"/>
    <n v="6"/>
    <n v="155"/>
    <n v="98"/>
    <n v="95"/>
    <n v="176"/>
    <n v="112"/>
    <n v="36"/>
    <x v="1"/>
    <n v="28.40909090909091"/>
    <x v="1"/>
  </r>
  <r>
    <n v="298"/>
    <n v="49"/>
    <x v="0"/>
    <x v="0"/>
    <n v="400"/>
    <x v="0"/>
    <x v="1"/>
    <x v="3"/>
    <x v="0"/>
    <n v="3"/>
    <n v="112"/>
    <n v="76"/>
    <n v="79"/>
    <n v="89"/>
    <n v="124"/>
    <n v="42"/>
    <x v="0"/>
    <n v="26.1286108288576"/>
    <x v="0"/>
  </r>
  <r>
    <n v="299"/>
    <n v="20"/>
    <x v="1"/>
    <x v="1"/>
    <n v="100"/>
    <x v="0"/>
    <x v="1"/>
    <x v="0"/>
    <x v="1"/>
    <n v="7"/>
    <n v="133"/>
    <n v="83"/>
    <n v="90"/>
    <n v="97"/>
    <n v="100"/>
    <n v="36"/>
    <x v="0"/>
    <n v="24.337479718766904"/>
    <x v="0"/>
  </r>
  <r>
    <n v="300"/>
    <n v="64"/>
    <x v="1"/>
    <x v="3"/>
    <n v="600"/>
    <x v="0"/>
    <x v="0"/>
    <x v="0"/>
    <x v="0"/>
    <n v="3"/>
    <n v="120"/>
    <n v="78"/>
    <n v="107"/>
    <n v="87"/>
    <n v="130"/>
    <n v="53"/>
    <x v="0"/>
    <n v="28.734672057202044"/>
    <x v="0"/>
  </r>
  <r>
    <n v="301"/>
    <n v="26"/>
    <x v="0"/>
    <x v="2"/>
    <n v="300"/>
    <x v="0"/>
    <x v="1"/>
    <x v="3"/>
    <x v="0"/>
    <n v="1"/>
    <n v="95"/>
    <n v="56"/>
    <n v="103"/>
    <n v="98"/>
    <n v="133"/>
    <n v="54"/>
    <x v="0"/>
    <n v="22.213678499722331"/>
    <x v="0"/>
  </r>
  <r>
    <n v="302"/>
    <n v="71"/>
    <x v="0"/>
    <x v="0"/>
    <n v="300"/>
    <x v="0"/>
    <x v="1"/>
    <x v="3"/>
    <x v="0"/>
    <n v="4"/>
    <n v="172"/>
    <n v="82"/>
    <n v="104"/>
    <n v="96"/>
    <n v="199"/>
    <n v="43"/>
    <x v="0"/>
    <n v="23.624447492760247"/>
    <x v="0"/>
  </r>
  <r>
    <n v="303"/>
    <n v="41"/>
    <x v="0"/>
    <x v="1"/>
    <n v="300"/>
    <x v="0"/>
    <x v="1"/>
    <x v="3"/>
    <x v="0"/>
    <n v="4"/>
    <n v="134"/>
    <n v="87"/>
    <n v="88"/>
    <n v="126"/>
    <n v="132"/>
    <n v="53"/>
    <x v="0"/>
    <n v="28.06642386982525"/>
    <x v="0"/>
  </r>
  <r>
    <n v="304"/>
    <n v="33"/>
    <x v="1"/>
    <x v="0"/>
    <n v="400"/>
    <x v="0"/>
    <x v="1"/>
    <x v="3"/>
    <x v="0"/>
    <n v="4"/>
    <n v="143"/>
    <n v="83"/>
    <n v="84"/>
    <n v="99"/>
    <n v="116"/>
    <n v="33"/>
    <x v="1"/>
    <n v="26.332888752094664"/>
    <x v="1"/>
  </r>
  <r>
    <n v="305"/>
    <n v="56"/>
    <x v="0"/>
    <x v="1"/>
    <n v="700"/>
    <x v="0"/>
    <x v="1"/>
    <x v="1"/>
    <x v="2"/>
    <n v="4"/>
    <n v="139"/>
    <n v="86"/>
    <n v="99"/>
    <n v="75"/>
    <n v="107"/>
    <n v="53"/>
    <x v="1"/>
    <n v="30.486685032139579"/>
    <x v="1"/>
  </r>
  <r>
    <n v="306"/>
    <n v="35"/>
    <x v="0"/>
    <x v="2"/>
    <n v="200"/>
    <x v="0"/>
    <x v="1"/>
    <x v="3"/>
    <x v="0"/>
    <n v="4"/>
    <n v="121"/>
    <n v="73"/>
    <n v="76"/>
    <n v="85"/>
    <n v="75"/>
    <n v="55"/>
    <x v="1"/>
    <n v="19.100091827364558"/>
    <x v="1"/>
  </r>
  <r>
    <n v="307"/>
    <n v="31"/>
    <x v="0"/>
    <x v="2"/>
    <n v="800"/>
    <x v="0"/>
    <x v="1"/>
    <x v="0"/>
    <x v="0"/>
    <n v="6"/>
    <n v="105"/>
    <n v="70"/>
    <n v="76"/>
    <n v="129"/>
    <n v="119"/>
    <n v="54"/>
    <x v="0"/>
    <n v="31.553659148768332"/>
    <x v="0"/>
  </r>
  <r>
    <n v="308"/>
    <n v="51"/>
    <x v="0"/>
    <x v="1"/>
    <n v="300"/>
    <x v="0"/>
    <x v="1"/>
    <x v="3"/>
    <x v="0"/>
    <n v="5"/>
    <n v="122"/>
    <n v="80"/>
    <n v="90"/>
    <n v="252"/>
    <n v="92"/>
    <n v="54"/>
    <x v="1"/>
    <n v="26.365603028664147"/>
    <x v="1"/>
  </r>
  <r>
    <n v="309"/>
    <n v="38"/>
    <x v="0"/>
    <x v="1"/>
    <n v="450"/>
    <x v="0"/>
    <x v="1"/>
    <x v="3"/>
    <x v="0"/>
    <n v="8"/>
    <n v="110"/>
    <n v="62"/>
    <n v="97"/>
    <n v="111"/>
    <n v="119"/>
    <n v="51"/>
    <x v="0"/>
    <n v="27.732299776136855"/>
    <x v="0"/>
  </r>
  <r>
    <n v="310"/>
    <n v="37"/>
    <x v="0"/>
    <x v="2"/>
    <n v="300"/>
    <x v="0"/>
    <x v="1"/>
    <x v="1"/>
    <x v="0"/>
    <n v="4"/>
    <n v="147"/>
    <n v="84"/>
    <n v="87"/>
    <n v="125"/>
    <n v="137"/>
    <n v="53"/>
    <x v="1"/>
    <n v="23.183673469387756"/>
    <x v="1"/>
  </r>
  <r>
    <n v="311"/>
    <n v="35"/>
    <x v="0"/>
    <x v="2"/>
    <n v="700"/>
    <x v="0"/>
    <x v="1"/>
    <x v="3"/>
    <x v="2"/>
    <n v="4"/>
    <n v="94"/>
    <n v="59"/>
    <n v="69"/>
    <n v="89"/>
    <n v="69"/>
    <n v="75"/>
    <x v="1"/>
    <n v="17.514631124781069"/>
    <x v="1"/>
  </r>
  <r>
    <n v="312"/>
    <n v="33"/>
    <x v="0"/>
    <x v="3"/>
    <n v="300"/>
    <x v="0"/>
    <x v="1"/>
    <x v="3"/>
    <x v="2"/>
    <n v="1"/>
    <n v="117"/>
    <n v="84"/>
    <n v="78"/>
    <n v="97"/>
    <n v="61"/>
    <n v="39"/>
    <x v="0"/>
    <n v="22.64086462471699"/>
    <x v="0"/>
  </r>
  <r>
    <n v="313"/>
    <n v="49"/>
    <x v="1"/>
    <x v="3"/>
    <n v="300"/>
    <x v="0"/>
    <x v="1"/>
    <x v="3"/>
    <x v="0"/>
    <n v="4"/>
    <n v="120"/>
    <n v="86"/>
    <n v="92"/>
    <n v="80"/>
    <n v="118"/>
    <n v="31"/>
    <x v="1"/>
    <n v="25.762980578676178"/>
    <x v="1"/>
  </r>
  <r>
    <n v="314"/>
    <n v="51"/>
    <x v="0"/>
    <x v="1"/>
    <n v="230"/>
    <x v="0"/>
    <x v="1"/>
    <x v="3"/>
    <x v="0"/>
    <n v="6"/>
    <n v="147"/>
    <n v="79"/>
    <n v="88"/>
    <n v="175"/>
    <n v="312"/>
    <n v="40"/>
    <x v="1"/>
    <n v="18.666666666666668"/>
    <x v="1"/>
  </r>
  <r>
    <n v="315"/>
    <n v="23"/>
    <x v="0"/>
    <x v="1"/>
    <n v="200"/>
    <x v="0"/>
    <x v="1"/>
    <x v="0"/>
    <x v="0"/>
    <n v="4"/>
    <n v="106"/>
    <n v="59"/>
    <n v="95"/>
    <n v="91"/>
    <n v="54"/>
    <n v="92"/>
    <x v="1"/>
    <n v="26.446280991735541"/>
    <x v="1"/>
  </r>
  <r>
    <n v="316"/>
    <n v="26"/>
    <x v="0"/>
    <x v="3"/>
    <n v="700"/>
    <x v="0"/>
    <x v="1"/>
    <x v="0"/>
    <x v="0"/>
    <n v="2"/>
    <n v="97"/>
    <n v="58"/>
    <n v="76"/>
    <n v="88"/>
    <n v="55"/>
    <n v="44"/>
    <x v="0"/>
    <n v="20.446742023841672"/>
    <x v="0"/>
  </r>
  <r>
    <n v="317"/>
    <n v="61"/>
    <x v="1"/>
    <x v="1"/>
    <n v="600"/>
    <x v="1"/>
    <x v="0"/>
    <x v="3"/>
    <x v="0"/>
    <n v="2"/>
    <n v="142"/>
    <n v="102"/>
    <n v="60"/>
    <n v="97"/>
    <n v="172"/>
    <n v="43"/>
    <x v="1"/>
    <n v="20.983987603305785"/>
    <x v="1"/>
  </r>
  <r>
    <n v="318"/>
    <n v="21"/>
    <x v="0"/>
    <x v="0"/>
    <n v="200"/>
    <x v="0"/>
    <x v="1"/>
    <x v="3"/>
    <x v="0"/>
    <n v="1"/>
    <n v="101"/>
    <n v="72"/>
    <n v="97"/>
    <n v="94"/>
    <n v="40"/>
    <n v="53"/>
    <x v="0"/>
    <n v="25.847768218818715"/>
    <x v="0"/>
  </r>
  <r>
    <n v="319"/>
    <n v="67"/>
    <x v="1"/>
    <x v="0"/>
    <n v="1800"/>
    <x v="0"/>
    <x v="1"/>
    <x v="3"/>
    <x v="0"/>
    <n v="3"/>
    <n v="120"/>
    <n v="80"/>
    <n v="91"/>
    <n v="90"/>
    <n v="120"/>
    <n v="58"/>
    <x v="1"/>
    <n v="26.296566837107374"/>
    <x v="1"/>
  </r>
  <r>
    <n v="320"/>
    <n v="47"/>
    <x v="1"/>
    <x v="0"/>
    <n v="800"/>
    <x v="0"/>
    <x v="1"/>
    <x v="3"/>
    <x v="0"/>
    <n v="3"/>
    <n v="100"/>
    <n v="72"/>
    <n v="92"/>
    <n v="92"/>
    <n v="140"/>
    <n v="38"/>
    <x v="0"/>
    <n v="27.358845456721728"/>
    <x v="0"/>
  </r>
  <r>
    <n v="321"/>
    <n v="33"/>
    <x v="1"/>
    <x v="3"/>
    <n v="700"/>
    <x v="0"/>
    <x v="1"/>
    <x v="3"/>
    <x v="0"/>
    <n v="3"/>
    <n v="98"/>
    <n v="60"/>
    <n v="90"/>
    <n v="88"/>
    <n v="128"/>
    <n v="38"/>
    <x v="1"/>
    <n v="26.927437641723358"/>
    <x v="1"/>
  </r>
  <r>
    <n v="322"/>
    <n v="53"/>
    <x v="1"/>
    <x v="3"/>
    <n v="400"/>
    <x v="0"/>
    <x v="0"/>
    <x v="1"/>
    <x v="0"/>
    <n v="2"/>
    <n v="108"/>
    <n v="80"/>
    <n v="90"/>
    <n v="94"/>
    <n v="120"/>
    <n v="60"/>
    <x v="1"/>
    <n v="27.717685235262305"/>
    <x v="1"/>
  </r>
  <r>
    <n v="323"/>
    <n v="53"/>
    <x v="0"/>
    <x v="3"/>
    <n v="800"/>
    <x v="1"/>
    <x v="1"/>
    <x v="3"/>
    <x v="0"/>
    <n v="4"/>
    <n v="118"/>
    <n v="78"/>
    <n v="93"/>
    <n v="124"/>
    <n v="142"/>
    <n v="38"/>
    <x v="0"/>
    <n v="28.344671201814062"/>
    <x v="0"/>
  </r>
  <r>
    <n v="324"/>
    <n v="61"/>
    <x v="0"/>
    <x v="2"/>
    <n v="200"/>
    <x v="0"/>
    <x v="1"/>
    <x v="0"/>
    <x v="0"/>
    <n v="4"/>
    <n v="136"/>
    <n v="76"/>
    <n v="95"/>
    <n v="105"/>
    <n v="110"/>
    <n v="50"/>
    <x v="0"/>
    <n v="32.421874999999993"/>
    <x v="0"/>
  </r>
  <r>
    <n v="325"/>
    <n v="40"/>
    <x v="0"/>
    <x v="0"/>
    <n v="800"/>
    <x v="0"/>
    <x v="1"/>
    <x v="0"/>
    <x v="0"/>
    <n v="7"/>
    <n v="140"/>
    <n v="93"/>
    <n v="107"/>
    <n v="114"/>
    <n v="109"/>
    <n v="51"/>
    <x v="0"/>
    <n v="36.250470230156289"/>
    <x v="0"/>
  </r>
  <r>
    <n v="326"/>
    <n v="51"/>
    <x v="0"/>
    <x v="2"/>
    <n v="380"/>
    <x v="0"/>
    <x v="1"/>
    <x v="3"/>
    <x v="2"/>
    <n v="1"/>
    <n v="178"/>
    <n v="103"/>
    <n v="104"/>
    <n v="184"/>
    <n v="256"/>
    <n v="33"/>
    <x v="0"/>
    <n v="26.037493991347535"/>
    <x v="0"/>
  </r>
  <r>
    <n v="327"/>
    <n v="23"/>
    <x v="1"/>
    <x v="0"/>
    <n v="650"/>
    <x v="0"/>
    <x v="1"/>
    <x v="1"/>
    <x v="1"/>
    <n v="2"/>
    <n v="137"/>
    <n v="81"/>
    <n v="72"/>
    <n v="83"/>
    <n v="60"/>
    <n v="41"/>
    <x v="1"/>
    <n v="16.372080590731397"/>
    <x v="1"/>
  </r>
  <r>
    <n v="328"/>
    <n v="25"/>
    <x v="0"/>
    <x v="0"/>
    <n v="300"/>
    <x v="0"/>
    <x v="1"/>
    <x v="0"/>
    <x v="0"/>
    <n v="6"/>
    <n v="128"/>
    <n v="87"/>
    <n v="101"/>
    <n v="104"/>
    <n v="126"/>
    <n v="51"/>
    <x v="1"/>
    <n v="35.566499093738251"/>
    <x v="1"/>
  </r>
  <r>
    <n v="329"/>
    <n v="21"/>
    <x v="1"/>
    <x v="3"/>
    <n v="200"/>
    <x v="0"/>
    <x v="1"/>
    <x v="3"/>
    <x v="0"/>
    <n v="4"/>
    <n v="105"/>
    <n v="63"/>
    <n v="79"/>
    <n v="99"/>
    <n v="106"/>
    <n v="40"/>
    <x v="1"/>
    <n v="20.576131687242793"/>
    <x v="1"/>
  </r>
  <r>
    <n v="330"/>
    <n v="38"/>
    <x v="0"/>
    <x v="3"/>
    <n v="500"/>
    <x v="0"/>
    <x v="1"/>
    <x v="0"/>
    <x v="0"/>
    <n v="4"/>
    <n v="125"/>
    <n v="80"/>
    <n v="86"/>
    <n v="99"/>
    <n v="99"/>
    <n v="42"/>
    <x v="1"/>
    <n v="24.535123966942148"/>
    <x v="1"/>
  </r>
  <r>
    <n v="331"/>
    <n v="41"/>
    <x v="0"/>
    <x v="2"/>
    <n v="300"/>
    <x v="0"/>
    <x v="1"/>
    <x v="0"/>
    <x v="0"/>
    <n v="5"/>
    <n v="120"/>
    <n v="69"/>
    <n v="77"/>
    <n v="86"/>
    <n v="114"/>
    <n v="52"/>
    <x v="0"/>
    <n v="24.167162403331353"/>
    <x v="0"/>
  </r>
  <r>
    <n v="332"/>
    <n v="46"/>
    <x v="1"/>
    <x v="0"/>
    <n v="600"/>
    <x v="1"/>
    <x v="1"/>
    <x v="0"/>
    <x v="1"/>
    <n v="4"/>
    <n v="126"/>
    <n v="81"/>
    <n v="73"/>
    <n v="235"/>
    <n v="97"/>
    <n v="44"/>
    <x v="0"/>
    <n v="20.571428571428573"/>
    <x v="0"/>
  </r>
  <r>
    <n v="333"/>
    <n v="31"/>
    <x v="0"/>
    <x v="3"/>
    <n v="700"/>
    <x v="0"/>
    <x v="1"/>
    <x v="0"/>
    <x v="0"/>
    <n v="4"/>
    <n v="157"/>
    <n v="82"/>
    <n v="89"/>
    <n v="86"/>
    <n v="44"/>
    <n v="40"/>
    <x v="0"/>
    <n v="26.448979591836736"/>
    <x v="0"/>
  </r>
  <r>
    <n v="334"/>
    <n v="30"/>
    <x v="1"/>
    <x v="3"/>
    <n v="1400"/>
    <x v="0"/>
    <x v="0"/>
    <x v="1"/>
    <x v="2"/>
    <n v="6"/>
    <n v="122"/>
    <n v="84"/>
    <n v="87"/>
    <n v="71"/>
    <n v="144"/>
    <n v="51"/>
    <x v="0"/>
    <n v="23.98687034465345"/>
    <x v="0"/>
  </r>
  <r>
    <n v="335"/>
    <n v="61"/>
    <x v="0"/>
    <x v="0"/>
    <n v="600"/>
    <x v="0"/>
    <x v="1"/>
    <x v="3"/>
    <x v="0"/>
    <n v="10"/>
    <n v="148"/>
    <n v="90"/>
    <n v="110"/>
    <n v="196"/>
    <n v="139"/>
    <n v="41"/>
    <x v="0"/>
    <n v="37.113546444452233"/>
    <x v="0"/>
  </r>
  <r>
    <n v="336"/>
    <n v="31"/>
    <x v="0"/>
    <x v="0"/>
    <n v="700"/>
    <x v="0"/>
    <x v="1"/>
    <x v="3"/>
    <x v="0"/>
    <n v="4"/>
    <n v="118"/>
    <n v="65"/>
    <n v="76"/>
    <n v="89"/>
    <n v="51"/>
    <n v="56"/>
    <x v="0"/>
    <n v="18.730489073881373"/>
    <x v="0"/>
  </r>
  <r>
    <n v="337"/>
    <n v="34"/>
    <x v="0"/>
    <x v="0"/>
    <n v="500"/>
    <x v="0"/>
    <x v="1"/>
    <x v="3"/>
    <x v="0"/>
    <n v="2"/>
    <n v="124"/>
    <n v="82"/>
    <n v="99"/>
    <n v="89"/>
    <n v="42"/>
    <n v="38"/>
    <x v="1"/>
    <n v="26.1286108288576"/>
    <x v="1"/>
  </r>
  <r>
    <n v="338"/>
    <n v="65"/>
    <x v="0"/>
    <x v="1"/>
    <n v="700"/>
    <x v="0"/>
    <x v="1"/>
    <x v="0"/>
    <x v="0"/>
    <n v="7"/>
    <n v="180"/>
    <n v="120"/>
    <n v="114"/>
    <n v="78"/>
    <n v="107"/>
    <n v="22"/>
    <x v="0"/>
    <n v="35.492157923201731"/>
    <x v="0"/>
  </r>
  <r>
    <n v="339"/>
    <n v="29"/>
    <x v="0"/>
    <x v="2"/>
    <n v="750"/>
    <x v="0"/>
    <x v="1"/>
    <x v="3"/>
    <x v="0"/>
    <n v="4"/>
    <n v="127"/>
    <n v="76"/>
    <n v="76"/>
    <n v="94"/>
    <n v="104"/>
    <n v="42"/>
    <x v="1"/>
    <n v="24.524346347059055"/>
    <x v="1"/>
  </r>
  <r>
    <n v="340"/>
    <n v="51"/>
    <x v="0"/>
    <x v="2"/>
    <n v="100"/>
    <x v="0"/>
    <x v="1"/>
    <x v="0"/>
    <x v="0"/>
    <n v="4"/>
    <n v="155"/>
    <n v="99"/>
    <n v="98"/>
    <n v="97"/>
    <n v="181"/>
    <n v="66"/>
    <x v="0"/>
    <n v="28.604764951635367"/>
    <x v="0"/>
  </r>
  <r>
    <n v="342"/>
    <n v="30"/>
    <x v="0"/>
    <x v="1"/>
    <n v="600"/>
    <x v="0"/>
    <x v="1"/>
    <x v="3"/>
    <x v="0"/>
    <n v="4"/>
    <n v="130"/>
    <n v="83"/>
    <n v="100"/>
    <n v="116"/>
    <n v="78"/>
    <n v="54"/>
    <x v="0"/>
    <n v="30.693877551020407"/>
    <x v="0"/>
  </r>
  <r>
    <n v="343"/>
    <n v="31"/>
    <x v="0"/>
    <x v="0"/>
    <n v="250"/>
    <x v="0"/>
    <x v="1"/>
    <x v="0"/>
    <x v="0"/>
    <n v="1"/>
    <n v="121"/>
    <n v="73"/>
    <n v="93"/>
    <n v="94"/>
    <n v="54"/>
    <n v="63"/>
    <x v="0"/>
    <n v="25.076193048107708"/>
    <x v="0"/>
  </r>
  <r>
    <n v="344"/>
    <n v="53"/>
    <x v="1"/>
    <x v="3"/>
    <n v="300"/>
    <x v="0"/>
    <x v="1"/>
    <x v="1"/>
    <x v="0"/>
    <n v="4"/>
    <n v="110"/>
    <n v="72"/>
    <n v="90"/>
    <n v="87"/>
    <n v="140"/>
    <n v="80"/>
    <x v="0"/>
    <n v="25.661152034778407"/>
    <x v="0"/>
  </r>
  <r>
    <n v="345"/>
    <n v="49"/>
    <x v="1"/>
    <x v="3"/>
    <n v="1200"/>
    <x v="1"/>
    <x v="1"/>
    <x v="3"/>
    <x v="0"/>
    <n v="4"/>
    <n v="110"/>
    <n v="75"/>
    <n v="90"/>
    <n v="88"/>
    <n v="120"/>
    <n v="62"/>
    <x v="0"/>
    <n v="27.08415906989034"/>
    <x v="0"/>
  </r>
  <r>
    <n v="346"/>
    <n v="41"/>
    <x v="1"/>
    <x v="3"/>
    <n v="880"/>
    <x v="0"/>
    <x v="1"/>
    <x v="3"/>
    <x v="0"/>
    <n v="3"/>
    <n v="100"/>
    <n v="70"/>
    <n v="78"/>
    <n v="82"/>
    <n v="128"/>
    <n v="70"/>
    <x v="0"/>
    <n v="22.985397512168742"/>
    <x v="0"/>
  </r>
  <r>
    <n v="347"/>
    <n v="39"/>
    <x v="1"/>
    <x v="3"/>
    <n v="600"/>
    <x v="0"/>
    <x v="0"/>
    <x v="3"/>
    <x v="2"/>
    <n v="4"/>
    <n v="118"/>
    <n v="78"/>
    <n v="90"/>
    <n v="96"/>
    <n v="122"/>
    <n v="62"/>
    <x v="0"/>
    <n v="27.117768595041323"/>
    <x v="0"/>
  </r>
  <r>
    <n v="348"/>
    <n v="59"/>
    <x v="0"/>
    <x v="2"/>
    <n v="200"/>
    <x v="1"/>
    <x v="1"/>
    <x v="1"/>
    <x v="0"/>
    <n v="6"/>
    <n v="140"/>
    <n v="93"/>
    <n v="98"/>
    <n v="134"/>
    <n v="160"/>
    <n v="40"/>
    <x v="0"/>
    <n v="30.08382909680909"/>
    <x v="0"/>
  </r>
  <r>
    <n v="349"/>
    <n v="21"/>
    <x v="1"/>
    <x v="0"/>
    <n v="300"/>
    <x v="0"/>
    <x v="1"/>
    <x v="0"/>
    <x v="0"/>
    <n v="3"/>
    <n v="116"/>
    <n v="69"/>
    <n v="82"/>
    <n v="94"/>
    <n v="88"/>
    <n v="54"/>
    <x v="0"/>
    <n v="15.548945375878855"/>
    <x v="0"/>
  </r>
  <r>
    <n v="350"/>
    <n v="24"/>
    <x v="0"/>
    <x v="0"/>
    <n v="200"/>
    <x v="0"/>
    <x v="1"/>
    <x v="0"/>
    <x v="0"/>
    <n v="3"/>
    <n v="120"/>
    <n v="76"/>
    <n v="78"/>
    <n v="99"/>
    <n v="119"/>
    <n v="51"/>
    <x v="0"/>
    <n v="23.683171790710933"/>
    <x v="0"/>
  </r>
  <r>
    <n v="351"/>
    <n v="33"/>
    <x v="0"/>
    <x v="3"/>
    <n v="600"/>
    <x v="0"/>
    <x v="1"/>
    <x v="3"/>
    <x v="0"/>
    <n v="1"/>
    <n v="142"/>
    <n v="81"/>
    <n v="120"/>
    <n v="83"/>
    <n v="102"/>
    <n v="53"/>
    <x v="0"/>
    <n v="39.669421487603309"/>
    <x v="0"/>
  </r>
  <r>
    <n v="352"/>
    <n v="23"/>
    <x v="0"/>
    <x v="0"/>
    <n v="300"/>
    <x v="0"/>
    <x v="1"/>
    <x v="2"/>
    <x v="0"/>
    <n v="4"/>
    <n v="131"/>
    <n v="85"/>
    <n v="76"/>
    <n v="87"/>
    <n v="190"/>
    <n v="53"/>
    <x v="1"/>
    <n v="32.323232323232325"/>
    <x v="1"/>
  </r>
  <r>
    <n v="353"/>
    <n v="23"/>
    <x v="0"/>
    <x v="1"/>
    <n v="800"/>
    <x v="0"/>
    <x v="1"/>
    <x v="3"/>
    <x v="0"/>
    <n v="7"/>
    <n v="120"/>
    <n v="85"/>
    <n v="99"/>
    <n v="109"/>
    <n v="134"/>
    <n v="52"/>
    <x v="0"/>
    <n v="33.464034613304491"/>
    <x v="0"/>
  </r>
  <r>
    <n v="354"/>
    <n v="37"/>
    <x v="0"/>
    <x v="0"/>
    <n v="800"/>
    <x v="0"/>
    <x v="1"/>
    <x v="1"/>
    <x v="0"/>
    <n v="2"/>
    <n v="110"/>
    <n v="75"/>
    <n v="102"/>
    <n v="105"/>
    <n v="143"/>
    <n v="34"/>
    <x v="0"/>
    <n v="38.974765490817809"/>
    <x v="0"/>
  </r>
  <r>
    <n v="355"/>
    <n v="48"/>
    <x v="1"/>
    <x v="1"/>
    <n v="300"/>
    <x v="1"/>
    <x v="1"/>
    <x v="0"/>
    <x v="0"/>
    <n v="4"/>
    <n v="100"/>
    <n v="66"/>
    <n v="83"/>
    <n v="97"/>
    <n v="85"/>
    <n v="51"/>
    <x v="0"/>
    <n v="24.489795918367346"/>
    <x v="0"/>
  </r>
  <r>
    <n v="356"/>
    <n v="33"/>
    <x v="1"/>
    <x v="3"/>
    <n v="1000"/>
    <x v="0"/>
    <x v="0"/>
    <x v="3"/>
    <x v="0"/>
    <n v="8"/>
    <n v="122"/>
    <n v="78"/>
    <n v="93"/>
    <n v="109"/>
    <n v="84"/>
    <n v="66"/>
    <x v="0"/>
    <n v="27.763429752066116"/>
    <x v="0"/>
  </r>
  <r>
    <n v="357"/>
    <n v="38"/>
    <x v="0"/>
    <x v="0"/>
    <n v="450"/>
    <x v="0"/>
    <x v="1"/>
    <x v="3"/>
    <x v="0"/>
    <n v="1"/>
    <n v="146"/>
    <n v="75"/>
    <n v="100"/>
    <n v="95"/>
    <n v="56"/>
    <n v="38"/>
    <x v="0"/>
    <n v="30.449826989619382"/>
    <x v="0"/>
  </r>
  <r>
    <n v="358"/>
    <n v="51"/>
    <x v="0"/>
    <x v="0"/>
    <n v="800"/>
    <x v="0"/>
    <x v="1"/>
    <x v="0"/>
    <x v="0"/>
    <n v="1"/>
    <n v="159"/>
    <n v="89"/>
    <n v="76"/>
    <n v="96"/>
    <n v="93"/>
    <n v="51"/>
    <x v="0"/>
    <n v="16.135393882892899"/>
    <x v="0"/>
  </r>
  <r>
    <n v="359"/>
    <n v="31"/>
    <x v="1"/>
    <x v="3"/>
    <n v="350"/>
    <x v="1"/>
    <x v="1"/>
    <x v="3"/>
    <x v="0"/>
    <n v="7"/>
    <n v="140"/>
    <n v="94"/>
    <n v="92"/>
    <n v="66"/>
    <n v="210"/>
    <n v="41"/>
    <x v="1"/>
    <n v="25.978679566424791"/>
    <x v="1"/>
  </r>
  <r>
    <n v="360"/>
    <n v="26"/>
    <x v="0"/>
    <x v="1"/>
    <n v="200"/>
    <x v="0"/>
    <x v="1"/>
    <x v="1"/>
    <x v="0"/>
    <n v="5"/>
    <n v="118"/>
    <n v="60"/>
    <n v="76"/>
    <n v="96"/>
    <n v="70"/>
    <n v="52"/>
    <x v="1"/>
    <n v="20.312499999999996"/>
    <x v="1"/>
  </r>
  <r>
    <n v="361"/>
    <n v="35"/>
    <x v="1"/>
    <x v="1"/>
    <n v="500"/>
    <x v="1"/>
    <x v="0"/>
    <x v="0"/>
    <x v="0"/>
    <n v="3"/>
    <n v="103"/>
    <n v="75"/>
    <n v="102"/>
    <n v="78"/>
    <n v="85"/>
    <n v="27"/>
    <x v="1"/>
    <n v="30.836530531750871"/>
    <x v="1"/>
  </r>
  <r>
    <n v="362"/>
    <n v="41"/>
    <x v="0"/>
    <x v="0"/>
    <n v="300"/>
    <x v="0"/>
    <x v="1"/>
    <x v="3"/>
    <x v="0"/>
    <n v="8"/>
    <n v="142"/>
    <n v="87"/>
    <n v="103"/>
    <n v="131"/>
    <n v="201"/>
    <n v="22"/>
    <x v="0"/>
    <n v="25.909456951787405"/>
    <x v="0"/>
  </r>
  <r>
    <n v="363"/>
    <n v="41"/>
    <x v="0"/>
    <x v="2"/>
    <n v="700"/>
    <x v="0"/>
    <x v="1"/>
    <x v="3"/>
    <x v="0"/>
    <n v="4"/>
    <n v="144"/>
    <n v="74"/>
    <n v="66"/>
    <n v="111"/>
    <n v="35"/>
    <n v="73"/>
    <x v="0"/>
    <n v="16.649323621227886"/>
    <x v="0"/>
  </r>
  <r>
    <n v="364"/>
    <n v="31"/>
    <x v="1"/>
    <x v="3"/>
    <n v="500"/>
    <x v="0"/>
    <x v="1"/>
    <x v="3"/>
    <x v="2"/>
    <n v="2"/>
    <n v="116"/>
    <n v="70"/>
    <n v="66"/>
    <n v="95"/>
    <n v="62"/>
    <n v="53"/>
    <x v="0"/>
    <n v="15.548945375878855"/>
    <x v="0"/>
  </r>
  <r>
    <n v="365"/>
    <n v="25"/>
    <x v="0"/>
    <x v="1"/>
    <n v="900"/>
    <x v="0"/>
    <x v="1"/>
    <x v="0"/>
    <x v="0"/>
    <n v="4"/>
    <n v="117"/>
    <n v="89"/>
    <n v="97"/>
    <n v="84"/>
    <n v="48"/>
    <n v="72"/>
    <x v="0"/>
    <n v="22.758306781975424"/>
    <x v="0"/>
  </r>
  <r>
    <n v="366"/>
    <n v="50"/>
    <x v="0"/>
    <x v="3"/>
    <n v="400"/>
    <x v="0"/>
    <x v="1"/>
    <x v="3"/>
    <x v="0"/>
    <n v="3"/>
    <n v="103"/>
    <n v="55"/>
    <n v="96"/>
    <n v="115"/>
    <n v="52"/>
    <n v="50"/>
    <x v="1"/>
    <n v="29.64951156330951"/>
    <x v="1"/>
  </r>
  <r>
    <n v="367"/>
    <n v="61"/>
    <x v="0"/>
    <x v="1"/>
    <n v="400"/>
    <x v="0"/>
    <x v="1"/>
    <x v="0"/>
    <x v="0"/>
    <n v="4"/>
    <n v="120"/>
    <n v="85"/>
    <n v="111"/>
    <n v="246"/>
    <n v="70"/>
    <n v="40"/>
    <x v="0"/>
    <n v="26.078971533516992"/>
    <x v="0"/>
  </r>
  <r>
    <n v="368"/>
    <n v="30"/>
    <x v="1"/>
    <x v="3"/>
    <n v="150"/>
    <x v="0"/>
    <x v="1"/>
    <x v="3"/>
    <x v="2"/>
    <n v="1"/>
    <n v="120"/>
    <n v="67"/>
    <n v="68"/>
    <n v="90"/>
    <n v="43"/>
    <n v="44"/>
    <x v="1"/>
    <n v="16.141528925619834"/>
    <x v="1"/>
  </r>
  <r>
    <n v="369"/>
    <n v="71"/>
    <x v="1"/>
    <x v="1"/>
    <n v="700"/>
    <x v="1"/>
    <x v="0"/>
    <x v="1"/>
    <x v="0"/>
    <n v="10"/>
    <n v="145"/>
    <n v="91"/>
    <n v="106"/>
    <n v="108"/>
    <n v="170"/>
    <n v="38"/>
    <x v="0"/>
    <n v="30.421849648458629"/>
    <x v="0"/>
  </r>
  <r>
    <n v="370"/>
    <n v="52"/>
    <x v="1"/>
    <x v="0"/>
    <n v="800"/>
    <x v="0"/>
    <x v="1"/>
    <x v="1"/>
    <x v="0"/>
    <n v="4"/>
    <n v="107"/>
    <n v="78"/>
    <n v="90"/>
    <n v="88"/>
    <n v="122"/>
    <n v="50"/>
    <x v="0"/>
    <n v="27.763429752066116"/>
    <x v="0"/>
  </r>
  <r>
    <n v="371"/>
    <n v="44"/>
    <x v="1"/>
    <x v="3"/>
    <n v="500"/>
    <x v="1"/>
    <x v="0"/>
    <x v="3"/>
    <x v="0"/>
    <n v="3"/>
    <n v="112"/>
    <n v="70"/>
    <n v="86"/>
    <n v="97"/>
    <n v="132"/>
    <n v="62"/>
    <x v="1"/>
    <n v="24.691358024691358"/>
    <x v="1"/>
  </r>
  <r>
    <n v="372"/>
    <n v="33"/>
    <x v="1"/>
    <x v="2"/>
    <n v="400"/>
    <x v="0"/>
    <x v="1"/>
    <x v="3"/>
    <x v="0"/>
    <n v="4"/>
    <n v="120"/>
    <n v="78"/>
    <n v="91"/>
    <n v="97"/>
    <n v="130"/>
    <n v="58"/>
    <x v="1"/>
    <n v="28.405337561104506"/>
    <x v="1"/>
  </r>
  <r>
    <n v="373"/>
    <n v="55"/>
    <x v="0"/>
    <x v="0"/>
    <n v="1200"/>
    <x v="0"/>
    <x v="1"/>
    <x v="3"/>
    <x v="0"/>
    <n v="5"/>
    <n v="125"/>
    <n v="88"/>
    <n v="96"/>
    <n v="184"/>
    <n v="180"/>
    <n v="42"/>
    <x v="0"/>
    <n v="30.094730002393902"/>
    <x v="0"/>
  </r>
  <r>
    <n v="374"/>
    <n v="51"/>
    <x v="0"/>
    <x v="2"/>
    <n v="200"/>
    <x v="0"/>
    <x v="1"/>
    <x v="0"/>
    <x v="0"/>
    <n v="2"/>
    <n v="148"/>
    <n v="77"/>
    <n v="115"/>
    <n v="103"/>
    <n v="192"/>
    <n v="31"/>
    <x v="1"/>
    <n v="40.458259894247711"/>
    <x v="1"/>
  </r>
  <r>
    <n v="375"/>
    <n v="22"/>
    <x v="1"/>
    <x v="3"/>
    <n v="100"/>
    <x v="0"/>
    <x v="1"/>
    <x v="1"/>
    <x v="2"/>
    <n v="3"/>
    <n v="110"/>
    <n v="56"/>
    <n v="64"/>
    <n v="96"/>
    <n v="108"/>
    <n v="53"/>
    <x v="1"/>
    <n v="18.424036281179141"/>
    <x v="1"/>
  </r>
  <r>
    <n v="376"/>
    <n v="53"/>
    <x v="0"/>
    <x v="2"/>
    <n v="300"/>
    <x v="0"/>
    <x v="1"/>
    <x v="1"/>
    <x v="0"/>
    <n v="2"/>
    <n v="135"/>
    <n v="86"/>
    <n v="107"/>
    <n v="103"/>
    <n v="111"/>
    <n v="60"/>
    <x v="0"/>
    <n v="31.161373901474043"/>
    <x v="0"/>
  </r>
  <r>
    <n v="377"/>
    <n v="55"/>
    <x v="0"/>
    <x v="2"/>
    <n v="200"/>
    <x v="0"/>
    <x v="1"/>
    <x v="3"/>
    <x v="0"/>
    <n v="10"/>
    <n v="148"/>
    <n v="95"/>
    <n v="79"/>
    <n v="98"/>
    <n v="125"/>
    <n v="51"/>
    <x v="1"/>
    <n v="25.864512471655331"/>
    <x v="1"/>
  </r>
  <r>
    <n v="378"/>
    <n v="61"/>
    <x v="0"/>
    <x v="1"/>
    <n v="400"/>
    <x v="0"/>
    <x v="1"/>
    <x v="3"/>
    <x v="0"/>
    <n v="4"/>
    <n v="133"/>
    <n v="83"/>
    <n v="90"/>
    <n v="161"/>
    <n v="104"/>
    <n v="61"/>
    <x v="0"/>
    <n v="27.70083102493075"/>
    <x v="0"/>
  </r>
  <r>
    <n v="379"/>
    <n v="24"/>
    <x v="1"/>
    <x v="3"/>
    <n v="100"/>
    <x v="0"/>
    <x v="0"/>
    <x v="3"/>
    <x v="0"/>
    <n v="4"/>
    <n v="111"/>
    <n v="69"/>
    <n v="80"/>
    <n v="95"/>
    <n v="97"/>
    <n v="40"/>
    <x v="1"/>
    <n v="19.031141868512112"/>
    <x v="1"/>
  </r>
  <r>
    <n v="380"/>
    <n v="23"/>
    <x v="0"/>
    <x v="0"/>
    <n v="400"/>
    <x v="0"/>
    <x v="1"/>
    <x v="0"/>
    <x v="1"/>
    <n v="2"/>
    <n v="122"/>
    <n v="66"/>
    <n v="77"/>
    <n v="97"/>
    <n v="55"/>
    <n v="63"/>
    <x v="1"/>
    <n v="25.351541373715524"/>
    <x v="1"/>
  </r>
  <r>
    <n v="381"/>
    <n v="29"/>
    <x v="1"/>
    <x v="3"/>
    <n v="350"/>
    <x v="0"/>
    <x v="1"/>
    <x v="3"/>
    <x v="0"/>
    <n v="4"/>
    <n v="119"/>
    <n v="81"/>
    <n v="80"/>
    <n v="270"/>
    <n v="63"/>
    <n v="63"/>
    <x v="0"/>
    <n v="20.902385858042937"/>
    <x v="0"/>
  </r>
  <r>
    <n v="382"/>
    <n v="39"/>
    <x v="0"/>
    <x v="2"/>
    <n v="450"/>
    <x v="0"/>
    <x v="1"/>
    <x v="3"/>
    <x v="0"/>
    <n v="6"/>
    <n v="144"/>
    <n v="79"/>
    <n v="76"/>
    <n v="128"/>
    <n v="175"/>
    <n v="38"/>
    <x v="1"/>
    <n v="22.145328719723185"/>
    <x v="1"/>
  </r>
  <r>
    <n v="383"/>
    <n v="79"/>
    <x v="0"/>
    <x v="0"/>
    <n v="400"/>
    <x v="0"/>
    <x v="1"/>
    <x v="3"/>
    <x v="0"/>
    <n v="8"/>
    <n v="170"/>
    <n v="82"/>
    <n v="90"/>
    <n v="154"/>
    <n v="120"/>
    <n v="39"/>
    <x v="0"/>
    <n v="26.122448979591837"/>
    <x v="0"/>
  </r>
  <r>
    <n v="384"/>
    <n v="19"/>
    <x v="0"/>
    <x v="0"/>
    <n v="300"/>
    <x v="0"/>
    <x v="1"/>
    <x v="3"/>
    <x v="0"/>
    <n v="4"/>
    <n v="106"/>
    <n v="53"/>
    <n v="100"/>
    <n v="88"/>
    <n v="132"/>
    <n v="37"/>
    <x v="1"/>
    <n v="25.14860539551897"/>
    <x v="1"/>
  </r>
  <r>
    <n v="385"/>
    <n v="32"/>
    <x v="0"/>
    <x v="1"/>
    <n v="100"/>
    <x v="0"/>
    <x v="1"/>
    <x v="0"/>
    <x v="0"/>
    <n v="1"/>
    <n v="87"/>
    <n v="59"/>
    <n v="72"/>
    <n v="98"/>
    <n v="68"/>
    <n v="40"/>
    <x v="1"/>
    <n v="15.822158933586486"/>
    <x v="1"/>
  </r>
  <r>
    <n v="386"/>
    <n v="49"/>
    <x v="0"/>
    <x v="1"/>
    <n v="700"/>
    <x v="0"/>
    <x v="1"/>
    <x v="0"/>
    <x v="0"/>
    <n v="5"/>
    <n v="142"/>
    <n v="67"/>
    <n v="99"/>
    <n v="158"/>
    <n v="48"/>
    <n v="22"/>
    <x v="0"/>
    <n v="23.661438615467823"/>
    <x v="0"/>
  </r>
  <r>
    <n v="387"/>
    <n v="37"/>
    <x v="0"/>
    <x v="0"/>
    <n v="400"/>
    <x v="0"/>
    <x v="1"/>
    <x v="3"/>
    <x v="0"/>
    <n v="2"/>
    <n v="142"/>
    <n v="75"/>
    <n v="98"/>
    <n v="144"/>
    <n v="86"/>
    <n v="27"/>
    <x v="0"/>
    <n v="31.645569620253159"/>
    <x v="0"/>
  </r>
  <r>
    <n v="388"/>
    <n v="59"/>
    <x v="0"/>
    <x v="0"/>
    <n v="200"/>
    <x v="0"/>
    <x v="1"/>
    <x v="3"/>
    <x v="0"/>
    <n v="7"/>
    <n v="127"/>
    <n v="71"/>
    <n v="90"/>
    <n v="90"/>
    <n v="41"/>
    <n v="50"/>
    <x v="0"/>
    <n v="27.548209366391188"/>
    <x v="0"/>
  </r>
  <r>
    <n v="389"/>
    <n v="29"/>
    <x v="0"/>
    <x v="2"/>
    <n v="700"/>
    <x v="0"/>
    <x v="1"/>
    <x v="0"/>
    <x v="0"/>
    <n v="1"/>
    <n v="120"/>
    <n v="75"/>
    <n v="71"/>
    <n v="129"/>
    <n v="53"/>
    <n v="55"/>
    <x v="0"/>
    <n v="16.824226886716868"/>
    <x v="0"/>
  </r>
  <r>
    <n v="390"/>
    <n v="24"/>
    <x v="0"/>
    <x v="3"/>
    <n v="800"/>
    <x v="0"/>
    <x v="1"/>
    <x v="3"/>
    <x v="0"/>
    <n v="3"/>
    <n v="90"/>
    <n v="65"/>
    <n v="113"/>
    <n v="97"/>
    <n v="41"/>
    <n v="38"/>
    <x v="0"/>
    <n v="30.043262297708697"/>
    <x v="0"/>
  </r>
  <r>
    <n v="391"/>
    <n v="39"/>
    <x v="1"/>
    <x v="1"/>
    <n v="450"/>
    <x v="1"/>
    <x v="0"/>
    <x v="3"/>
    <x v="1"/>
    <n v="3"/>
    <n v="125"/>
    <n v="81"/>
    <n v="68"/>
    <n v="73"/>
    <n v="70"/>
    <n v="43"/>
    <x v="0"/>
    <n v="16.653061224489797"/>
    <x v="0"/>
  </r>
  <r>
    <n v="392"/>
    <n v="34"/>
    <x v="0"/>
    <x v="1"/>
    <n v="100"/>
    <x v="0"/>
    <x v="1"/>
    <x v="3"/>
    <x v="0"/>
    <n v="4"/>
    <n v="104"/>
    <n v="67"/>
    <n v="80"/>
    <n v="97"/>
    <n v="83"/>
    <n v="39"/>
    <x v="0"/>
    <n v="24.801587301587304"/>
    <x v="0"/>
  </r>
  <r>
    <n v="393"/>
    <n v="39"/>
    <x v="0"/>
    <x v="3"/>
    <n v="800"/>
    <x v="0"/>
    <x v="1"/>
    <x v="3"/>
    <x v="0"/>
    <n v="1"/>
    <n v="120"/>
    <n v="85"/>
    <n v="113"/>
    <n v="152"/>
    <n v="65"/>
    <n v="55"/>
    <x v="0"/>
    <n v="27.548209366391188"/>
    <x v="0"/>
  </r>
  <r>
    <n v="394"/>
    <n v="42"/>
    <x v="1"/>
    <x v="3"/>
    <n v="600"/>
    <x v="0"/>
    <x v="1"/>
    <x v="1"/>
    <x v="0"/>
    <n v="3"/>
    <n v="100"/>
    <n v="72"/>
    <n v="90"/>
    <n v="96"/>
    <n v="173"/>
    <n v="55"/>
    <x v="0"/>
    <n v="22.460034350640772"/>
    <x v="0"/>
  </r>
  <r>
    <n v="395"/>
    <n v="64"/>
    <x v="1"/>
    <x v="0"/>
    <n v="2800"/>
    <x v="0"/>
    <x v="0"/>
    <x v="1"/>
    <x v="0"/>
    <n v="8"/>
    <n v="158"/>
    <n v="96"/>
    <n v="98"/>
    <n v="148"/>
    <n v="178"/>
    <n v="36"/>
    <x v="0"/>
    <n v="32.449972958355872"/>
    <x v="0"/>
  </r>
  <r>
    <n v="396"/>
    <n v="66"/>
    <x v="1"/>
    <x v="3"/>
    <n v="1800"/>
    <x v="1"/>
    <x v="0"/>
    <x v="1"/>
    <x v="0"/>
    <n v="8"/>
    <n v="160"/>
    <n v="105"/>
    <n v="93"/>
    <n v="138"/>
    <n v="180"/>
    <n v="38"/>
    <x v="0"/>
    <n v="29.410758865975858"/>
    <x v="0"/>
  </r>
  <r>
    <n v="397"/>
    <n v="36"/>
    <x v="1"/>
    <x v="3"/>
    <n v="380"/>
    <x v="0"/>
    <x v="0"/>
    <x v="3"/>
    <x v="0"/>
    <n v="3"/>
    <n v="112"/>
    <n v="78"/>
    <n v="88"/>
    <n v="88"/>
    <n v="140"/>
    <n v="62"/>
    <x v="1"/>
    <n v="23.120623596247853"/>
    <x v="1"/>
  </r>
  <r>
    <n v="398"/>
    <n v="65"/>
    <x v="1"/>
    <x v="0"/>
    <n v="2000"/>
    <x v="1"/>
    <x v="1"/>
    <x v="3"/>
    <x v="0"/>
    <n v="6"/>
    <n v="160"/>
    <n v="104"/>
    <n v="91"/>
    <n v="122"/>
    <n v="178"/>
    <n v="30"/>
    <x v="0"/>
    <n v="27.717685235262305"/>
    <x v="0"/>
  </r>
  <r>
    <n v="399"/>
    <n v="31"/>
    <x v="0"/>
    <x v="1"/>
    <n v="200"/>
    <x v="0"/>
    <x v="1"/>
    <x v="0"/>
    <x v="0"/>
    <n v="2"/>
    <n v="111"/>
    <n v="82"/>
    <n v="86"/>
    <n v="98"/>
    <n v="110"/>
    <n v="38"/>
    <x v="1"/>
    <n v="24.242424242424246"/>
    <x v="1"/>
  </r>
  <r>
    <n v="400"/>
    <n v="32"/>
    <x v="0"/>
    <x v="3"/>
    <n v="800"/>
    <x v="0"/>
    <x v="1"/>
    <x v="1"/>
    <x v="0"/>
    <n v="6"/>
    <n v="125"/>
    <n v="91"/>
    <n v="92"/>
    <n v="91"/>
    <n v="95"/>
    <n v="38"/>
    <x v="1"/>
    <n v="24.690405462752206"/>
    <x v="1"/>
  </r>
  <r>
    <n v="401"/>
    <n v="59"/>
    <x v="0"/>
    <x v="2"/>
    <n v="300"/>
    <x v="0"/>
    <x v="1"/>
    <x v="3"/>
    <x v="1"/>
    <n v="1"/>
    <n v="161"/>
    <n v="94"/>
    <n v="103"/>
    <n v="97"/>
    <n v="122"/>
    <n v="56"/>
    <x v="0"/>
    <n v="27.852007979223909"/>
    <x v="0"/>
  </r>
  <r>
    <n v="402"/>
    <n v="37"/>
    <x v="0"/>
    <x v="3"/>
    <n v="600"/>
    <x v="0"/>
    <x v="1"/>
    <x v="1"/>
    <x v="0"/>
    <n v="5"/>
    <n v="137"/>
    <n v="89"/>
    <n v="94"/>
    <n v="76"/>
    <n v="102"/>
    <n v="52"/>
    <x v="1"/>
    <n v="24.304617877396701"/>
    <x v="1"/>
  </r>
  <r>
    <n v="403"/>
    <n v="29"/>
    <x v="1"/>
    <x v="3"/>
    <n v="400"/>
    <x v="0"/>
    <x v="1"/>
    <x v="3"/>
    <x v="0"/>
    <n v="6"/>
    <n v="104"/>
    <n v="65"/>
    <n v="90"/>
    <n v="89"/>
    <n v="113"/>
    <n v="64"/>
    <x v="0"/>
    <n v="26.874496103198062"/>
    <x v="0"/>
  </r>
  <r>
    <n v="404"/>
    <n v="34"/>
    <x v="0"/>
    <x v="2"/>
    <n v="400"/>
    <x v="0"/>
    <x v="1"/>
    <x v="0"/>
    <x v="2"/>
    <n v="5"/>
    <n v="130"/>
    <n v="76"/>
    <n v="79"/>
    <n v="128"/>
    <n v="135"/>
    <n v="39"/>
    <x v="0"/>
    <n v="26.813590449954088"/>
    <x v="0"/>
  </r>
  <r>
    <n v="405"/>
    <n v="48"/>
    <x v="1"/>
    <x v="3"/>
    <n v="400"/>
    <x v="0"/>
    <x v="0"/>
    <x v="0"/>
    <x v="0"/>
    <n v="4"/>
    <n v="105"/>
    <n v="66"/>
    <n v="104"/>
    <n v="138"/>
    <n v="55"/>
    <n v="56"/>
    <x v="1"/>
    <n v="31.561671506122963"/>
    <x v="1"/>
  </r>
  <r>
    <n v="406"/>
    <n v="26"/>
    <x v="1"/>
    <x v="3"/>
    <n v="400"/>
    <x v="0"/>
    <x v="1"/>
    <x v="3"/>
    <x v="0"/>
    <n v="5"/>
    <n v="118"/>
    <n v="78"/>
    <n v="94"/>
    <n v="111"/>
    <n v="130"/>
    <n v="41"/>
    <x v="1"/>
    <n v="26.423569824283259"/>
    <x v="1"/>
  </r>
  <r>
    <n v="407"/>
    <n v="50"/>
    <x v="1"/>
    <x v="1"/>
    <n v="750"/>
    <x v="1"/>
    <x v="1"/>
    <x v="0"/>
    <x v="0"/>
    <n v="1"/>
    <n v="108"/>
    <n v="69"/>
    <n v="80"/>
    <n v="95"/>
    <n v="84"/>
    <n v="42"/>
    <x v="0"/>
    <n v="18.710949246550168"/>
    <x v="0"/>
  </r>
  <r>
    <n v="408"/>
    <n v="66"/>
    <x v="0"/>
    <x v="1"/>
    <n v="300"/>
    <x v="0"/>
    <x v="1"/>
    <x v="1"/>
    <x v="0"/>
    <n v="10"/>
    <n v="232"/>
    <n v="94"/>
    <n v="76"/>
    <n v="99"/>
    <n v="149"/>
    <n v="38"/>
    <x v="1"/>
    <n v="17.630853994490359"/>
    <x v="1"/>
  </r>
  <r>
    <n v="409"/>
    <n v="54"/>
    <x v="1"/>
    <x v="1"/>
    <n v="500"/>
    <x v="0"/>
    <x v="1"/>
    <x v="3"/>
    <x v="0"/>
    <n v="5"/>
    <n v="125"/>
    <n v="83"/>
    <n v="105"/>
    <n v="210"/>
    <n v="144"/>
    <n v="52"/>
    <x v="1"/>
    <n v="31.708283789139912"/>
    <x v="1"/>
  </r>
  <r>
    <n v="410"/>
    <n v="25"/>
    <x v="0"/>
    <x v="1"/>
    <n v="750"/>
    <x v="0"/>
    <x v="1"/>
    <x v="1"/>
    <x v="2"/>
    <n v="1"/>
    <n v="123"/>
    <n v="71"/>
    <n v="96"/>
    <n v="91"/>
    <n v="64"/>
    <n v="38"/>
    <x v="1"/>
    <n v="24.767565919829291"/>
    <x v="1"/>
  </r>
  <r>
    <n v="411"/>
    <n v="29"/>
    <x v="1"/>
    <x v="2"/>
    <n v="300"/>
    <x v="0"/>
    <x v="0"/>
    <x v="0"/>
    <x v="0"/>
    <n v="4"/>
    <n v="124"/>
    <n v="58"/>
    <n v="77"/>
    <n v="99"/>
    <n v="69"/>
    <n v="44"/>
    <x v="1"/>
    <n v="16.891891891891891"/>
    <x v="1"/>
  </r>
  <r>
    <n v="412"/>
    <n v="69"/>
    <x v="1"/>
    <x v="0"/>
    <n v="600"/>
    <x v="1"/>
    <x v="1"/>
    <x v="3"/>
    <x v="0"/>
    <n v="8"/>
    <n v="162"/>
    <n v="82"/>
    <n v="112"/>
    <n v="95"/>
    <n v="107"/>
    <n v="26"/>
    <x v="0"/>
    <n v="27.609451755172291"/>
    <x v="0"/>
  </r>
  <r>
    <n v="413"/>
    <n v="31"/>
    <x v="0"/>
    <x v="1"/>
    <n v="1200"/>
    <x v="0"/>
    <x v="1"/>
    <x v="3"/>
    <x v="2"/>
    <n v="1"/>
    <n v="108"/>
    <n v="70"/>
    <n v="100"/>
    <n v="111"/>
    <n v="51"/>
    <n v="53"/>
    <x v="0"/>
    <n v="27.475629493018182"/>
    <x v="0"/>
  </r>
  <r>
    <n v="414"/>
    <n v="25"/>
    <x v="0"/>
    <x v="1"/>
    <n v="700"/>
    <x v="0"/>
    <x v="1"/>
    <x v="3"/>
    <x v="0"/>
    <n v="7"/>
    <n v="111"/>
    <n v="68"/>
    <n v="66"/>
    <n v="75"/>
    <n v="55"/>
    <n v="62"/>
    <x v="1"/>
    <n v="19.948059768903612"/>
    <x v="1"/>
  </r>
  <r>
    <n v="415"/>
    <n v="28"/>
    <x v="1"/>
    <x v="3"/>
    <n v="500"/>
    <x v="0"/>
    <x v="1"/>
    <x v="3"/>
    <x v="0"/>
    <n v="5"/>
    <n v="130"/>
    <n v="75"/>
    <n v="89"/>
    <n v="114"/>
    <n v="115"/>
    <n v="55"/>
    <x v="1"/>
    <n v="22.491349480968861"/>
    <x v="1"/>
  </r>
  <r>
    <n v="416"/>
    <n v="45"/>
    <x v="0"/>
    <x v="1"/>
    <n v="500"/>
    <x v="0"/>
    <x v="1"/>
    <x v="1"/>
    <x v="0"/>
    <n v="2"/>
    <n v="100"/>
    <n v="74"/>
    <n v="94"/>
    <n v="109"/>
    <n v="104"/>
    <n v="51"/>
    <x v="1"/>
    <n v="23.624447492760247"/>
    <x v="1"/>
  </r>
  <r>
    <n v="417"/>
    <n v="39"/>
    <x v="0"/>
    <x v="1"/>
    <n v="250"/>
    <x v="0"/>
    <x v="1"/>
    <x v="0"/>
    <x v="0"/>
    <n v="10"/>
    <n v="150"/>
    <n v="89"/>
    <n v="90"/>
    <n v="141"/>
    <n v="53"/>
    <n v="52"/>
    <x v="0"/>
    <n v="25.20398137468495"/>
    <x v="0"/>
  </r>
  <r>
    <n v="418"/>
    <n v="41"/>
    <x v="1"/>
    <x v="3"/>
    <n v="600"/>
    <x v="1"/>
    <x v="1"/>
    <x v="3"/>
    <x v="0"/>
    <n v="8"/>
    <n v="140"/>
    <n v="87"/>
    <n v="96"/>
    <n v="116"/>
    <n v="148"/>
    <n v="65"/>
    <x v="0"/>
    <n v="28.731921487603305"/>
    <x v="0"/>
  </r>
  <r>
    <n v="419"/>
    <n v="71"/>
    <x v="1"/>
    <x v="3"/>
    <n v="300"/>
    <x v="0"/>
    <x v="0"/>
    <x v="1"/>
    <x v="0"/>
    <n v="12"/>
    <n v="162"/>
    <n v="98"/>
    <n v="110"/>
    <n v="125"/>
    <n v="165"/>
    <n v="35"/>
    <x v="0"/>
    <n v="30.717399920729289"/>
    <x v="0"/>
  </r>
  <r>
    <n v="420"/>
    <n v="57"/>
    <x v="1"/>
    <x v="0"/>
    <n v="700"/>
    <x v="0"/>
    <x v="1"/>
    <x v="3"/>
    <x v="2"/>
    <n v="4"/>
    <n v="110"/>
    <n v="98"/>
    <n v="93"/>
    <n v="94"/>
    <n v="130"/>
    <n v="70"/>
    <x v="1"/>
    <n v="30.38710529792575"/>
    <x v="1"/>
  </r>
  <r>
    <n v="421"/>
    <n v="37"/>
    <x v="1"/>
    <x v="0"/>
    <n v="400"/>
    <x v="0"/>
    <x v="1"/>
    <x v="3"/>
    <x v="0"/>
    <n v="4"/>
    <n v="110"/>
    <n v="78"/>
    <n v="88"/>
    <n v="100"/>
    <n v="112"/>
    <n v="35"/>
    <x v="0"/>
    <n v="24.535123966942148"/>
    <x v="0"/>
  </r>
  <r>
    <n v="422"/>
    <n v="47"/>
    <x v="1"/>
    <x v="1"/>
    <n v="400"/>
    <x v="0"/>
    <x v="0"/>
    <x v="0"/>
    <x v="0"/>
    <n v="3"/>
    <n v="110"/>
    <n v="76"/>
    <n v="86"/>
    <n v="88"/>
    <n v="140"/>
    <n v="60"/>
    <x v="0"/>
    <n v="27.636054421768712"/>
    <x v="0"/>
  </r>
  <r>
    <n v="423"/>
    <n v="61"/>
    <x v="0"/>
    <x v="0"/>
    <n v="700"/>
    <x v="0"/>
    <x v="1"/>
    <x v="3"/>
    <x v="0"/>
    <n v="6"/>
    <n v="160"/>
    <n v="108"/>
    <n v="94"/>
    <n v="132"/>
    <n v="120"/>
    <n v="40"/>
    <x v="0"/>
    <n v="31.231409875074366"/>
    <x v="0"/>
  </r>
  <r>
    <n v="424"/>
    <n v="49"/>
    <x v="0"/>
    <x v="0"/>
    <n v="500"/>
    <x v="0"/>
    <x v="1"/>
    <x v="0"/>
    <x v="0"/>
    <n v="4"/>
    <n v="134"/>
    <n v="83"/>
    <n v="100"/>
    <n v="185"/>
    <n v="144"/>
    <n v="39"/>
    <x v="0"/>
    <n v="42.669152712538995"/>
    <x v="0"/>
  </r>
  <r>
    <n v="425"/>
    <n v="47"/>
    <x v="0"/>
    <x v="1"/>
    <n v="800"/>
    <x v="0"/>
    <x v="1"/>
    <x v="0"/>
    <x v="0"/>
    <n v="8"/>
    <n v="146"/>
    <n v="87"/>
    <n v="67"/>
    <n v="298"/>
    <n v="194"/>
    <n v="39"/>
    <x v="0"/>
    <n v="16.974653755642141"/>
    <x v="0"/>
  </r>
  <r>
    <n v="426"/>
    <n v="54"/>
    <x v="0"/>
    <x v="2"/>
    <n v="300"/>
    <x v="0"/>
    <x v="1"/>
    <x v="3"/>
    <x v="2"/>
    <n v="1"/>
    <n v="121"/>
    <n v="77"/>
    <n v="97"/>
    <n v="105"/>
    <n v="181"/>
    <n v="42"/>
    <x v="0"/>
    <n v="27.005130974885226"/>
    <x v="0"/>
  </r>
  <r>
    <n v="427"/>
    <n v="52"/>
    <x v="0"/>
    <x v="0"/>
    <n v="600"/>
    <x v="0"/>
    <x v="1"/>
    <x v="0"/>
    <x v="0"/>
    <n v="10"/>
    <n v="124"/>
    <n v="55"/>
    <n v="106"/>
    <n v="119"/>
    <n v="124"/>
    <n v="40"/>
    <x v="1"/>
    <n v="42.871315192743772"/>
    <x v="1"/>
  </r>
  <r>
    <n v="428"/>
    <n v="69"/>
    <x v="1"/>
    <x v="1"/>
    <n v="400"/>
    <x v="0"/>
    <x v="1"/>
    <x v="3"/>
    <x v="0"/>
    <n v="5"/>
    <n v="133"/>
    <n v="76"/>
    <n v="84"/>
    <n v="162"/>
    <n v="114"/>
    <n v="43"/>
    <x v="0"/>
    <n v="20.380434782608695"/>
    <x v="0"/>
  </r>
  <r>
    <n v="429"/>
    <n v="39"/>
    <x v="0"/>
    <x v="3"/>
    <n v="800"/>
    <x v="0"/>
    <x v="1"/>
    <x v="1"/>
    <x v="2"/>
    <n v="5"/>
    <n v="145"/>
    <n v="62"/>
    <n v="69"/>
    <n v="113"/>
    <n v="109"/>
    <n v="41"/>
    <x v="0"/>
    <n v="16.015624999999996"/>
    <x v="0"/>
  </r>
  <r>
    <n v="430"/>
    <n v="44"/>
    <x v="0"/>
    <x v="1"/>
    <n v="300"/>
    <x v="0"/>
    <x v="1"/>
    <x v="0"/>
    <x v="0"/>
    <n v="3"/>
    <n v="151"/>
    <n v="84"/>
    <n v="109"/>
    <n v="157"/>
    <n v="88"/>
    <n v="51"/>
    <x v="0"/>
    <n v="34.74890574359317"/>
    <x v="0"/>
  </r>
  <r>
    <n v="431"/>
    <n v="38"/>
    <x v="1"/>
    <x v="0"/>
    <n v="200"/>
    <x v="0"/>
    <x v="1"/>
    <x v="3"/>
    <x v="0"/>
    <n v="4"/>
    <n v="112"/>
    <n v="78"/>
    <n v="78"/>
    <n v="82"/>
    <n v="102"/>
    <n v="38"/>
    <x v="0"/>
    <n v="17.901234567901234"/>
    <x v="0"/>
  </r>
  <r>
    <n v="432"/>
    <n v="35"/>
    <x v="0"/>
    <x v="2"/>
    <n v="790"/>
    <x v="0"/>
    <x v="1"/>
    <x v="3"/>
    <x v="0"/>
    <n v="1"/>
    <n v="124"/>
    <n v="91"/>
    <n v="104"/>
    <n v="89"/>
    <n v="63"/>
    <n v="54"/>
    <x v="0"/>
    <n v="32.179930795847753"/>
    <x v="0"/>
  </r>
  <r>
    <n v="433"/>
    <n v="34"/>
    <x v="0"/>
    <x v="1"/>
    <n v="300"/>
    <x v="0"/>
    <x v="1"/>
    <x v="3"/>
    <x v="0"/>
    <n v="2"/>
    <n v="124"/>
    <n v="69"/>
    <n v="90"/>
    <n v="120"/>
    <n v="87"/>
    <n v="55"/>
    <x v="0"/>
    <n v="24.343809494085704"/>
    <x v="0"/>
  </r>
  <r>
    <n v="434"/>
    <n v="59"/>
    <x v="0"/>
    <x v="2"/>
    <n v="500"/>
    <x v="0"/>
    <x v="1"/>
    <x v="3"/>
    <x v="0"/>
    <n v="6"/>
    <n v="147"/>
    <n v="83"/>
    <n v="82"/>
    <n v="202"/>
    <n v="203"/>
    <n v="33"/>
    <x v="0"/>
    <n v="23.722810651876106"/>
    <x v="0"/>
  </r>
  <r>
    <n v="435"/>
    <n v="31"/>
    <x v="0"/>
    <x v="2"/>
    <n v="500"/>
    <x v="0"/>
    <x v="1"/>
    <x v="1"/>
    <x v="0"/>
    <n v="4"/>
    <n v="112"/>
    <n v="95"/>
    <n v="73"/>
    <n v="99"/>
    <n v="60"/>
    <n v="50"/>
    <x v="1"/>
    <n v="18.206645425580341"/>
    <x v="1"/>
  </r>
  <r>
    <n v="436"/>
    <n v="59"/>
    <x v="0"/>
    <x v="0"/>
    <n v="1200"/>
    <x v="0"/>
    <x v="1"/>
    <x v="0"/>
    <x v="0"/>
    <n v="4"/>
    <n v="182"/>
    <n v="104"/>
    <n v="106"/>
    <n v="132"/>
    <n v="73"/>
    <n v="28"/>
    <x v="0"/>
    <n v="28.875440053795337"/>
    <x v="0"/>
  </r>
  <r>
    <n v="437"/>
    <n v="39"/>
    <x v="0"/>
    <x v="0"/>
    <n v="600"/>
    <x v="0"/>
    <x v="1"/>
    <x v="1"/>
    <x v="0"/>
    <n v="4"/>
    <n v="134"/>
    <n v="80"/>
    <n v="111"/>
    <n v="90"/>
    <n v="84"/>
    <n v="26"/>
    <x v="0"/>
    <n v="31.588613406795229"/>
    <x v="0"/>
  </r>
  <r>
    <n v="438"/>
    <n v="36"/>
    <x v="0"/>
    <x v="1"/>
    <n v="400"/>
    <x v="0"/>
    <x v="1"/>
    <x v="3"/>
    <x v="0"/>
    <n v="2"/>
    <n v="173"/>
    <n v="98"/>
    <n v="62"/>
    <n v="95"/>
    <n v="55"/>
    <n v="64"/>
    <x v="1"/>
    <n v="13.71742112482853"/>
    <x v="1"/>
  </r>
  <r>
    <n v="439"/>
    <n v="35"/>
    <x v="0"/>
    <x v="2"/>
    <n v="130"/>
    <x v="0"/>
    <x v="1"/>
    <x v="3"/>
    <x v="0"/>
    <n v="6"/>
    <n v="127"/>
    <n v="97"/>
    <n v="113"/>
    <n v="93"/>
    <n v="146"/>
    <n v="52"/>
    <x v="1"/>
    <n v="25.180785123966942"/>
    <x v="1"/>
  </r>
  <r>
    <n v="440"/>
    <n v="61"/>
    <x v="1"/>
    <x v="0"/>
    <n v="500"/>
    <x v="0"/>
    <x v="1"/>
    <x v="3"/>
    <x v="1"/>
    <n v="6"/>
    <n v="120"/>
    <n v="78"/>
    <n v="113"/>
    <n v="85"/>
    <n v="55"/>
    <n v="80"/>
    <x v="0"/>
    <n v="29.629629629629626"/>
    <x v="0"/>
  </r>
  <r>
    <n v="441"/>
    <n v="30"/>
    <x v="0"/>
    <x v="2"/>
    <n v="380"/>
    <x v="0"/>
    <x v="1"/>
    <x v="3"/>
    <x v="0"/>
    <n v="2"/>
    <n v="146"/>
    <n v="81"/>
    <n v="103"/>
    <n v="111"/>
    <n v="73"/>
    <n v="70"/>
    <x v="0"/>
    <n v="28.650137741046834"/>
    <x v="0"/>
  </r>
  <r>
    <n v="442"/>
    <n v="29"/>
    <x v="0"/>
    <x v="1"/>
    <n v="200"/>
    <x v="0"/>
    <x v="1"/>
    <x v="0"/>
    <x v="0"/>
    <n v="10"/>
    <n v="158"/>
    <n v="95"/>
    <n v="102"/>
    <n v="103"/>
    <n v="61"/>
    <n v="34"/>
    <x v="0"/>
    <n v="28.084332107116012"/>
    <x v="0"/>
  </r>
  <r>
    <n v="443"/>
    <n v="20"/>
    <x v="0"/>
    <x v="0"/>
    <n v="1000"/>
    <x v="0"/>
    <x v="1"/>
    <x v="3"/>
    <x v="0"/>
    <n v="5"/>
    <n v="119"/>
    <n v="83"/>
    <n v="95"/>
    <n v="81"/>
    <n v="43"/>
    <n v="53"/>
    <x v="0"/>
    <n v="21.874999999999996"/>
    <x v="0"/>
  </r>
  <r>
    <n v="444"/>
    <n v="40"/>
    <x v="1"/>
    <x v="3"/>
    <n v="1300"/>
    <x v="1"/>
    <x v="0"/>
    <x v="3"/>
    <x v="0"/>
    <n v="10"/>
    <n v="152"/>
    <n v="98"/>
    <n v="92"/>
    <n v="106"/>
    <n v="140"/>
    <n v="35"/>
    <x v="1"/>
    <n v="29.410734918245165"/>
    <x v="1"/>
  </r>
  <r>
    <n v="445"/>
    <n v="57"/>
    <x v="1"/>
    <x v="3"/>
    <n v="700"/>
    <x v="0"/>
    <x v="1"/>
    <x v="1"/>
    <x v="0"/>
    <n v="3"/>
    <n v="112"/>
    <n v="70"/>
    <n v="90"/>
    <n v="92"/>
    <n v="118"/>
    <n v="70"/>
    <x v="1"/>
    <n v="26.196187350082059"/>
    <x v="1"/>
  </r>
  <r>
    <n v="446"/>
    <n v="61"/>
    <x v="1"/>
    <x v="3"/>
    <n v="400"/>
    <x v="0"/>
    <x v="1"/>
    <x v="1"/>
    <x v="0"/>
    <n v="2"/>
    <n v="120"/>
    <n v="80"/>
    <n v="86"/>
    <n v="92"/>
    <n v="120"/>
    <n v="34"/>
    <x v="0"/>
    <n v="25.762980578676178"/>
    <x v="0"/>
  </r>
  <r>
    <n v="447"/>
    <n v="35"/>
    <x v="1"/>
    <x v="3"/>
    <n v="480"/>
    <x v="1"/>
    <x v="0"/>
    <x v="3"/>
    <x v="2"/>
    <n v="4"/>
    <n v="114"/>
    <n v="80"/>
    <n v="82"/>
    <n v="90"/>
    <n v="170"/>
    <n v="38"/>
    <x v="0"/>
    <n v="25.249337204898371"/>
    <x v="0"/>
  </r>
  <r>
    <n v="448"/>
    <n v="51"/>
    <x v="1"/>
    <x v="3"/>
    <n v="600"/>
    <x v="0"/>
    <x v="1"/>
    <x v="3"/>
    <x v="1"/>
    <n v="3"/>
    <n v="110"/>
    <n v="78"/>
    <n v="89"/>
    <n v="97"/>
    <n v="122"/>
    <n v="56"/>
    <x v="0"/>
    <n v="23.243801652892564"/>
    <x v="0"/>
  </r>
  <r>
    <n v="449"/>
    <n v="26"/>
    <x v="1"/>
    <x v="3"/>
    <n v="350"/>
    <x v="0"/>
    <x v="1"/>
    <x v="0"/>
    <x v="1"/>
    <n v="2"/>
    <n v="133"/>
    <n v="79"/>
    <n v="84"/>
    <n v="80"/>
    <n v="126"/>
    <n v="53"/>
    <x v="0"/>
    <n v="24.302487059714682"/>
    <x v="0"/>
  </r>
  <r>
    <n v="450"/>
    <n v="46"/>
    <x v="1"/>
    <x v="0"/>
    <n v="500"/>
    <x v="0"/>
    <x v="0"/>
    <x v="0"/>
    <x v="2"/>
    <n v="1"/>
    <n v="99"/>
    <n v="72"/>
    <n v="79"/>
    <n v="228"/>
    <n v="121"/>
    <n v="28"/>
    <x v="0"/>
    <n v="22.145328719723185"/>
    <x v="0"/>
  </r>
  <r>
    <n v="451"/>
    <n v="45"/>
    <x v="1"/>
    <x v="3"/>
    <n v="400"/>
    <x v="0"/>
    <x v="1"/>
    <x v="3"/>
    <x v="0"/>
    <n v="1"/>
    <n v="120"/>
    <n v="82"/>
    <n v="87"/>
    <n v="71"/>
    <n v="55"/>
    <n v="50"/>
    <x v="0"/>
    <n v="23.671253629592222"/>
    <x v="0"/>
  </r>
  <r>
    <n v="452"/>
    <n v="38"/>
    <x v="1"/>
    <x v="3"/>
    <n v="800"/>
    <x v="0"/>
    <x v="1"/>
    <x v="3"/>
    <x v="2"/>
    <n v="2"/>
    <n v="107"/>
    <n v="82"/>
    <n v="92"/>
    <n v="93"/>
    <n v="170"/>
    <n v="70"/>
    <x v="1"/>
    <n v="29.737044338267232"/>
    <x v="1"/>
  </r>
  <r>
    <n v="453"/>
    <n v="55"/>
    <x v="1"/>
    <x v="0"/>
    <n v="800"/>
    <x v="0"/>
    <x v="1"/>
    <x v="3"/>
    <x v="0"/>
    <n v="4"/>
    <n v="110"/>
    <n v="72"/>
    <n v="88"/>
    <n v="97"/>
    <n v="140"/>
    <n v="40"/>
    <x v="0"/>
    <n v="25.826446280991735"/>
    <x v="0"/>
  </r>
  <r>
    <n v="454"/>
    <n v="52"/>
    <x v="1"/>
    <x v="0"/>
    <n v="300"/>
    <x v="0"/>
    <x v="0"/>
    <x v="3"/>
    <x v="0"/>
    <n v="3"/>
    <n v="110"/>
    <n v="72"/>
    <n v="88"/>
    <n v="88"/>
    <n v="140"/>
    <n v="38"/>
    <x v="0"/>
    <n v="27.763429752066116"/>
    <x v="0"/>
  </r>
  <r>
    <n v="455"/>
    <n v="33"/>
    <x v="1"/>
    <x v="3"/>
    <n v="350"/>
    <x v="0"/>
    <x v="1"/>
    <x v="0"/>
    <x v="0"/>
    <n v="3"/>
    <n v="98"/>
    <n v="70"/>
    <n v="90"/>
    <n v="110"/>
    <n v="108"/>
    <n v="70"/>
    <x v="0"/>
    <n v="26.927437641723358"/>
    <x v="0"/>
  </r>
  <r>
    <n v="456"/>
    <n v="29"/>
    <x v="1"/>
    <x v="3"/>
    <n v="750"/>
    <x v="0"/>
    <x v="0"/>
    <x v="3"/>
    <x v="0"/>
    <n v="2"/>
    <n v="122"/>
    <n v="79"/>
    <n v="89"/>
    <n v="91"/>
    <n v="126"/>
    <n v="44"/>
    <x v="0"/>
    <n v="25.978679566424791"/>
    <x v="0"/>
  </r>
  <r>
    <n v="457"/>
    <n v="40"/>
    <x v="1"/>
    <x v="3"/>
    <n v="1200"/>
    <x v="0"/>
    <x v="1"/>
    <x v="1"/>
    <x v="0"/>
    <n v="4"/>
    <n v="100"/>
    <n v="62"/>
    <n v="72"/>
    <n v="64"/>
    <n v="92"/>
    <n v="53"/>
    <x v="1"/>
    <n v="17.239048134126556"/>
    <x v="1"/>
  </r>
  <r>
    <n v="458"/>
    <n v="20"/>
    <x v="1"/>
    <x v="0"/>
    <n v="100"/>
    <x v="0"/>
    <x v="0"/>
    <x v="0"/>
    <x v="0"/>
    <n v="4"/>
    <n v="126"/>
    <n v="51"/>
    <n v="80"/>
    <n v="102"/>
    <n v="139"/>
    <n v="35"/>
    <x v="0"/>
    <n v="19.591836734693878"/>
    <x v="0"/>
  </r>
  <r>
    <n v="459"/>
    <n v="25"/>
    <x v="1"/>
    <x v="0"/>
    <n v="400"/>
    <x v="0"/>
    <x v="1"/>
    <x v="3"/>
    <x v="1"/>
    <n v="4"/>
    <n v="141"/>
    <n v="71"/>
    <n v="79"/>
    <n v="84"/>
    <n v="99"/>
    <n v="51"/>
    <x v="0"/>
    <n v="18.673607967406067"/>
    <x v="0"/>
  </r>
  <r>
    <n v="460"/>
    <n v="38"/>
    <x v="1"/>
    <x v="3"/>
    <n v="800"/>
    <x v="0"/>
    <x v="0"/>
    <x v="0"/>
    <x v="0"/>
    <n v="4"/>
    <n v="151"/>
    <n v="89"/>
    <n v="90"/>
    <n v="109"/>
    <n v="101"/>
    <n v="42"/>
    <x v="0"/>
    <n v="26.196187350082059"/>
    <x v="0"/>
  </r>
  <r>
    <n v="461"/>
    <n v="54"/>
    <x v="1"/>
    <x v="3"/>
    <n v="1000"/>
    <x v="0"/>
    <x v="1"/>
    <x v="1"/>
    <x v="0"/>
    <n v="5"/>
    <n v="140"/>
    <n v="80"/>
    <n v="96"/>
    <n v="103"/>
    <n v="68"/>
    <n v="82"/>
    <x v="0"/>
    <n v="26.528510346119035"/>
    <x v="0"/>
  </r>
  <r>
    <n v="462"/>
    <n v="81"/>
    <x v="1"/>
    <x v="2"/>
    <n v="500"/>
    <x v="1"/>
    <x v="0"/>
    <x v="3"/>
    <x v="0"/>
    <n v="4"/>
    <n v="115"/>
    <n v="75"/>
    <n v="110"/>
    <n v="77"/>
    <n v="111"/>
    <n v="39"/>
    <x v="0"/>
    <n v="21.612811791383223"/>
    <x v="0"/>
  </r>
  <r>
    <n v="463"/>
    <n v="36"/>
    <x v="1"/>
    <x v="0"/>
    <n v="600"/>
    <x v="0"/>
    <x v="1"/>
    <x v="3"/>
    <x v="0"/>
    <n v="2"/>
    <n v="99"/>
    <n v="67"/>
    <n v="78"/>
    <n v="89"/>
    <n v="143"/>
    <n v="38"/>
    <x v="0"/>
    <n v="25.510204081632658"/>
    <x v="0"/>
  </r>
  <r>
    <n v="464"/>
    <n v="56"/>
    <x v="1"/>
    <x v="3"/>
    <n v="600"/>
    <x v="0"/>
    <x v="0"/>
    <x v="3"/>
    <x v="2"/>
    <n v="3"/>
    <n v="112"/>
    <n v="76"/>
    <n v="87"/>
    <n v="88"/>
    <n v="132"/>
    <n v="58"/>
    <x v="0"/>
    <n v="25.308641975308639"/>
    <x v="0"/>
  </r>
  <r>
    <n v="465"/>
    <n v="57"/>
    <x v="1"/>
    <x v="1"/>
    <n v="480"/>
    <x v="0"/>
    <x v="1"/>
    <x v="3"/>
    <x v="0"/>
    <n v="4"/>
    <n v="105"/>
    <n v="70"/>
    <n v="90"/>
    <n v="82"/>
    <n v="136"/>
    <n v="53"/>
    <x v="1"/>
    <n v="27.170631566235961"/>
    <x v="1"/>
  </r>
  <r>
    <n v="466"/>
    <n v="32"/>
    <x v="1"/>
    <x v="3"/>
    <n v="400"/>
    <x v="0"/>
    <x v="0"/>
    <x v="3"/>
    <x v="0"/>
    <n v="3"/>
    <n v="100"/>
    <n v="68"/>
    <n v="86"/>
    <n v="88"/>
    <n v="120"/>
    <n v="65"/>
    <x v="1"/>
    <n v="22.720438370810918"/>
    <x v="1"/>
  </r>
  <r>
    <n v="467"/>
    <n v="69"/>
    <x v="0"/>
    <x v="1"/>
    <n v="150"/>
    <x v="0"/>
    <x v="1"/>
    <x v="3"/>
    <x v="0"/>
    <n v="12"/>
    <n v="175"/>
    <n v="100"/>
    <n v="90"/>
    <n v="115"/>
    <n v="119"/>
    <n v="51"/>
    <x v="0"/>
    <n v="29.065743944636683"/>
    <x v="0"/>
  </r>
  <r>
    <n v="468"/>
    <n v="35"/>
    <x v="0"/>
    <x v="3"/>
    <n v="600"/>
    <x v="0"/>
    <x v="1"/>
    <x v="1"/>
    <x v="1"/>
    <n v="2"/>
    <n v="105"/>
    <n v="66"/>
    <n v="81"/>
    <n v="108"/>
    <n v="100"/>
    <n v="51"/>
    <x v="0"/>
    <n v="26.643598615916957"/>
    <x v="0"/>
  </r>
  <r>
    <n v="469"/>
    <n v="44"/>
    <x v="0"/>
    <x v="2"/>
    <n v="600"/>
    <x v="0"/>
    <x v="1"/>
    <x v="1"/>
    <x v="0"/>
    <n v="2"/>
    <n v="162"/>
    <n v="96"/>
    <n v="104"/>
    <n v="86"/>
    <n v="105"/>
    <n v="57"/>
    <x v="0"/>
    <n v="31.773931855056791"/>
    <x v="0"/>
  </r>
  <r>
    <n v="470"/>
    <n v="43"/>
    <x v="0"/>
    <x v="2"/>
    <n v="200"/>
    <x v="0"/>
    <x v="1"/>
    <x v="1"/>
    <x v="0"/>
    <n v="6"/>
    <n v="117"/>
    <n v="98"/>
    <n v="76"/>
    <n v="103"/>
    <n v="77"/>
    <n v="35"/>
    <x v="1"/>
    <n v="23.529411764705884"/>
    <x v="1"/>
  </r>
  <r>
    <n v="471"/>
    <n v="49"/>
    <x v="0"/>
    <x v="2"/>
    <n v="500"/>
    <x v="0"/>
    <x v="1"/>
    <x v="3"/>
    <x v="0"/>
    <n v="8"/>
    <n v="118"/>
    <n v="85"/>
    <n v="99"/>
    <n v="300"/>
    <n v="149"/>
    <n v="40"/>
    <x v="0"/>
    <n v="28.373702422145332"/>
    <x v="0"/>
  </r>
  <r>
    <n v="472"/>
    <n v="69"/>
    <x v="0"/>
    <x v="0"/>
    <n v="700"/>
    <x v="1"/>
    <x v="1"/>
    <x v="3"/>
    <x v="0"/>
    <n v="4"/>
    <n v="169"/>
    <n v="117"/>
    <n v="110"/>
    <n v="152"/>
    <n v="121"/>
    <n v="36"/>
    <x v="0"/>
    <n v="31.919307989402789"/>
    <x v="0"/>
  </r>
  <r>
    <n v="473"/>
    <n v="49"/>
    <x v="0"/>
    <x v="1"/>
    <n v="700"/>
    <x v="0"/>
    <x v="1"/>
    <x v="1"/>
    <x v="0"/>
    <n v="4"/>
    <n v="179"/>
    <n v="88"/>
    <n v="90"/>
    <n v="159"/>
    <n v="102"/>
    <n v="51"/>
    <x v="0"/>
    <n v="23.92242299970097"/>
    <x v="0"/>
  </r>
  <r>
    <n v="474"/>
    <n v="48"/>
    <x v="0"/>
    <x v="1"/>
    <n v="450"/>
    <x v="0"/>
    <x v="1"/>
    <x v="3"/>
    <x v="0"/>
    <n v="4"/>
    <n v="162"/>
    <n v="105"/>
    <n v="100"/>
    <n v="78"/>
    <n v="77"/>
    <n v="53"/>
    <x v="0"/>
    <n v="24.221453287197235"/>
    <x v="0"/>
  </r>
  <r>
    <n v="475"/>
    <n v="57"/>
    <x v="0"/>
    <x v="2"/>
    <n v="800"/>
    <x v="0"/>
    <x v="1"/>
    <x v="3"/>
    <x v="0"/>
    <n v="8"/>
    <n v="140"/>
    <n v="80"/>
    <n v="117"/>
    <n v="86"/>
    <n v="68"/>
    <n v="70"/>
    <x v="0"/>
    <n v="33.515273388872927"/>
    <x v="0"/>
  </r>
  <r>
    <n v="476"/>
    <n v="58"/>
    <x v="0"/>
    <x v="2"/>
    <n v="500"/>
    <x v="0"/>
    <x v="1"/>
    <x v="0"/>
    <x v="0"/>
    <n v="4"/>
    <n v="162"/>
    <n v="89"/>
    <n v="77"/>
    <n v="95"/>
    <n v="47"/>
    <n v="63"/>
    <x v="0"/>
    <n v="26.298487836949374"/>
    <x v="0"/>
  </r>
  <r>
    <n v="477"/>
    <n v="19"/>
    <x v="1"/>
    <x v="0"/>
    <n v="300"/>
    <x v="0"/>
    <x v="1"/>
    <x v="0"/>
    <x v="0"/>
    <n v="3"/>
    <n v="116"/>
    <n v="69"/>
    <n v="82"/>
    <n v="94"/>
    <n v="88"/>
    <n v="54"/>
    <x v="1"/>
    <n v="15.548945375878855"/>
    <x v="1"/>
  </r>
  <r>
    <n v="478"/>
    <n v="62"/>
    <x v="1"/>
    <x v="3"/>
    <n v="600"/>
    <x v="0"/>
    <x v="1"/>
    <x v="0"/>
    <x v="0"/>
    <n v="3"/>
    <n v="120"/>
    <n v="78"/>
    <n v="107"/>
    <n v="87"/>
    <n v="130"/>
    <n v="53"/>
    <x v="0"/>
    <n v="28.734672057202044"/>
    <x v="0"/>
  </r>
  <r>
    <n v="479"/>
    <n v="20"/>
    <x v="1"/>
    <x v="3"/>
    <n v="100"/>
    <x v="0"/>
    <x v="0"/>
    <x v="1"/>
    <x v="2"/>
    <n v="3"/>
    <n v="110"/>
    <n v="56"/>
    <n v="64"/>
    <n v="96"/>
    <n v="108"/>
    <n v="53"/>
    <x v="0"/>
    <n v="18.424036281179141"/>
    <x v="0"/>
  </r>
  <r>
    <n v="480"/>
    <n v="21"/>
    <x v="1"/>
    <x v="0"/>
    <n v="650"/>
    <x v="0"/>
    <x v="1"/>
    <x v="1"/>
    <x v="1"/>
    <n v="2"/>
    <n v="137"/>
    <n v="81"/>
    <n v="72"/>
    <n v="83"/>
    <n v="60"/>
    <n v="41"/>
    <x v="1"/>
    <n v="16.372080590731397"/>
    <x v="1"/>
  </r>
  <r>
    <n v="481"/>
    <n v="40"/>
    <x v="1"/>
    <x v="3"/>
    <n v="1200"/>
    <x v="0"/>
    <x v="1"/>
    <x v="1"/>
    <x v="0"/>
    <n v="4"/>
    <n v="100"/>
    <n v="62"/>
    <n v="72"/>
    <n v="64"/>
    <n v="92"/>
    <n v="53"/>
    <x v="0"/>
    <n v="17.239048134126556"/>
    <x v="0"/>
  </r>
  <r>
    <n v="482"/>
    <n v="46"/>
    <x v="1"/>
    <x v="1"/>
    <n v="300"/>
    <x v="1"/>
    <x v="1"/>
    <x v="0"/>
    <x v="0"/>
    <n v="4"/>
    <n v="100"/>
    <n v="66"/>
    <n v="83"/>
    <n v="97"/>
    <n v="85"/>
    <n v="51"/>
    <x v="0"/>
    <n v="24.489795918367346"/>
    <x v="0"/>
  </r>
  <r>
    <n v="483"/>
    <n v="26"/>
    <x v="1"/>
    <x v="3"/>
    <n v="400"/>
    <x v="0"/>
    <x v="0"/>
    <x v="3"/>
    <x v="0"/>
    <n v="5"/>
    <n v="118"/>
    <n v="78"/>
    <n v="94"/>
    <n v="111"/>
    <n v="130"/>
    <n v="41"/>
    <x v="0"/>
    <n v="26.423569824283259"/>
    <x v="0"/>
  </r>
  <r>
    <n v="484"/>
    <n v="29"/>
    <x v="1"/>
    <x v="3"/>
    <n v="350"/>
    <x v="1"/>
    <x v="1"/>
    <x v="3"/>
    <x v="0"/>
    <n v="7"/>
    <n v="140"/>
    <n v="94"/>
    <n v="92"/>
    <n v="66"/>
    <n v="210"/>
    <n v="41"/>
    <x v="0"/>
    <n v="25.978679566424791"/>
    <x v="0"/>
  </r>
  <r>
    <n v="485"/>
    <n v="54"/>
    <x v="1"/>
    <x v="1"/>
    <n v="500"/>
    <x v="0"/>
    <x v="1"/>
    <x v="3"/>
    <x v="0"/>
    <n v="5"/>
    <n v="125"/>
    <n v="83"/>
    <n v="105"/>
    <n v="210"/>
    <n v="144"/>
    <n v="52"/>
    <x v="0"/>
    <n v="31.708283789139912"/>
    <x v="0"/>
  </r>
  <r>
    <n v="486"/>
    <n v="29"/>
    <x v="1"/>
    <x v="3"/>
    <n v="500"/>
    <x v="1"/>
    <x v="1"/>
    <x v="1"/>
    <x v="2"/>
    <n v="4"/>
    <n v="144"/>
    <n v="75"/>
    <n v="90"/>
    <n v="98"/>
    <n v="91"/>
    <n v="51"/>
    <x v="0"/>
    <n v="24.441802087462015"/>
    <x v="0"/>
  </r>
  <r>
    <n v="487"/>
    <n v="69"/>
    <x v="1"/>
    <x v="1"/>
    <n v="900"/>
    <x v="1"/>
    <x v="0"/>
    <x v="0"/>
    <x v="0"/>
    <n v="6"/>
    <n v="137"/>
    <n v="67"/>
    <n v="107"/>
    <n v="104"/>
    <n v="96"/>
    <n v="40"/>
    <x v="0"/>
    <n v="30.668904958677686"/>
    <x v="0"/>
  </r>
  <r>
    <n v="488"/>
    <n v="69"/>
    <x v="1"/>
    <x v="0"/>
    <n v="600"/>
    <x v="1"/>
    <x v="1"/>
    <x v="3"/>
    <x v="0"/>
    <n v="8"/>
    <n v="162"/>
    <n v="82"/>
    <n v="112"/>
    <n v="95"/>
    <n v="107"/>
    <n v="26"/>
    <x v="0"/>
    <n v="27.609451755172291"/>
    <x v="0"/>
  </r>
  <r>
    <n v="489"/>
    <n v="61"/>
    <x v="1"/>
    <x v="3"/>
    <n v="400"/>
    <x v="0"/>
    <x v="1"/>
    <x v="3"/>
    <x v="0"/>
    <n v="10"/>
    <n v="106"/>
    <n v="76"/>
    <n v="98"/>
    <n v="132"/>
    <n v="66"/>
    <n v="23"/>
    <x v="0"/>
    <n v="22.460034350640772"/>
    <x v="0"/>
  </r>
  <r>
    <n v="490"/>
    <n v="47"/>
    <x v="1"/>
    <x v="3"/>
    <n v="300"/>
    <x v="0"/>
    <x v="0"/>
    <x v="3"/>
    <x v="0"/>
    <n v="4"/>
    <n v="120"/>
    <n v="86"/>
    <n v="92"/>
    <n v="80"/>
    <n v="118"/>
    <n v="31"/>
    <x v="0"/>
    <n v="25.762980578676178"/>
    <x v="0"/>
  </r>
  <r>
    <n v="491"/>
    <n v="29"/>
    <x v="1"/>
    <x v="3"/>
    <n v="500"/>
    <x v="0"/>
    <x v="1"/>
    <x v="3"/>
    <x v="2"/>
    <n v="2"/>
    <n v="116"/>
    <n v="70"/>
    <n v="66"/>
    <n v="95"/>
    <n v="62"/>
    <n v="53"/>
    <x v="1"/>
    <n v="15.548945375878855"/>
    <x v="1"/>
  </r>
  <r>
    <n v="492"/>
    <n v="39"/>
    <x v="1"/>
    <x v="1"/>
    <n v="450"/>
    <x v="1"/>
    <x v="1"/>
    <x v="3"/>
    <x v="1"/>
    <n v="3"/>
    <n v="125"/>
    <n v="81"/>
    <n v="68"/>
    <n v="73"/>
    <n v="70"/>
    <n v="43"/>
    <x v="0"/>
    <n v="16.653061224489797"/>
    <x v="0"/>
  </r>
  <r>
    <n v="493"/>
    <n v="34"/>
    <x v="1"/>
    <x v="3"/>
    <n v="1800"/>
    <x v="0"/>
    <x v="0"/>
    <x v="4"/>
    <x v="0"/>
    <n v="3"/>
    <n v="95"/>
    <n v="70"/>
    <n v="89"/>
    <n v="116"/>
    <n v="40"/>
    <n v="50"/>
    <x v="0"/>
    <n v="21.146319909102385"/>
    <x v="0"/>
  </r>
  <r>
    <n v="494"/>
    <n v="28"/>
    <x v="1"/>
    <x v="3"/>
    <n v="150"/>
    <x v="0"/>
    <x v="1"/>
    <x v="3"/>
    <x v="2"/>
    <n v="1"/>
    <n v="120"/>
    <n v="67"/>
    <n v="68"/>
    <n v="90"/>
    <n v="43"/>
    <n v="44"/>
    <x v="0"/>
    <n v="16.141528925619834"/>
    <x v="0"/>
  </r>
  <r>
    <n v="495"/>
    <n v="41"/>
    <x v="1"/>
    <x v="3"/>
    <n v="600"/>
    <x v="1"/>
    <x v="1"/>
    <x v="3"/>
    <x v="0"/>
    <n v="8"/>
    <n v="140"/>
    <n v="87"/>
    <n v="97"/>
    <n v="116"/>
    <n v="148"/>
    <n v="65"/>
    <x v="0"/>
    <n v="28.731921487603305"/>
    <x v="0"/>
  </r>
  <r>
    <n v="496"/>
    <n v="54"/>
    <x v="1"/>
    <x v="3"/>
    <n v="600"/>
    <x v="1"/>
    <x v="0"/>
    <x v="3"/>
    <x v="2"/>
    <n v="4"/>
    <n v="120"/>
    <n v="82"/>
    <n v="80"/>
    <n v="104"/>
    <n v="162"/>
    <n v="80"/>
    <x v="0"/>
    <n v="24.343809494085704"/>
    <x v="0"/>
  </r>
  <r>
    <n v="497"/>
    <n v="56"/>
    <x v="1"/>
    <x v="3"/>
    <n v="600"/>
    <x v="0"/>
    <x v="1"/>
    <x v="3"/>
    <x v="2"/>
    <n v="3"/>
    <n v="112"/>
    <n v="76"/>
    <n v="87"/>
    <n v="88"/>
    <n v="132"/>
    <n v="58"/>
    <x v="0"/>
    <n v="25.308641975308639"/>
    <x v="0"/>
  </r>
  <r>
    <n v="498"/>
    <n v="59"/>
    <x v="1"/>
    <x v="1"/>
    <n v="600"/>
    <x v="0"/>
    <x v="1"/>
    <x v="3"/>
    <x v="0"/>
    <n v="4"/>
    <n v="98"/>
    <n v="72"/>
    <n v="84"/>
    <n v="88"/>
    <n v="140"/>
    <n v="50"/>
    <x v="0"/>
    <n v="25.18078512396694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670300-5B56-496B-8254-88BD13412AA9}" name="PivotTable4" cacheId="96"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5">
  <location ref="Z7:AC14" firstHeaderRow="1" firstDataRow="2" firstDataCol="1"/>
  <pivotFields count="19">
    <pivotField compact="0" outline="0" showAll="0"/>
    <pivotField compact="0" outline="0" showAll="0"/>
    <pivotField compact="0" outline="0" showAll="0">
      <items count="3">
        <item x="0"/>
        <item x="1"/>
        <item t="default"/>
      </items>
    </pivotField>
    <pivotField name="Education Level" compact="0" outline="0" showAll="0">
      <items count="5">
        <item x="2"/>
        <item x="1"/>
        <item x="0"/>
        <item x="3"/>
        <item t="default"/>
      </items>
    </pivotField>
    <pivotField compact="0" numFmtId="170" outline="0" showAll="0"/>
    <pivotField compact="0" outline="0" showAll="0">
      <items count="3">
        <item x="0"/>
        <item x="1"/>
        <item t="default"/>
      </items>
    </pivotField>
    <pivotField compact="0" outline="0" showAll="0"/>
    <pivotField axis="axisRow" compact="0" outline="0" showAll="0">
      <items count="6">
        <item x="4"/>
        <item x="2"/>
        <item x="3"/>
        <item x="0"/>
        <item x="1"/>
        <item t="default"/>
      </items>
    </pivotField>
    <pivotField compact="0" outline="0" showAll="0">
      <items count="4">
        <item x="1"/>
        <item x="0"/>
        <item x="2"/>
        <item t="default"/>
      </items>
    </pivotField>
    <pivotField compact="0" numFmtId="165" outline="0" showAll="0"/>
    <pivotField compact="0" numFmtId="166" outline="0" showAll="0"/>
    <pivotField compact="0" numFmtId="166" outline="0" showAll="0"/>
    <pivotField compact="0" numFmtId="167" outline="0" showAll="0"/>
    <pivotField compact="0" numFmtId="168" outline="0" showAll="0"/>
    <pivotField compact="0" numFmtId="168" outline="0" showAll="0"/>
    <pivotField compact="0" numFmtId="168" outline="0" showAll="0"/>
    <pivotField axis="axisCol" dataField="1" compact="0" outline="0" showAll="0">
      <items count="3">
        <item x="1"/>
        <item x="0"/>
        <item t="default"/>
      </items>
    </pivotField>
    <pivotField compact="0" numFmtId="169" outline="0" showAll="0"/>
    <pivotField compact="0" outline="0" subtotalTop="0" showAll="0"/>
  </pivotFields>
  <rowFields count="1">
    <field x="7"/>
  </rowFields>
  <rowItems count="6">
    <i>
      <x/>
    </i>
    <i>
      <x v="1"/>
    </i>
    <i>
      <x v="2"/>
    </i>
    <i>
      <x v="3"/>
    </i>
    <i>
      <x v="4"/>
    </i>
    <i t="grand">
      <x/>
    </i>
  </rowItems>
  <colFields count="1">
    <field x="16"/>
  </colFields>
  <colItems count="3">
    <i>
      <x/>
    </i>
    <i>
      <x v="1"/>
    </i>
    <i t="grand">
      <x/>
    </i>
  </colItems>
  <dataFields count="1">
    <dataField name="Count of MetSyn" fld="16" subtotal="count" showDataAs="percentOfRow" baseField="0" baseItem="0" numFmtId="10"/>
  </dataFields>
  <formats count="6">
    <format dxfId="74">
      <pivotArea field="7" grandCol="1" outline="0" axis="axisRow" fieldPosition="0">
        <references count="1">
          <reference field="7" count="1" selected="0">
            <x v="0"/>
          </reference>
        </references>
      </pivotArea>
    </format>
    <format dxfId="75">
      <pivotArea field="7" grandCol="1" outline="0" axis="axisRow" fieldPosition="0">
        <references count="1">
          <reference field="7" count="1" selected="0">
            <x v="1"/>
          </reference>
        </references>
      </pivotArea>
    </format>
    <format dxfId="76">
      <pivotArea field="7" grandCol="1" outline="0" axis="axisRow" fieldPosition="0">
        <references count="1">
          <reference field="7" count="1" selected="0">
            <x v="2"/>
          </reference>
        </references>
      </pivotArea>
    </format>
    <format dxfId="77">
      <pivotArea field="7" grandCol="1" outline="0" axis="axisRow" fieldPosition="0">
        <references count="1">
          <reference field="7" count="1" selected="0">
            <x v="3"/>
          </reference>
        </references>
      </pivotArea>
    </format>
    <format dxfId="78">
      <pivotArea field="7" grandCol="1" outline="0" axis="axisRow" fieldPosition="0">
        <references count="1">
          <reference field="7" count="1" selected="0">
            <x v="4"/>
          </reference>
        </references>
      </pivotArea>
    </format>
    <format dxfId="79">
      <pivotArea grandRow="1" grandCol="1" outline="0" collapsedLevelsAreSubtotals="1" fieldPosition="0"/>
    </format>
  </formats>
  <chartFormats count="4">
    <chartFormat chart="0" format="0" series="1">
      <pivotArea type="data" outline="0" fieldPosition="0">
        <references count="2">
          <reference field="4294967294" count="1" selected="0">
            <x v="0"/>
          </reference>
          <reference field="16"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3" format="4" series="1">
      <pivotArea type="data" outline="0" fieldPosition="0">
        <references count="2">
          <reference field="4294967294" count="1" selected="0">
            <x v="0"/>
          </reference>
          <reference field="16" count="1" selected="0">
            <x v="0"/>
          </reference>
        </references>
      </pivotArea>
    </chartFormat>
    <chartFormat chart="3" format="5"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9F82D0-0C72-4253-BA53-2FCA72DFE1EF}" name="PivotTable1" cacheId="96"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11">
  <location ref="Z1:AC5" firstHeaderRow="1" firstDataRow="2" firstDataCol="1"/>
  <pivotFields count="19">
    <pivotField compact="0" outline="0" showAll="0"/>
    <pivotField compact="0" outline="0" showAll="0"/>
    <pivotField compact="0" outline="0" showAll="0">
      <items count="3">
        <item x="0"/>
        <item x="1"/>
        <item t="default"/>
      </items>
    </pivotField>
    <pivotField name="Education Level" compact="0" outline="0" showAll="0">
      <items count="5">
        <item x="2"/>
        <item x="1"/>
        <item x="0"/>
        <item x="3"/>
        <item t="default"/>
      </items>
    </pivotField>
    <pivotField compact="0" numFmtId="170" outline="0" showAll="0"/>
    <pivotField compact="0" outline="0" showAll="0">
      <items count="3">
        <item x="0"/>
        <item x="1"/>
        <item t="default"/>
      </items>
    </pivotField>
    <pivotField axis="axisRow" compact="0" outline="0" showAll="0">
      <items count="3">
        <item x="1"/>
        <item x="0"/>
        <item t="default"/>
      </items>
    </pivotField>
    <pivotField compact="0" outline="0" showAll="0"/>
    <pivotField compact="0" outline="0" showAll="0">
      <items count="4">
        <item x="1"/>
        <item x="0"/>
        <item x="2"/>
        <item t="default"/>
      </items>
    </pivotField>
    <pivotField compact="0" numFmtId="165" outline="0" showAll="0"/>
    <pivotField compact="0" numFmtId="166" outline="0" showAll="0"/>
    <pivotField compact="0" numFmtId="166" outline="0" showAll="0"/>
    <pivotField compact="0" numFmtId="167" outline="0" showAll="0"/>
    <pivotField compact="0" numFmtId="168" outline="0" showAll="0"/>
    <pivotField compact="0" numFmtId="168" outline="0" showAll="0"/>
    <pivotField compact="0" numFmtId="168" outline="0" showAll="0"/>
    <pivotField dataField="1" compact="0" outline="0" showAll="0"/>
    <pivotField compact="0" numFmtId="169" outline="0" showAll="0"/>
    <pivotField axis="axisCol" compact="0" outline="0" subtotalTop="0" showAll="0">
      <items count="5">
        <item m="1" x="2"/>
        <item m="1" x="3"/>
        <item x="0"/>
        <item x="1"/>
        <item t="default"/>
      </items>
    </pivotField>
  </pivotFields>
  <rowFields count="1">
    <field x="6"/>
  </rowFields>
  <rowItems count="3">
    <i>
      <x/>
    </i>
    <i>
      <x v="1"/>
    </i>
    <i t="grand">
      <x/>
    </i>
  </rowItems>
  <colFields count="1">
    <field x="18"/>
  </colFields>
  <colItems count="3">
    <i>
      <x v="2"/>
    </i>
    <i>
      <x v="3"/>
    </i>
    <i t="grand">
      <x/>
    </i>
  </colItems>
  <dataFields count="1">
    <dataField name="Count of MetSyn" fld="16" subtotal="count" showDataAs="percentOfRow" baseField="0" baseItem="0" numFmtId="10"/>
  </dataFields>
  <formats count="3">
    <format dxfId="71">
      <pivotArea field="6" grandCol="1" outline="0" axis="axisRow" fieldPosition="0">
        <references count="1">
          <reference field="6" count="1" selected="0">
            <x v="0"/>
          </reference>
        </references>
      </pivotArea>
    </format>
    <format dxfId="72">
      <pivotArea grandRow="1" grandCol="1" outline="0" collapsedLevelsAreSubtotals="1" fieldPosition="0"/>
    </format>
    <format dxfId="73">
      <pivotArea field="6" grandCol="1" outline="0" axis="axisRow" fieldPosition="0">
        <references count="1">
          <reference field="6" count="1" selected="0">
            <x v="1"/>
          </reference>
        </references>
      </pivotArea>
    </format>
  </formats>
  <chartFormats count="10">
    <chartFormat chart="5" format="0" series="1">
      <pivotArea type="data" outline="0" fieldPosition="0">
        <references count="2">
          <reference field="4294967294" count="1" selected="0">
            <x v="0"/>
          </reference>
          <reference field="18" count="1" selected="0">
            <x v="0"/>
          </reference>
        </references>
      </pivotArea>
    </chartFormat>
    <chartFormat chart="5" format="1" series="1">
      <pivotArea type="data" outline="0" fieldPosition="0">
        <references count="2">
          <reference field="4294967294" count="1" selected="0">
            <x v="0"/>
          </reference>
          <reference field="18" count="1" selected="0">
            <x v="1"/>
          </reference>
        </references>
      </pivotArea>
    </chartFormat>
    <chartFormat chart="7" format="2" series="1">
      <pivotArea type="data" outline="0" fieldPosition="0">
        <references count="2">
          <reference field="4294967294" count="1" selected="0">
            <x v="0"/>
          </reference>
          <reference field="18" count="1" selected="0">
            <x v="0"/>
          </reference>
        </references>
      </pivotArea>
    </chartFormat>
    <chartFormat chart="7" format="3" series="1">
      <pivotArea type="data" outline="0" fieldPosition="0">
        <references count="2">
          <reference field="4294967294" count="1" selected="0">
            <x v="0"/>
          </reference>
          <reference field="18" count="1" selected="0">
            <x v="1"/>
          </reference>
        </references>
      </pivotArea>
    </chartFormat>
    <chartFormat chart="8" format="4" series="1">
      <pivotArea type="data" outline="0" fieldPosition="0">
        <references count="2">
          <reference field="4294967294" count="1" selected="0">
            <x v="0"/>
          </reference>
          <reference field="18" count="1" selected="0">
            <x v="0"/>
          </reference>
        </references>
      </pivotArea>
    </chartFormat>
    <chartFormat chart="8" format="5" series="1">
      <pivotArea type="data" outline="0" fieldPosition="0">
        <references count="2">
          <reference field="4294967294" count="1" selected="0">
            <x v="0"/>
          </reference>
          <reference field="18" count="1" selected="0">
            <x v="1"/>
          </reference>
        </references>
      </pivotArea>
    </chartFormat>
    <chartFormat chart="5" format="5" series="1">
      <pivotArea type="data" outline="0" fieldPosition="0">
        <references count="2">
          <reference field="4294967294" count="1" selected="0">
            <x v="0"/>
          </reference>
          <reference field="18" count="1" selected="0">
            <x v="2"/>
          </reference>
        </references>
      </pivotArea>
    </chartFormat>
    <chartFormat chart="5" format="6" series="1">
      <pivotArea type="data" outline="0" fieldPosition="0">
        <references count="2">
          <reference field="4294967294" count="1" selected="0">
            <x v="0"/>
          </reference>
          <reference field="18" count="1" selected="0">
            <x v="3"/>
          </reference>
        </references>
      </pivotArea>
    </chartFormat>
    <chartFormat chart="10" format="9" series="1">
      <pivotArea type="data" outline="0" fieldPosition="0">
        <references count="2">
          <reference field="4294967294" count="1" selected="0">
            <x v="0"/>
          </reference>
          <reference field="18" count="1" selected="0">
            <x v="2"/>
          </reference>
        </references>
      </pivotArea>
    </chartFormat>
    <chartFormat chart="10" format="10" series="1">
      <pivotArea type="data" outline="0" fieldPosition="0">
        <references count="2">
          <reference field="4294967294" count="1" selected="0">
            <x v="0"/>
          </reference>
          <reference field="1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864D90-C7C0-4B55-8006-CA2A0713E685}" name="PivotTable2" cacheId="9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13:G16" firstHeaderRow="0" firstDataRow="1" firstDataCol="1"/>
  <pivotFields count="19">
    <pivotField compact="0" outline="0" showAll="0"/>
    <pivotField compact="0" outline="0" showAll="0"/>
    <pivotField axis="axisRow" dataField="1" compact="0" outline="0" showAll="0">
      <items count="3">
        <item x="0"/>
        <item x="1"/>
        <item t="default"/>
      </items>
    </pivotField>
    <pivotField compact="0" outline="0" showAll="0"/>
    <pivotField compact="0" numFmtId="170" outline="0" showAll="0"/>
    <pivotField compact="0" outline="0" showAll="0">
      <items count="3">
        <item x="0"/>
        <item x="1"/>
        <item t="default"/>
      </items>
    </pivotField>
    <pivotField compact="0" outline="0" showAll="0"/>
    <pivotField compact="0" outline="0" showAll="0"/>
    <pivotField compact="0" outline="0" showAll="0">
      <items count="4">
        <item x="1"/>
        <item x="0"/>
        <item x="2"/>
        <item t="default"/>
      </items>
    </pivotField>
    <pivotField compact="0" numFmtId="165" outline="0" showAll="0"/>
    <pivotField compact="0" numFmtId="166" outline="0" showAll="0"/>
    <pivotField compact="0" numFmtId="166" outline="0" showAll="0"/>
    <pivotField compact="0" numFmtId="167" outline="0" showAll="0"/>
    <pivotField compact="0" numFmtId="168" outline="0" showAll="0"/>
    <pivotField compact="0" numFmtId="168" outline="0" showAll="0"/>
    <pivotField compact="0" numFmtId="168" outline="0" showAll="0"/>
    <pivotField compact="0" outline="0" showAll="0"/>
    <pivotField compact="0" numFmtId="169" outline="0" showAll="0"/>
    <pivotField compact="0" outline="0" subtotalTop="0" showAll="0"/>
  </pivotFields>
  <rowFields count="1">
    <field x="2"/>
  </rowFields>
  <rowItems count="3">
    <i>
      <x/>
    </i>
    <i>
      <x v="1"/>
    </i>
    <i t="grand">
      <x/>
    </i>
  </rowItems>
  <colFields count="1">
    <field x="-2"/>
  </colFields>
  <colItems count="2">
    <i>
      <x/>
    </i>
    <i i="1">
      <x v="1"/>
    </i>
  </colItems>
  <dataFields count="2">
    <dataField name="N" fld="2" subtotal="count" baseField="0" baseItem="0"/>
    <dataField name="Percentage%" fld="2" subtotal="count" showDataAs="percentOfTotal" baseField="0" baseItem="0" numFmtId="10"/>
  </dataFields>
  <formats count="2">
    <format dxfId="69">
      <pivotArea outline="0" fieldPosition="0">
        <references count="2">
          <reference field="4294967294" count="1" selected="0">
            <x v="1"/>
          </reference>
          <reference field="2" count="1" selected="0">
            <x v="0"/>
          </reference>
        </references>
      </pivotArea>
    </format>
    <format dxfId="70">
      <pivotArea field="2" grandRow="1" outline="0" axis="axisRow"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3FB634-BB17-4F70-96D7-83E743986512}" name="PivotTable8" cacheId="9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26:G30" firstHeaderRow="0" firstDataRow="1" firstDataCol="1"/>
  <pivotFields count="19">
    <pivotField compact="0" outline="0" showAll="0"/>
    <pivotField compact="0" outline="0" showAll="0"/>
    <pivotField compact="0" outline="0" showAll="0">
      <items count="3">
        <item x="0"/>
        <item x="1"/>
        <item t="default"/>
      </items>
    </pivotField>
    <pivotField compact="0" outline="0" showAll="0">
      <items count="5">
        <item x="2"/>
        <item x="1"/>
        <item x="0"/>
        <item x="3"/>
        <item t="default"/>
      </items>
    </pivotField>
    <pivotField compact="0" numFmtId="170" outline="0" showAll="0"/>
    <pivotField compact="0" outline="0" showAll="0">
      <items count="3">
        <item x="0"/>
        <item x="1"/>
        <item t="default"/>
      </items>
    </pivotField>
    <pivotField compact="0" outline="0" showAll="0"/>
    <pivotField compact="0" outline="0" showAll="0"/>
    <pivotField axis="axisRow" dataField="1" compact="0" outline="0" showAll="0">
      <items count="4">
        <item x="1"/>
        <item x="0"/>
        <item x="2"/>
        <item t="default"/>
      </items>
    </pivotField>
    <pivotField compact="0" numFmtId="165" outline="0" showAll="0"/>
    <pivotField compact="0" numFmtId="166" outline="0" showAll="0"/>
    <pivotField compact="0" numFmtId="166" outline="0" showAll="0"/>
    <pivotField compact="0" numFmtId="167" outline="0" showAll="0"/>
    <pivotField compact="0" numFmtId="168" outline="0" showAll="0"/>
    <pivotField compact="0" numFmtId="168" outline="0" showAll="0"/>
    <pivotField compact="0" numFmtId="168" outline="0" showAll="0"/>
    <pivotField compact="0" outline="0" showAll="0"/>
    <pivotField compact="0" numFmtId="169" outline="0" showAll="0"/>
    <pivotField compact="0" outline="0" subtotalTop="0" showAll="0"/>
  </pivotFields>
  <rowFields count="1">
    <field x="8"/>
  </rowFields>
  <rowItems count="4">
    <i>
      <x/>
    </i>
    <i>
      <x v="1"/>
    </i>
    <i>
      <x v="2"/>
    </i>
    <i t="grand">
      <x/>
    </i>
  </rowItems>
  <colFields count="1">
    <field x="-2"/>
  </colFields>
  <colItems count="2">
    <i>
      <x/>
    </i>
    <i i="1">
      <x v="1"/>
    </i>
  </colItems>
  <dataFields count="2">
    <dataField name="n" fld="8" subtotal="count" baseField="0" baseItem="0"/>
    <dataField name="Percentage%"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F5461E-9D9E-479D-AB5D-E6C2CB88EB32}" name="PivotTable31" cacheId="96"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6">
  <location ref="E1:F4" firstHeaderRow="1" firstDataRow="1" firstDataCol="1"/>
  <pivotFields count="19">
    <pivotField compact="0" outline="0" showAll="0"/>
    <pivotField compact="0" outline="0" showAll="0"/>
    <pivotField compact="0" outline="0" showAll="0">
      <items count="3">
        <item x="0"/>
        <item x="1"/>
        <item t="default"/>
      </items>
    </pivotField>
    <pivotField compact="0" outline="0" showAll="0">
      <items count="5">
        <item x="2"/>
        <item x="1"/>
        <item x="0"/>
        <item x="3"/>
        <item t="default"/>
      </items>
    </pivotField>
    <pivotField compact="0" numFmtId="170" outline="0" showAll="0"/>
    <pivotField compact="0" outline="0" showAll="0">
      <items count="3">
        <item x="0"/>
        <item x="1"/>
        <item t="default"/>
      </items>
    </pivotField>
    <pivotField compact="0" outline="0" showAll="0"/>
    <pivotField compact="0" outline="0" showAll="0"/>
    <pivotField compact="0" outline="0" showAll="0">
      <items count="4">
        <item x="1"/>
        <item x="0"/>
        <item x="2"/>
        <item t="default"/>
      </items>
    </pivotField>
    <pivotField compact="0" numFmtId="165" outline="0" showAll="0"/>
    <pivotField compact="0" numFmtId="166" outline="0" showAll="0"/>
    <pivotField compact="0" numFmtId="166" outline="0" showAll="0"/>
    <pivotField compact="0" numFmtId="167" outline="0" showAll="0"/>
    <pivotField compact="0" numFmtId="168" outline="0" showAll="0"/>
    <pivotField compact="0" numFmtId="168" outline="0" showAll="0"/>
    <pivotField compact="0" numFmtId="168" outline="0" showAll="0"/>
    <pivotField axis="axisRow" dataField="1" compact="0" outline="0" showAll="0">
      <items count="3">
        <item x="1"/>
        <item x="0"/>
        <item t="default"/>
      </items>
    </pivotField>
    <pivotField compact="0" numFmtId="169" outline="0" showAll="0"/>
    <pivotField compact="0" outline="0" subtotalTop="0" showAll="0"/>
  </pivotFields>
  <rowFields count="1">
    <field x="16"/>
  </rowFields>
  <rowItems count="3">
    <i>
      <x/>
    </i>
    <i>
      <x v="1"/>
    </i>
    <i t="grand">
      <x/>
    </i>
  </rowItems>
  <colItems count="1">
    <i/>
  </colItems>
  <dataFields count="1">
    <dataField name="MetSyn%" fld="16" subtotal="count" showDataAs="percentOfTotal" baseField="0" baseItem="0" numFmtId="10"/>
  </dataFields>
  <formats count="1">
    <format dxfId="68">
      <pivotArea grandRow="1"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6" count="1" selected="0">
            <x v="0"/>
          </reference>
        </references>
      </pivotArea>
    </chartFormat>
    <chartFormat chart="5" format="6">
      <pivotArea type="data" outline="0" fieldPosition="0">
        <references count="2">
          <reference field="4294967294" count="1" selected="0">
            <x v="0"/>
          </reference>
          <reference field="16" count="1" selected="0">
            <x v="1"/>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C4A824-99F6-4FE9-BB31-4626D8594ACF}" name="PivotTable7" cacheId="9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J24:L37" firstHeaderRow="1" firstDataRow="1" firstDataCol="2"/>
  <pivotFields count="19">
    <pivotField compact="0" outline="0" showAll="0"/>
    <pivotField compact="0" outline="0" showAll="0"/>
    <pivotField compact="0" outline="0" showAll="0">
      <items count="3">
        <item x="0"/>
        <item x="1"/>
        <item t="default"/>
      </items>
    </pivotField>
    <pivotField compact="0" outline="0" showAll="0">
      <items count="5">
        <item x="2"/>
        <item x="1"/>
        <item x="0"/>
        <item x="3"/>
        <item t="default"/>
      </items>
    </pivotField>
    <pivotField compact="0" numFmtId="170" outline="0" showAll="0"/>
    <pivotField compact="0" outline="0" showAll="0">
      <items count="3">
        <item x="0"/>
        <item x="1"/>
        <item t="default"/>
      </items>
    </pivotField>
    <pivotField compact="0" outline="0" showAll="0"/>
    <pivotField axis="axisRow" dataField="1" compact="0" outline="0" showAll="0">
      <items count="6">
        <item x="4"/>
        <item x="2"/>
        <item x="3"/>
        <item x="0"/>
        <item x="1"/>
        <item t="default"/>
      </items>
    </pivotField>
    <pivotField compact="0" outline="0" showAll="0">
      <items count="4">
        <item x="1"/>
        <item x="0"/>
        <item x="2"/>
        <item t="default"/>
      </items>
    </pivotField>
    <pivotField compact="0" numFmtId="165" outline="0" showAll="0"/>
    <pivotField compact="0" numFmtId="166" outline="0" showAll="0"/>
    <pivotField compact="0" numFmtId="166" outline="0" showAll="0"/>
    <pivotField compact="0" numFmtId="167" outline="0" showAll="0"/>
    <pivotField compact="0" numFmtId="168" outline="0" showAll="0"/>
    <pivotField compact="0" numFmtId="168" outline="0" showAll="0"/>
    <pivotField compact="0" numFmtId="168" outline="0" showAll="0"/>
    <pivotField axis="axisRow" compact="0" outline="0" showAll="0">
      <items count="3">
        <item x="1"/>
        <item x="0"/>
        <item t="default"/>
      </items>
    </pivotField>
    <pivotField compact="0" numFmtId="169" outline="0" showAll="0"/>
    <pivotField compact="0" outline="0" subtotalTop="0" showAll="0"/>
  </pivotFields>
  <rowFields count="2">
    <field x="16"/>
    <field x="7"/>
  </rowFields>
  <rowItems count="13">
    <i>
      <x/>
      <x/>
    </i>
    <i r="1">
      <x v="1"/>
    </i>
    <i r="1">
      <x v="2"/>
    </i>
    <i r="1">
      <x v="3"/>
    </i>
    <i r="1">
      <x v="4"/>
    </i>
    <i t="default">
      <x/>
    </i>
    <i>
      <x v="1"/>
      <x/>
    </i>
    <i r="1">
      <x v="1"/>
    </i>
    <i r="1">
      <x v="2"/>
    </i>
    <i r="1">
      <x v="3"/>
    </i>
    <i r="1">
      <x v="4"/>
    </i>
    <i t="default">
      <x v="1"/>
    </i>
    <i t="grand">
      <x/>
    </i>
  </rowItems>
  <colItems count="1">
    <i/>
  </colItems>
  <dataFields count="1">
    <dataField name="Percentage%" fld="7"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F61A9B-6F9F-412D-AD7A-1FFB487FE13D}" name="PivotTable21" cacheId="96"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5">
  <location ref="N21:Q26" firstHeaderRow="1" firstDataRow="2" firstDataCol="1"/>
  <pivotFields count="19">
    <pivotField compact="0" outline="0" showAll="0"/>
    <pivotField compact="0" outline="0" showAll="0"/>
    <pivotField compact="0" outline="0" showAll="0">
      <items count="3">
        <item x="0"/>
        <item x="1"/>
        <item t="default"/>
      </items>
    </pivotField>
    <pivotField name="Education Level" compact="0" outline="0" showAll="0"/>
    <pivotField compact="0" numFmtId="170" outline="0" showAll="0"/>
    <pivotField compact="0" outline="0" showAll="0">
      <items count="3">
        <item x="0"/>
        <item x="1"/>
        <item t="default"/>
      </items>
    </pivotField>
    <pivotField compact="0" outline="0" showAll="0"/>
    <pivotField compact="0" outline="0" showAll="0"/>
    <pivotField axis="axisRow" compact="0" outline="0" showAll="0">
      <items count="4">
        <item x="1"/>
        <item x="0"/>
        <item x="2"/>
        <item t="default"/>
      </items>
    </pivotField>
    <pivotField compact="0" numFmtId="165" outline="0" showAll="0"/>
    <pivotField compact="0" numFmtId="166" outline="0" showAll="0"/>
    <pivotField compact="0" numFmtId="166" outline="0" showAll="0"/>
    <pivotField compact="0" numFmtId="167" outline="0" showAll="0"/>
    <pivotField compact="0" numFmtId="168" outline="0" showAll="0"/>
    <pivotField compact="0" numFmtId="168" outline="0" showAll="0"/>
    <pivotField compact="0" numFmtId="168" outline="0" showAll="0"/>
    <pivotField axis="axisCol" dataField="1" compact="0" outline="0" showAll="0">
      <items count="3">
        <item x="1"/>
        <item x="0"/>
        <item t="default"/>
      </items>
    </pivotField>
    <pivotField compact="0" numFmtId="169" outline="0" showAll="0"/>
    <pivotField compact="0" outline="0" subtotalTop="0" showAll="0"/>
  </pivotFields>
  <rowFields count="1">
    <field x="8"/>
  </rowFields>
  <rowItems count="4">
    <i>
      <x/>
    </i>
    <i>
      <x v="1"/>
    </i>
    <i>
      <x v="2"/>
    </i>
    <i t="grand">
      <x/>
    </i>
  </rowItems>
  <colFields count="1">
    <field x="16"/>
  </colFields>
  <colItems count="3">
    <i>
      <x/>
    </i>
    <i>
      <x v="1"/>
    </i>
    <i t="grand">
      <x/>
    </i>
  </colItems>
  <dataFields count="1">
    <dataField name="Metobolic Syndrome" fld="16" subtotal="count" showDataAs="percentOfRow" baseField="0" baseItem="0" numFmtId="10"/>
  </dataFields>
  <formats count="4">
    <format dxfId="64">
      <pivotArea grandRow="1" grandCol="1" outline="0" collapsedLevelsAreSubtotals="1" fieldPosition="0"/>
    </format>
    <format dxfId="65">
      <pivotArea field="8" grandCol="1" outline="0" axis="axisRow" fieldPosition="0">
        <references count="1">
          <reference field="8" count="1" selected="0">
            <x v="0"/>
          </reference>
        </references>
      </pivotArea>
    </format>
    <format dxfId="66">
      <pivotArea field="8" grandCol="1" outline="0" axis="axisRow" fieldPosition="0">
        <references count="1">
          <reference field="8" count="1" selected="0">
            <x v="1"/>
          </reference>
        </references>
      </pivotArea>
    </format>
    <format dxfId="67">
      <pivotArea field="8" grandCol="1" outline="0" axis="axisRow" fieldPosition="0">
        <references count="1">
          <reference field="8" count="1" selected="0">
            <x v="2"/>
          </reference>
        </references>
      </pivotArea>
    </format>
  </formats>
  <chartFormats count="4">
    <chartFormat chart="0" format="0" series="1">
      <pivotArea type="data" outline="0" fieldPosition="0">
        <references count="2">
          <reference field="4294967294" count="1" selected="0">
            <x v="0"/>
          </reference>
          <reference field="16"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3" format="4" series="1">
      <pivotArea type="data" outline="0" fieldPosition="0">
        <references count="2">
          <reference field="4294967294" count="1" selected="0">
            <x v="0"/>
          </reference>
          <reference field="16" count="1" selected="0">
            <x v="0"/>
          </reference>
        </references>
      </pivotArea>
    </chartFormat>
    <chartFormat chart="3" format="5"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A8E605E-6FEE-4F49-B57C-574ADA9A70C0}" name="PivotTable26" cacheId="96"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5">
  <location ref="S23:U30" firstHeaderRow="1" firstDataRow="1" firstDataCol="2"/>
  <pivotFields count="19">
    <pivotField compact="0" outline="0" showAll="0"/>
    <pivotField compact="0" outline="0" showAll="0"/>
    <pivotField compact="0" outline="0" showAll="0">
      <items count="3">
        <item x="0"/>
        <item x="1"/>
        <item t="default"/>
      </items>
    </pivotField>
    <pivotField name="Education Level" compact="0" outline="0" showAll="0">
      <items count="5">
        <item x="2"/>
        <item x="1"/>
        <item x="0"/>
        <item x="3"/>
        <item t="default"/>
      </items>
    </pivotField>
    <pivotField compact="0" numFmtId="170" outline="0" showAll="0"/>
    <pivotField compact="0" outline="0" showAll="0">
      <items count="3">
        <item x="0"/>
        <item x="1"/>
        <item t="default"/>
      </items>
    </pivotField>
    <pivotField axis="axisRow" dataField="1" compact="0" outline="0" showAll="0">
      <items count="3">
        <item x="1"/>
        <item x="0"/>
        <item t="default"/>
      </items>
    </pivotField>
    <pivotField compact="0" outline="0" showAll="0"/>
    <pivotField compact="0" outline="0" showAll="0">
      <items count="4">
        <item x="1"/>
        <item x="0"/>
        <item x="2"/>
        <item t="default"/>
      </items>
    </pivotField>
    <pivotField compact="0" numFmtId="165" outline="0" showAll="0"/>
    <pivotField compact="0" numFmtId="166" outline="0" showAll="0"/>
    <pivotField compact="0" numFmtId="166" outline="0" showAll="0"/>
    <pivotField compact="0" numFmtId="167" outline="0" showAll="0"/>
    <pivotField compact="0" numFmtId="168" outline="0" showAll="0"/>
    <pivotField compact="0" numFmtId="168" outline="0" showAll="0"/>
    <pivotField compact="0" numFmtId="168" outline="0" showAll="0"/>
    <pivotField axis="axisRow" compact="0" outline="0" showAll="0">
      <items count="3">
        <item x="1"/>
        <item x="0"/>
        <item t="default"/>
      </items>
    </pivotField>
    <pivotField compact="0" numFmtId="169" outline="0" showAll="0"/>
    <pivotField compact="0" outline="0" subtotalTop="0" showAll="0"/>
  </pivotFields>
  <rowFields count="2">
    <field x="16"/>
    <field x="6"/>
  </rowFields>
  <rowItems count="7">
    <i>
      <x/>
      <x/>
    </i>
    <i r="1">
      <x v="1"/>
    </i>
    <i t="default">
      <x/>
    </i>
    <i>
      <x v="1"/>
      <x/>
    </i>
    <i r="1">
      <x v="1"/>
    </i>
    <i t="default">
      <x v="1"/>
    </i>
    <i t="grand">
      <x/>
    </i>
  </rowItems>
  <colItems count="1">
    <i/>
  </colItems>
  <dataFields count="1">
    <dataField name="Khat%" fld="6" subtotal="count" showDataAs="percentOfTotal" baseField="0" baseItem="0" numFmtId="10"/>
  </dataFields>
  <formats count="2">
    <format dxfId="62">
      <pivotArea grandRow="1" grandCol="1" outline="0" collapsedLevelsAreSubtotals="1" fieldPosition="0"/>
    </format>
    <format dxfId="63">
      <pivotArea outline="0" fieldPosition="0">
        <references count="1">
          <reference field="4294967294" count="1">
            <x v="0"/>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77AC68B-2803-4EBB-ADA8-E95E79DCD72D}" name="PivotTable30" cacheId="96"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V3:W6" firstHeaderRow="1" firstDataRow="1" firstDataCol="1"/>
  <pivotFields count="19">
    <pivotField compact="0" outline="0" showAll="0"/>
    <pivotField compact="0" outline="0" showAll="0"/>
    <pivotField compact="0" outline="0" showAll="0">
      <items count="3">
        <item x="0"/>
        <item x="1"/>
        <item t="default"/>
      </items>
    </pivotField>
    <pivotField name="Education Level" compact="0" outline="0" showAll="0">
      <items count="5">
        <item x="2"/>
        <item x="1"/>
        <item x="0"/>
        <item x="3"/>
        <item t="default"/>
      </items>
    </pivotField>
    <pivotField compact="0" numFmtId="170" outline="0" showAll="0"/>
    <pivotField compact="0" outline="0" showAll="0">
      <items count="3">
        <item x="0"/>
        <item x="1"/>
        <item t="default"/>
      </items>
    </pivotField>
    <pivotField compact="0" outline="0" showAll="0"/>
    <pivotField compact="0" outline="0" showAll="0"/>
    <pivotField compact="0" outline="0" showAll="0">
      <items count="4">
        <item x="1"/>
        <item x="0"/>
        <item x="2"/>
        <item t="default"/>
      </items>
    </pivotField>
    <pivotField compact="0" numFmtId="165" outline="0" showAll="0"/>
    <pivotField compact="0" numFmtId="166" outline="0" showAll="0"/>
    <pivotField compact="0" numFmtId="166" outline="0" showAll="0"/>
    <pivotField compact="0" numFmtId="167" outline="0" showAll="0"/>
    <pivotField compact="0" numFmtId="168" outline="0" showAll="0"/>
    <pivotField compact="0" numFmtId="168" outline="0" showAll="0"/>
    <pivotField dataField="1" compact="0" numFmtId="168" outline="0" showAll="0"/>
    <pivotField axis="axisRow" compact="0" outline="0" showAll="0">
      <items count="3">
        <item x="1"/>
        <item x="0"/>
        <item t="default"/>
      </items>
    </pivotField>
    <pivotField compact="0" numFmtId="169" outline="0" showAll="0"/>
    <pivotField compact="0" outline="0" subtotalTop="0" showAll="0"/>
  </pivotFields>
  <rowFields count="1">
    <field x="16"/>
  </rowFields>
  <rowItems count="3">
    <i>
      <x/>
    </i>
    <i>
      <x v="1"/>
    </i>
    <i t="grand">
      <x/>
    </i>
  </rowItems>
  <colItems count="1">
    <i/>
  </colItems>
  <dataFields count="1">
    <dataField name="Average of HDL" fld="15" subtotal="average" baseField="0" baseItem="0" numFmtId="168"/>
  </dataFields>
  <formats count="1">
    <format dxfId="61">
      <pivotArea grandRow="1"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7C1364E-3577-4886-B036-9DA667A46A45}" name="PivotTable5" cacheId="96"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8">
  <location ref="J13:M17" firstHeaderRow="1" firstDataRow="2" firstDataCol="1"/>
  <pivotFields count="19">
    <pivotField compact="0" outline="0" showAll="0"/>
    <pivotField compact="0" outline="0" showAll="0"/>
    <pivotField compact="0" outline="0" showAll="0">
      <items count="3">
        <item x="0"/>
        <item x="1"/>
        <item t="default"/>
      </items>
    </pivotField>
    <pivotField compact="0" outline="0" showAll="0">
      <items count="5">
        <item x="2"/>
        <item x="1"/>
        <item x="0"/>
        <item x="3"/>
        <item t="default"/>
      </items>
    </pivotField>
    <pivotField compact="0" numFmtId="170" outline="0" showAll="0"/>
    <pivotField axis="axisCol" compact="0" outline="0" showAll="0">
      <items count="3">
        <item x="0"/>
        <item x="1"/>
        <item t="default"/>
      </items>
    </pivotField>
    <pivotField compact="0" outline="0" showAll="0"/>
    <pivotField compact="0" outline="0" showAll="0"/>
    <pivotField compact="0" outline="0" showAll="0">
      <items count="4">
        <item x="1"/>
        <item x="0"/>
        <item x="2"/>
        <item t="default"/>
      </items>
    </pivotField>
    <pivotField compact="0" numFmtId="165" outline="0" showAll="0"/>
    <pivotField compact="0" numFmtId="166" outline="0" showAll="0"/>
    <pivotField compact="0" numFmtId="166" outline="0" showAll="0"/>
    <pivotField compact="0" numFmtId="167" outline="0" showAll="0"/>
    <pivotField compact="0" numFmtId="168" outline="0" showAll="0"/>
    <pivotField compact="0" numFmtId="168" outline="0" showAll="0"/>
    <pivotField compact="0" numFmtId="168" outline="0" showAll="0"/>
    <pivotField axis="axisRow" dataField="1" compact="0" outline="0" showAll="0">
      <items count="3">
        <item x="1"/>
        <item x="0"/>
        <item t="default"/>
      </items>
    </pivotField>
    <pivotField compact="0" numFmtId="169" outline="0" showAll="0"/>
    <pivotField compact="0" outline="0" subtotalTop="0" showAll="0"/>
  </pivotFields>
  <rowFields count="1">
    <field x="16"/>
  </rowFields>
  <rowItems count="3">
    <i>
      <x/>
    </i>
    <i>
      <x v="1"/>
    </i>
    <i t="grand">
      <x/>
    </i>
  </rowItems>
  <colFields count="1">
    <field x="5"/>
  </colFields>
  <colItems count="3">
    <i>
      <x/>
    </i>
    <i>
      <x v="1"/>
    </i>
    <i t="grand">
      <x/>
    </i>
  </colItems>
  <dataFields count="1">
    <dataField name=" MetSyn%" fld="16" subtotal="count" showDataAs="percentOfCol" baseField="0" baseItem="0" numFmtId="10"/>
  </dataFields>
  <chartFormats count="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5" format="4" series="1">
      <pivotArea type="data" outline="0" fieldPosition="0">
        <references count="2">
          <reference field="4294967294" count="1" selected="0">
            <x v="0"/>
          </reference>
          <reference field="5" count="1" selected="0">
            <x v="0"/>
          </reference>
        </references>
      </pivotArea>
    </chartFormat>
    <chartFormat chart="5"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35B6B33-4CDF-4885-BBB4-C40E06860AC4}" name="PivotTable19" cacheId="96"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12">
  <location ref="N9:P16" firstHeaderRow="1" firstDataRow="1" firstDataCol="2"/>
  <pivotFields count="19">
    <pivotField compact="0" outline="0" showAll="0"/>
    <pivotField compact="0" outline="0" showAll="0"/>
    <pivotField compact="0" outline="0" showAll="0">
      <items count="3">
        <item x="0"/>
        <item x="1"/>
        <item t="default"/>
      </items>
    </pivotField>
    <pivotField name="Education Level" compact="0" outline="0" showAll="0">
      <items count="5">
        <item x="2"/>
        <item x="1"/>
        <item x="0"/>
        <item x="3"/>
        <item t="default"/>
      </items>
    </pivotField>
    <pivotField compact="0" numFmtId="170" outline="0" showAll="0"/>
    <pivotField compact="0" outline="0" showAll="0">
      <items count="3">
        <item x="0"/>
        <item x="1"/>
        <item t="default"/>
      </items>
    </pivotField>
    <pivotField axis="axisRow" compact="0" outline="0" showAll="0">
      <items count="3">
        <item x="1"/>
        <item x="0"/>
        <item t="default"/>
      </items>
    </pivotField>
    <pivotField compact="0" outline="0" showAll="0"/>
    <pivotField compact="0" outline="0" showAll="0">
      <items count="4">
        <item x="1"/>
        <item x="0"/>
        <item x="2"/>
        <item t="default"/>
      </items>
    </pivotField>
    <pivotField compact="0" numFmtId="165" outline="0" showAll="0"/>
    <pivotField compact="0" numFmtId="166" outline="0" showAll="0"/>
    <pivotField compact="0" numFmtId="166" outline="0" showAll="0"/>
    <pivotField compact="0" numFmtId="167" outline="0" showAll="0"/>
    <pivotField compact="0" numFmtId="168" outline="0" showAll="0"/>
    <pivotField compact="0" numFmtId="168" outline="0" showAll="0"/>
    <pivotField compact="0" numFmtId="168" outline="0" showAll="0"/>
    <pivotField axis="axisRow" dataField="1" compact="0" outline="0" showAll="0">
      <items count="3">
        <item x="1"/>
        <item x="0"/>
        <item t="default"/>
      </items>
    </pivotField>
    <pivotField compact="0" numFmtId="169" outline="0" showAll="0"/>
    <pivotField compact="0" outline="0" subtotalTop="0" showAll="0"/>
  </pivotFields>
  <rowFields count="2">
    <field x="16"/>
    <field x="6"/>
  </rowFields>
  <rowItems count="7">
    <i>
      <x/>
      <x/>
    </i>
    <i r="1">
      <x v="1"/>
    </i>
    <i t="default">
      <x/>
    </i>
    <i>
      <x v="1"/>
      <x/>
    </i>
    <i r="1">
      <x v="1"/>
    </i>
    <i t="default">
      <x v="1"/>
    </i>
    <i t="grand">
      <x/>
    </i>
  </rowItems>
  <colItems count="1">
    <i/>
  </colItems>
  <dataFields count="1">
    <dataField name=" MetSyn %" fld="16" subtotal="count" showDataAs="percentOfTotal" baseField="0" baseItem="0" numFmtId="10"/>
  </dataFields>
  <formats count="3">
    <format dxfId="58">
      <pivotArea grandRow="1" grandCol="1" outline="0" collapsedLevelsAreSubtotals="1" fieldPosition="0"/>
    </format>
    <format dxfId="59">
      <pivotArea outline="0" fieldPosition="0">
        <references count="1">
          <reference field="4294967294" count="1">
            <x v="0"/>
          </reference>
        </references>
      </pivotArea>
    </format>
    <format dxfId="6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5091520-0892-4004-A3BA-382889540EF4}" name="PivotTable25" cacheId="96"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S18:T21" firstHeaderRow="1" firstDataRow="1" firstDataCol="1"/>
  <pivotFields count="19">
    <pivotField compact="0" outline="0" showAll="0"/>
    <pivotField compact="0" outline="0" showAll="0"/>
    <pivotField compact="0" outline="0" showAll="0">
      <items count="3">
        <item x="0"/>
        <item x="1"/>
        <item t="default"/>
      </items>
    </pivotField>
    <pivotField name="Education Level" compact="0" outline="0" showAll="0">
      <items count="5">
        <item x="2"/>
        <item x="1"/>
        <item x="0"/>
        <item x="3"/>
        <item t="default"/>
      </items>
    </pivotField>
    <pivotField dataField="1" compact="0" numFmtId="170" outline="0" showAll="0"/>
    <pivotField compact="0" outline="0" showAll="0">
      <items count="3">
        <item x="0"/>
        <item x="1"/>
        <item t="default"/>
      </items>
    </pivotField>
    <pivotField compact="0" outline="0" showAll="0"/>
    <pivotField compact="0" outline="0" showAll="0"/>
    <pivotField compact="0" outline="0" showAll="0">
      <items count="4">
        <item x="1"/>
        <item x="0"/>
        <item x="2"/>
        <item t="default"/>
      </items>
    </pivotField>
    <pivotField compact="0" numFmtId="165" outline="0" showAll="0"/>
    <pivotField compact="0" numFmtId="166" outline="0" showAll="0"/>
    <pivotField compact="0" numFmtId="166" outline="0" showAll="0"/>
    <pivotField compact="0" numFmtId="167" outline="0" showAll="0"/>
    <pivotField compact="0" numFmtId="168" outline="0" showAll="0"/>
    <pivotField compact="0" numFmtId="168" outline="0" showAll="0"/>
    <pivotField compact="0" numFmtId="168" outline="0" showAll="0"/>
    <pivotField axis="axisRow" compact="0" outline="0" showAll="0">
      <items count="3">
        <item x="1"/>
        <item x="0"/>
        <item t="default"/>
      </items>
    </pivotField>
    <pivotField compact="0" numFmtId="169" outline="0" showAll="0"/>
    <pivotField compact="0" outline="0" subtotalTop="0" showAll="0"/>
  </pivotFields>
  <rowFields count="1">
    <field x="16"/>
  </rowFields>
  <rowItems count="3">
    <i>
      <x/>
    </i>
    <i>
      <x v="1"/>
    </i>
    <i t="grand">
      <x/>
    </i>
  </rowItems>
  <colItems count="1">
    <i/>
  </colItems>
  <dataFields count="1">
    <dataField name="Average of Income" fld="4" subtotal="average" baseField="16" baseItem="0" numFmtId="170"/>
  </dataFields>
  <formats count="1">
    <format dxfId="57">
      <pivotArea grandRow="1"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CE34139-5B5D-4556-9730-B7CAB5E287D1}" name="PivotTable18" cacheId="96"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6">
  <location ref="N3:Q7" firstHeaderRow="1" firstDataRow="2" firstDataCol="1"/>
  <pivotFields count="19">
    <pivotField compact="0" outline="0" showAll="0"/>
    <pivotField compact="0" outline="0" showAll="0"/>
    <pivotField axis="axisRow" compact="0" outline="0" showAll="0">
      <items count="3">
        <item x="0"/>
        <item x="1"/>
        <item t="default"/>
      </items>
    </pivotField>
    <pivotField compact="0" outline="0" showAll="0">
      <items count="5">
        <item x="2"/>
        <item x="1"/>
        <item x="0"/>
        <item x="3"/>
        <item t="default"/>
      </items>
    </pivotField>
    <pivotField compact="0" numFmtId="170" outline="0" showAll="0"/>
    <pivotField compact="0" outline="0" showAll="0">
      <items count="3">
        <item x="0"/>
        <item x="1"/>
        <item t="default"/>
      </items>
    </pivotField>
    <pivotField compact="0" outline="0" showAll="0"/>
    <pivotField compact="0" outline="0" showAll="0"/>
    <pivotField compact="0" outline="0" showAll="0">
      <items count="4">
        <item x="1"/>
        <item x="0"/>
        <item x="2"/>
        <item t="default"/>
      </items>
    </pivotField>
    <pivotField compact="0" numFmtId="165" outline="0" showAll="0"/>
    <pivotField compact="0" numFmtId="166" outline="0" showAll="0"/>
    <pivotField compact="0" numFmtId="166" outline="0" showAll="0"/>
    <pivotField compact="0" numFmtId="167" outline="0" showAll="0"/>
    <pivotField compact="0" numFmtId="168" outline="0" showAll="0"/>
    <pivotField compact="0" numFmtId="168" outline="0" showAll="0"/>
    <pivotField compact="0" numFmtId="168" outline="0" showAll="0"/>
    <pivotField name="Metobolic Syndrome" axis="axisCol" dataField="1" compact="0" outline="0" showAll="0">
      <items count="3">
        <item x="1"/>
        <item x="0"/>
        <item t="default"/>
      </items>
    </pivotField>
    <pivotField compact="0" numFmtId="169" outline="0" showAll="0"/>
    <pivotField compact="0" outline="0" subtotalTop="0" showAll="0"/>
  </pivotFields>
  <rowFields count="1">
    <field x="2"/>
  </rowFields>
  <rowItems count="3">
    <i>
      <x/>
    </i>
    <i>
      <x v="1"/>
    </i>
    <i t="grand">
      <x/>
    </i>
  </rowItems>
  <colFields count="1">
    <field x="16"/>
  </colFields>
  <colItems count="3">
    <i>
      <x/>
    </i>
    <i>
      <x v="1"/>
    </i>
    <i t="grand">
      <x/>
    </i>
  </colItems>
  <dataFields count="1">
    <dataField name="Count of MetSyn" fld="16" subtotal="count" showDataAs="percentOfRow" baseField="0" baseItem="0" numFmtId="10"/>
  </dataFields>
  <formats count="3">
    <format dxfId="54">
      <pivotArea field="2" grandCol="1" outline="0" axis="axisRow" fieldPosition="0">
        <references count="1">
          <reference field="2" count="1" selected="0">
            <x v="0"/>
          </reference>
        </references>
      </pivotArea>
    </format>
    <format dxfId="55">
      <pivotArea field="2" grandCol="1" outline="0" axis="axisRow" fieldPosition="0">
        <references count="1">
          <reference field="2" count="1" selected="0">
            <x v="1"/>
          </reference>
        </references>
      </pivotArea>
    </format>
    <format dxfId="56">
      <pivotArea grandRow="1" grandCol="1" outline="0" collapsedLevelsAreSubtotals="1" fieldPosition="0"/>
    </format>
  </formats>
  <chartFormats count="4">
    <chartFormat chart="0" format="0" series="1">
      <pivotArea type="data" outline="0" fieldPosition="0">
        <references count="2">
          <reference field="4294967294" count="1" selected="0">
            <x v="0"/>
          </reference>
          <reference field="16"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4" format="4" series="1">
      <pivotArea type="data" outline="0" fieldPosition="0">
        <references count="2">
          <reference field="4294967294" count="1" selected="0">
            <x v="0"/>
          </reference>
          <reference field="16" count="1" selected="0">
            <x v="0"/>
          </reference>
        </references>
      </pivotArea>
    </chartFormat>
    <chartFormat chart="4" format="5"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C926BB0-52DA-4901-9FC2-2B991361A1DE}" name="PivotTable24" cacheId="96"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S13:T16" firstHeaderRow="1" firstDataRow="1" firstDataCol="1"/>
  <pivotFields count="19">
    <pivotField compact="0" outline="0" showAll="0"/>
    <pivotField compact="0" outline="0" showAll="0"/>
    <pivotField compact="0" outline="0" showAll="0">
      <items count="3">
        <item x="0"/>
        <item x="1"/>
        <item t="default"/>
      </items>
    </pivotField>
    <pivotField name="Education Level" compact="0" outline="0" showAll="0">
      <items count="5">
        <item x="2"/>
        <item x="1"/>
        <item x="0"/>
        <item x="3"/>
        <item t="default"/>
      </items>
    </pivotField>
    <pivotField compact="0" numFmtId="170" outline="0" showAll="0"/>
    <pivotField compact="0" outline="0" showAll="0">
      <items count="3">
        <item x="0"/>
        <item x="1"/>
        <item t="default"/>
      </items>
    </pivotField>
    <pivotField compact="0" outline="0" showAll="0"/>
    <pivotField compact="0" outline="0" showAll="0"/>
    <pivotField compact="0" outline="0" showAll="0">
      <items count="4">
        <item x="1"/>
        <item x="0"/>
        <item x="2"/>
        <item t="default"/>
      </items>
    </pivotField>
    <pivotField compact="0" numFmtId="165" outline="0" showAll="0"/>
    <pivotField compact="0" numFmtId="166" outline="0" showAll="0"/>
    <pivotField compact="0" numFmtId="166" outline="0" showAll="0"/>
    <pivotField dataField="1" compact="0" numFmtId="167" outline="0" showAll="0"/>
    <pivotField compact="0" numFmtId="168" outline="0" showAll="0"/>
    <pivotField compact="0" numFmtId="168" outline="0" showAll="0"/>
    <pivotField compact="0" numFmtId="168" outline="0" showAll="0"/>
    <pivotField axis="axisRow" compact="0" outline="0" showAll="0">
      <items count="3">
        <item x="1"/>
        <item x="0"/>
        <item t="default"/>
      </items>
    </pivotField>
    <pivotField compact="0" numFmtId="169" outline="0" showAll="0"/>
    <pivotField compact="0" outline="0" subtotalTop="0" showAll="0"/>
  </pivotFields>
  <rowFields count="1">
    <field x="16"/>
  </rowFields>
  <rowItems count="3">
    <i>
      <x/>
    </i>
    <i>
      <x v="1"/>
    </i>
    <i t="grand">
      <x/>
    </i>
  </rowItems>
  <colItems count="1">
    <i/>
  </colItems>
  <dataFields count="1">
    <dataField name="Average of Waist" fld="12" subtotal="average" baseField="0" baseItem="0" numFmtId="167"/>
  </dataFields>
  <formats count="1">
    <format dxfId="53">
      <pivotArea grandRow="1"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518D922-6D24-4867-AC11-8AC1D43DC4C2}" name="PivotTable29" cacheId="96"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7">
  <location ref="V8:X11" firstHeaderRow="0" firstDataRow="1" firstDataCol="1"/>
  <pivotFields count="19">
    <pivotField compact="0" outline="0" showAll="0"/>
    <pivotField compact="0" outline="0" showAll="0"/>
    <pivotField compact="0" outline="0" showAll="0">
      <items count="3">
        <item x="0"/>
        <item x="1"/>
        <item t="default"/>
      </items>
    </pivotField>
    <pivotField name="Education Level" compact="0" outline="0" showAll="0">
      <items count="5">
        <item x="2"/>
        <item x="1"/>
        <item x="0"/>
        <item x="3"/>
        <item t="default"/>
      </items>
    </pivotField>
    <pivotField compact="0" numFmtId="170" outline="0" showAll="0"/>
    <pivotField compact="0" outline="0" showAll="0">
      <items count="3">
        <item x="0"/>
        <item x="1"/>
        <item t="default"/>
      </items>
    </pivotField>
    <pivotField compact="0" outline="0" showAll="0"/>
    <pivotField compact="0" outline="0" showAll="0"/>
    <pivotField compact="0" outline="0" showAll="0">
      <items count="4">
        <item x="1"/>
        <item x="0"/>
        <item x="2"/>
        <item t="default"/>
      </items>
    </pivotField>
    <pivotField compact="0" numFmtId="165" outline="0" showAll="0"/>
    <pivotField compact="0" numFmtId="166" outline="0" showAll="0"/>
    <pivotField compact="0" numFmtId="166" outline="0" showAll="0"/>
    <pivotField compact="0" numFmtId="167" outline="0" showAll="0"/>
    <pivotField compact="0" numFmtId="168" outline="0" showAll="0"/>
    <pivotField compact="0" numFmtId="168" outline="0" showAll="0"/>
    <pivotField compact="0" numFmtId="168" outline="0" showAll="0"/>
    <pivotField axis="axisRow" dataField="1" compact="0" outline="0" showAll="0">
      <items count="3">
        <item x="1"/>
        <item x="0"/>
        <item t="default"/>
      </items>
    </pivotField>
    <pivotField dataField="1" compact="0" numFmtId="169" outline="0" showAll="0"/>
    <pivotField compact="0" outline="0" subtotalTop="0" showAll="0"/>
  </pivotFields>
  <rowFields count="1">
    <field x="16"/>
  </rowFields>
  <rowItems count="3">
    <i>
      <x/>
    </i>
    <i>
      <x v="1"/>
    </i>
    <i t="grand">
      <x/>
    </i>
  </rowItems>
  <colFields count="1">
    <field x="-2"/>
  </colFields>
  <colItems count="2">
    <i>
      <x/>
    </i>
    <i i="1">
      <x v="1"/>
    </i>
  </colItems>
  <dataFields count="2">
    <dataField name="Average of BMI" fld="17" subtotal="average" baseField="0" baseItem="0" numFmtId="169"/>
    <dataField name="MetSyn%" fld="16" subtotal="count" showDataAs="percentOfTotal" baseField="0" baseItem="0" numFmtId="10"/>
  </dataFields>
  <formats count="3">
    <format dxfId="50">
      <pivotArea grandRow="1" grandCol="1" outline="0" collapsedLevelsAreSubtotals="1" fieldPosition="0"/>
    </format>
    <format dxfId="51">
      <pivotArea outline="0" fieldPosition="0">
        <references count="1">
          <reference field="4294967294" count="1">
            <x v="1"/>
          </reference>
        </references>
      </pivotArea>
    </format>
    <format dxfId="52">
      <pivotArea field="16" grandRow="1" outline="0" axis="axisRow"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FE2DA3F-07C2-40B5-8755-DBD912E83871}" name="PivotTable3" cacheId="96"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E19:G24" firstHeaderRow="0" firstDataRow="1" firstDataCol="1"/>
  <pivotFields count="19">
    <pivotField compact="0" outline="0" showAll="0"/>
    <pivotField compact="0" outline="0" showAll="0"/>
    <pivotField compact="0" outline="0" showAll="0">
      <items count="3">
        <item x="0"/>
        <item x="1"/>
        <item t="default"/>
      </items>
    </pivotField>
    <pivotField axis="axisRow" dataField="1" compact="0" outline="0" showAll="0">
      <items count="5">
        <item x="2"/>
        <item x="1"/>
        <item x="0"/>
        <item x="3"/>
        <item t="default"/>
      </items>
    </pivotField>
    <pivotField compact="0" numFmtId="170" outline="0" showAll="0"/>
    <pivotField compact="0" outline="0" showAll="0">
      <items count="3">
        <item x="0"/>
        <item x="1"/>
        <item t="default"/>
      </items>
    </pivotField>
    <pivotField compact="0" outline="0" showAll="0"/>
    <pivotField compact="0" outline="0" showAll="0"/>
    <pivotField compact="0" outline="0" showAll="0">
      <items count="4">
        <item x="1"/>
        <item x="0"/>
        <item x="2"/>
        <item t="default"/>
      </items>
    </pivotField>
    <pivotField compact="0" numFmtId="165" outline="0" showAll="0"/>
    <pivotField compact="0" numFmtId="166" outline="0" showAll="0"/>
    <pivotField compact="0" numFmtId="166" outline="0" showAll="0"/>
    <pivotField compact="0" numFmtId="167" outline="0" showAll="0"/>
    <pivotField compact="0" numFmtId="168" outline="0" showAll="0"/>
    <pivotField compact="0" numFmtId="168" outline="0" showAll="0"/>
    <pivotField compact="0" numFmtId="168" outline="0" showAll="0"/>
    <pivotField compact="0" outline="0" showAll="0"/>
    <pivotField compact="0" numFmtId="169" outline="0" showAll="0"/>
    <pivotField compact="0" outline="0" subtotalTop="0" showAll="0"/>
  </pivotFields>
  <rowFields count="1">
    <field x="3"/>
  </rowFields>
  <rowItems count="5">
    <i>
      <x/>
    </i>
    <i>
      <x v="1"/>
    </i>
    <i>
      <x v="2"/>
    </i>
    <i>
      <x v="3"/>
    </i>
    <i t="grand">
      <x/>
    </i>
  </rowItems>
  <colFields count="1">
    <field x="-2"/>
  </colFields>
  <colItems count="2">
    <i>
      <x/>
    </i>
    <i i="1">
      <x v="1"/>
    </i>
  </colItems>
  <dataFields count="2">
    <dataField name="N" fld="3" subtotal="count" baseField="0" baseItem="0"/>
    <dataField name="Percentage%" fld="3" subtotal="count" showDataAs="percentOfTotal" baseField="0" baseItem="0" numFmtId="10"/>
  </dataFields>
  <formats count="1">
    <format dxfId="49">
      <pivotArea field="3" grandRow="1" outline="0" axis="axisRow"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84109A9-6199-4AAB-8DCF-EE991B33B0C2}" name="PivotTable23" cacheId="96"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S8:T11" firstHeaderRow="1" firstDataRow="1" firstDataCol="1"/>
  <pivotFields count="19">
    <pivotField compact="0" outline="0" showAll="0"/>
    <pivotField compact="0" outline="0" showAll="0"/>
    <pivotField compact="0" outline="0" showAll="0">
      <items count="3">
        <item x="0"/>
        <item x="1"/>
        <item t="default"/>
      </items>
    </pivotField>
    <pivotField name="Education Level" compact="0" outline="0" showAll="0">
      <items count="5">
        <item x="2"/>
        <item x="1"/>
        <item x="0"/>
        <item x="3"/>
        <item t="default"/>
      </items>
    </pivotField>
    <pivotField compact="0" numFmtId="170" outline="0" showAll="0"/>
    <pivotField compact="0" outline="0" showAll="0">
      <items count="3">
        <item x="0"/>
        <item x="1"/>
        <item t="default"/>
      </items>
    </pivotField>
    <pivotField compact="0" outline="0" showAll="0"/>
    <pivotField compact="0" outline="0" showAll="0"/>
    <pivotField compact="0" outline="0" showAll="0">
      <items count="4">
        <item x="1"/>
        <item x="0"/>
        <item x="2"/>
        <item t="default"/>
      </items>
    </pivotField>
    <pivotField compact="0" numFmtId="165" outline="0" showAll="0"/>
    <pivotField compact="0" numFmtId="166" outline="0" showAll="0"/>
    <pivotField dataField="1" compact="0" numFmtId="166" outline="0" showAll="0"/>
    <pivotField compact="0" numFmtId="167" outline="0" showAll="0"/>
    <pivotField compact="0" numFmtId="168" outline="0" showAll="0"/>
    <pivotField compact="0" numFmtId="168" outline="0" showAll="0"/>
    <pivotField compact="0" numFmtId="168" outline="0" showAll="0"/>
    <pivotField axis="axisRow" compact="0" outline="0" showAll="0">
      <items count="3">
        <item x="1"/>
        <item x="0"/>
        <item t="default"/>
      </items>
    </pivotField>
    <pivotField compact="0" numFmtId="169" outline="0" showAll="0"/>
    <pivotField compact="0" outline="0" subtotalTop="0" showAll="0"/>
  </pivotFields>
  <rowFields count="1">
    <field x="16"/>
  </rowFields>
  <rowItems count="3">
    <i>
      <x/>
    </i>
    <i>
      <x v="1"/>
    </i>
    <i t="grand">
      <x/>
    </i>
  </rowItems>
  <colItems count="1">
    <i/>
  </colItems>
  <dataFields count="1">
    <dataField name="Average of Disbp" fld="11" subtotal="average" baseField="0" baseItem="0" numFmtId="166"/>
  </dataFields>
  <formats count="1">
    <format dxfId="48">
      <pivotArea grandRow="1"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1523FA0-65EB-471D-8C66-7AB851B718EB}" name="PivotTable10" cacheId="96"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S3:T6" firstHeaderRow="1" firstDataRow="1" firstDataCol="1"/>
  <pivotFields count="19">
    <pivotField compact="0" outline="0" showAll="0"/>
    <pivotField compact="0" outline="0" showAll="0"/>
    <pivotField compact="0" outline="0" showAll="0">
      <items count="3">
        <item x="0"/>
        <item x="1"/>
        <item t="default"/>
      </items>
    </pivotField>
    <pivotField name="Education Level" compact="0" outline="0" showAll="0">
      <items count="5">
        <item x="2"/>
        <item x="1"/>
        <item x="0"/>
        <item x="3"/>
        <item t="default"/>
      </items>
    </pivotField>
    <pivotField compact="0" numFmtId="170" outline="0" showAll="0"/>
    <pivotField compact="0" outline="0" showAll="0">
      <items count="3">
        <item x="0"/>
        <item x="1"/>
        <item t="default"/>
      </items>
    </pivotField>
    <pivotField compact="0" outline="0" showAll="0"/>
    <pivotField compact="0" outline="0" showAll="0"/>
    <pivotField compact="0" outline="0" showAll="0">
      <items count="4">
        <item x="1"/>
        <item x="0"/>
        <item x="2"/>
        <item t="default"/>
      </items>
    </pivotField>
    <pivotField compact="0" numFmtId="165" outline="0" showAll="0"/>
    <pivotField dataField="1" compact="0" numFmtId="166" outline="0" showAll="0"/>
    <pivotField compact="0" numFmtId="166" outline="0" showAll="0"/>
    <pivotField compact="0" numFmtId="167" outline="0" showAll="0"/>
    <pivotField compact="0" numFmtId="168" outline="0" showAll="0"/>
    <pivotField compact="0" numFmtId="168" outline="0" showAll="0"/>
    <pivotField compact="0" numFmtId="168" outline="0" showAll="0"/>
    <pivotField axis="axisRow" compact="0" outline="0" showAll="0">
      <items count="3">
        <item x="1"/>
        <item x="0"/>
        <item t="default"/>
      </items>
    </pivotField>
    <pivotField compact="0" numFmtId="169" outline="0" showAll="0"/>
    <pivotField compact="0" outline="0" subtotalTop="0" showAll="0"/>
  </pivotFields>
  <rowFields count="1">
    <field x="16"/>
  </rowFields>
  <rowItems count="3">
    <i>
      <x/>
    </i>
    <i>
      <x v="1"/>
    </i>
    <i t="grand">
      <x/>
    </i>
  </rowItems>
  <colItems count="1">
    <i/>
  </colItems>
  <dataFields count="1">
    <dataField name="Average of Sysbp" fld="10" subtotal="average" baseField="16" baseItem="0" numFmtId="166"/>
  </dataFields>
  <formats count="1">
    <format dxfId="47">
      <pivotArea grandRow="1"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355CB1C-50C2-4E38-B2A1-1EEA2A8D83D1}" name="PivotTable28" cacheId="96"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V13:W16" firstHeaderRow="1" firstDataRow="1" firstDataCol="1"/>
  <pivotFields count="19">
    <pivotField compact="0" outline="0" showAll="0"/>
    <pivotField compact="0" outline="0" showAll="0"/>
    <pivotField compact="0" outline="0" showAll="0">
      <items count="3">
        <item x="0"/>
        <item x="1"/>
        <item t="default"/>
      </items>
    </pivotField>
    <pivotField name="Education Level" compact="0" outline="0" showAll="0">
      <items count="5">
        <item x="2"/>
        <item x="1"/>
        <item x="0"/>
        <item x="3"/>
        <item t="default"/>
      </items>
    </pivotField>
    <pivotField compact="0" numFmtId="170" outline="0" showAll="0"/>
    <pivotField compact="0" outline="0" showAll="0">
      <items count="3">
        <item x="0"/>
        <item x="1"/>
        <item t="default"/>
      </items>
    </pivotField>
    <pivotField compact="0" outline="0" showAll="0"/>
    <pivotField dataField="1" compact="0" outline="0" showAll="0"/>
    <pivotField compact="0" outline="0" showAll="0">
      <items count="4">
        <item x="1"/>
        <item x="0"/>
        <item x="2"/>
        <item t="default"/>
      </items>
    </pivotField>
    <pivotField compact="0" numFmtId="165" outline="0" showAll="0"/>
    <pivotField compact="0" numFmtId="166" outline="0" showAll="0"/>
    <pivotField compact="0" numFmtId="166" outline="0" showAll="0"/>
    <pivotField compact="0" numFmtId="167" outline="0" showAll="0"/>
    <pivotField compact="0" numFmtId="168" outline="0" showAll="0"/>
    <pivotField compact="0" numFmtId="168" outline="0" showAll="0"/>
    <pivotField compact="0" numFmtId="168" outline="0" showAll="0"/>
    <pivotField axis="axisRow" compact="0" outline="0" showAll="0">
      <items count="3">
        <item x="1"/>
        <item x="0"/>
        <item t="default"/>
      </items>
    </pivotField>
    <pivotField compact="0" numFmtId="169" outline="0" showAll="0"/>
    <pivotField compact="0" outline="0" subtotalTop="0" showAll="0"/>
  </pivotFields>
  <rowFields count="1">
    <field x="16"/>
  </rowFields>
  <rowItems count="3">
    <i>
      <x/>
    </i>
    <i>
      <x v="1"/>
    </i>
    <i t="grand">
      <x/>
    </i>
  </rowItems>
  <colItems count="1">
    <i/>
  </colItems>
  <dataFields count="1">
    <dataField name=" Salt%" fld="7" subtotal="count" showDataAs="percentOfTotal" baseField="0" baseItem="0" numFmtId="10"/>
  </dataFields>
  <formats count="2">
    <format dxfId="45">
      <pivotArea grandRow="1" grandCol="1" outline="0" collapsedLevelsAreSubtotals="1" fieldPosition="0"/>
    </format>
    <format dxfId="46">
      <pivotArea outline="0" fieldPosition="0">
        <references count="1">
          <reference field="4294967294" count="1">
            <x v="0"/>
          </reference>
        </references>
      </pivotArea>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04F7799-5DAC-4752-A9DE-D2B0D5665510}" name="PivotTable22" cacheId="96"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W29:Z34" firstHeaderRow="1" firstDataRow="2" firstDataCol="1"/>
  <pivotFields count="19">
    <pivotField compact="0" outline="0" showAll="0"/>
    <pivotField compact="0" outline="0" showAll="0"/>
    <pivotField compact="0" outline="0" showAll="0">
      <items count="3">
        <item x="0"/>
        <item x="1"/>
        <item t="default"/>
      </items>
    </pivotField>
    <pivotField name="Education Level" compact="0" outline="0" showAll="0">
      <items count="5">
        <item x="2"/>
        <item x="1"/>
        <item x="0"/>
        <item x="3"/>
        <item t="default"/>
      </items>
    </pivotField>
    <pivotField compact="0" numFmtId="170" outline="0" showAll="0"/>
    <pivotField compact="0" outline="0" showAll="0">
      <items count="3">
        <item x="0"/>
        <item x="1"/>
        <item t="default"/>
      </items>
    </pivotField>
    <pivotField compact="0" outline="0" showAll="0"/>
    <pivotField compact="0" outline="0" showAll="0"/>
    <pivotField axis="axisRow" compact="0" outline="0" showAll="0">
      <items count="4">
        <item x="1"/>
        <item x="0"/>
        <item x="2"/>
        <item t="default"/>
      </items>
    </pivotField>
    <pivotField compact="0" numFmtId="165" outline="0" showAll="0"/>
    <pivotField compact="0" numFmtId="166" outline="0" showAll="0"/>
    <pivotField compact="0" numFmtId="166" outline="0" showAll="0"/>
    <pivotField compact="0" numFmtId="167" outline="0" showAll="0"/>
    <pivotField compact="0" numFmtId="168" outline="0" showAll="0"/>
    <pivotField compact="0" numFmtId="168" outline="0" showAll="0"/>
    <pivotField compact="0" numFmtId="168" outline="0" showAll="0"/>
    <pivotField axis="axisCol" dataField="1" compact="0" outline="0" showAll="0">
      <items count="3">
        <item x="1"/>
        <item x="0"/>
        <item t="default"/>
      </items>
    </pivotField>
    <pivotField compact="0" numFmtId="169" outline="0" showAll="0"/>
    <pivotField compact="0" outline="0" subtotalTop="0" showAll="0"/>
  </pivotFields>
  <rowFields count="1">
    <field x="8"/>
  </rowFields>
  <rowItems count="4">
    <i>
      <x/>
    </i>
    <i>
      <x v="1"/>
    </i>
    <i>
      <x v="2"/>
    </i>
    <i t="grand">
      <x/>
    </i>
  </rowItems>
  <colFields count="1">
    <field x="16"/>
  </colFields>
  <colItems count="3">
    <i>
      <x/>
    </i>
    <i>
      <x v="1"/>
    </i>
    <i t="grand">
      <x/>
    </i>
  </colItems>
  <dataFields count="1">
    <dataField name="Metobolic Syndrome" fld="16" subtotal="count" showDataAs="percentOfRow" baseField="0" baseItem="0" numFmtId="10"/>
  </dataFields>
  <formats count="4">
    <format dxfId="41">
      <pivotArea grandRow="1" grandCol="1" outline="0" collapsedLevelsAreSubtotals="1" fieldPosition="0"/>
    </format>
    <format dxfId="42">
      <pivotArea field="8" grandCol="1" outline="0" axis="axisRow" fieldPosition="0">
        <references count="1">
          <reference field="8" count="1" selected="0">
            <x v="0"/>
          </reference>
        </references>
      </pivotArea>
    </format>
    <format dxfId="43">
      <pivotArea field="8" grandCol="1" outline="0" axis="axisRow" fieldPosition="0">
        <references count="1">
          <reference field="8" count="1" selected="0">
            <x v="1"/>
          </reference>
        </references>
      </pivotArea>
    </format>
    <format dxfId="44">
      <pivotArea field="8" grandCol="1" outline="0" axis="axisRow" fieldPosition="0">
        <references count="1">
          <reference field="8"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3A14FBE-05DF-49AD-90FD-23E242257BF0}" name="PivotTable27" cacheId="96"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Z22:AB25" firstHeaderRow="0" firstDataRow="1" firstDataCol="1"/>
  <pivotFields count="19">
    <pivotField compact="0" outline="0" showAll="0"/>
    <pivotField compact="0" outline="0" showAll="0"/>
    <pivotField compact="0" outline="0" showAll="0">
      <items count="3">
        <item x="0"/>
        <item x="1"/>
        <item t="default"/>
      </items>
    </pivotField>
    <pivotField name="Education Level" compact="0" outline="0" showAll="0">
      <items count="5">
        <item x="2"/>
        <item x="1"/>
        <item x="0"/>
        <item x="3"/>
        <item t="default"/>
      </items>
    </pivotField>
    <pivotField compact="0" numFmtId="170" outline="0" showAll="0"/>
    <pivotField compact="0" outline="0" showAll="0">
      <items count="3">
        <item x="0"/>
        <item x="1"/>
        <item t="default"/>
      </items>
    </pivotField>
    <pivotField compact="0" outline="0" showAll="0"/>
    <pivotField compact="0" outline="0" showAll="0"/>
    <pivotField compact="0" outline="0" showAll="0">
      <items count="4">
        <item x="1"/>
        <item x="0"/>
        <item x="2"/>
        <item t="default"/>
      </items>
    </pivotField>
    <pivotField compact="0" numFmtId="165" outline="0" showAll="0"/>
    <pivotField compact="0" numFmtId="166" outline="0" showAll="0"/>
    <pivotField compact="0" numFmtId="166" outline="0" showAll="0"/>
    <pivotField compact="0" numFmtId="167" outline="0" showAll="0"/>
    <pivotField compact="0" numFmtId="168" outline="0" showAll="0"/>
    <pivotField compact="0" numFmtId="168" outline="0" showAll="0"/>
    <pivotField compact="0" numFmtId="168" outline="0" showAll="0"/>
    <pivotField axis="axisRow" dataField="1" compact="0" outline="0" showAll="0">
      <items count="3">
        <item x="1"/>
        <item x="0"/>
        <item t="default"/>
      </items>
    </pivotField>
    <pivotField compact="0" numFmtId="169" outline="0" showAll="0"/>
    <pivotField compact="0" outline="0" subtotalTop="0" showAll="0"/>
  </pivotFields>
  <rowFields count="1">
    <field x="16"/>
  </rowFields>
  <rowItems count="3">
    <i>
      <x/>
    </i>
    <i>
      <x v="1"/>
    </i>
    <i t="grand">
      <x/>
    </i>
  </rowItems>
  <colFields count="1">
    <field x="-2"/>
  </colFields>
  <colItems count="2">
    <i>
      <x/>
    </i>
    <i i="1">
      <x v="1"/>
    </i>
  </colItems>
  <dataFields count="2">
    <dataField name="Count of MetSyn2" fld="16" subtotal="count" baseField="0" baseItem="0"/>
    <dataField name="Count of MetSyn" fld="16" subtotal="count" baseField="0" baseItem="0"/>
  </dataFields>
  <formats count="1">
    <format dxfId="40">
      <pivotArea grandRow="1"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BAC9F26-E36A-4D2A-B32F-E0A07819C468}" autoFormatId="16" applyNumberFormats="0" applyBorderFormats="0" applyFontFormats="0" applyPatternFormats="0" applyAlignmentFormats="0" applyWidthHeightFormats="0">
  <queryTableRefresh nextId="24" unboundColumnsRight="1">
    <queryTableFields count="19">
      <queryTableField id="1" name="Participant ID" tableColumnId="1"/>
      <queryTableField id="2" name="Age" tableColumnId="2"/>
      <queryTableField id="3" name="Gender" tableColumnId="3"/>
      <queryTableField id="4" name="Educ" tableColumnId="4"/>
      <queryTableField id="5" name="Income" tableColumnId="5"/>
      <queryTableField id="6" name="Smoke" tableColumnId="6"/>
      <queryTableField id="7" name="Khat" tableColumnId="7"/>
      <queryTableField id="8" name="Salt" tableColumnId="8"/>
      <queryTableField id="9" name="PhysExercise" tableColumnId="9"/>
      <queryTableField id="10" name="Sittime" tableColumnId="10"/>
      <queryTableField id="11" name="Sysbp" tableColumnId="11"/>
      <queryTableField id="12" name="Disbp" tableColumnId="12"/>
      <queryTableField id="13" name="Waist" tableColumnId="13"/>
      <queryTableField id="14" name="FBS" tableColumnId="14"/>
      <queryTableField id="15" name="Triglycerides" tableColumnId="15"/>
      <queryTableField id="16" name="HDL" tableColumnId="16"/>
      <queryTableField id="22" dataBound="0" tableColumnId="21"/>
      <queryTableField id="18" name="BMI" tableColumnId="18"/>
      <queryTableField id="23" dataBound="0" tableColumnId="17"/>
    </queryTableFields>
    <queryTableDeletedFields count="1">
      <deletedField name="MetSyn"/>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9D76C46-109B-4393-A3C2-8D440FEC498D}" sourceName="Gender">
  <pivotTables>
    <pivotTable tabId="4" name="PivotTable31"/>
    <pivotTable tabId="4" name="PivotTable10"/>
    <pivotTable tabId="4" name="PivotTable18"/>
    <pivotTable tabId="4" name="PivotTable19"/>
    <pivotTable tabId="4" name="PivotTable2"/>
    <pivotTable tabId="4" name="PivotTable21"/>
    <pivotTable tabId="4" name="PivotTable22"/>
    <pivotTable tabId="4" name="PivotTable23"/>
    <pivotTable tabId="4" name="PivotTable24"/>
    <pivotTable tabId="4" name="PivotTable25"/>
    <pivotTable tabId="4" name="PivotTable26"/>
    <pivotTable tabId="4" name="PivotTable27"/>
    <pivotTable tabId="4" name="PivotTable28"/>
    <pivotTable tabId="4" name="PivotTable29"/>
    <pivotTable tabId="4" name="PivotTable3"/>
    <pivotTable tabId="4" name="PivotTable30"/>
    <pivotTable tabId="4" name="PivotTable5"/>
    <pivotTable tabId="4" name="PivotTable7"/>
    <pivotTable tabId="4" name="PivotTable8"/>
    <pivotTable tabId="4" name="PivotTable1"/>
    <pivotTable tabId="4" name="PivotTable4"/>
  </pivotTables>
  <data>
    <tabular pivotCacheId="66503225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 xr10:uid="{92DE809D-032A-4EA5-8339-3EF622CB2F39}" sourceName="Educ">
  <pivotTables>
    <pivotTable tabId="4" name="PivotTable31"/>
    <pivotTable tabId="4" name="PivotTable10"/>
    <pivotTable tabId="4" name="PivotTable18"/>
    <pivotTable tabId="4" name="PivotTable19"/>
    <pivotTable tabId="4" name="PivotTable22"/>
    <pivotTable tabId="4" name="PivotTable23"/>
    <pivotTable tabId="4" name="PivotTable24"/>
    <pivotTable tabId="4" name="PivotTable25"/>
    <pivotTable tabId="4" name="PivotTable26"/>
    <pivotTable tabId="4" name="PivotTable27"/>
    <pivotTable tabId="4" name="PivotTable28"/>
    <pivotTable tabId="4" name="PivotTable29"/>
    <pivotTable tabId="4" name="PivotTable3"/>
    <pivotTable tabId="4" name="PivotTable30"/>
    <pivotTable tabId="4" name="PivotTable5"/>
    <pivotTable tabId="4" name="PivotTable7"/>
    <pivotTable tabId="4" name="PivotTable8"/>
    <pivotTable tabId="4" name="PivotTable1"/>
    <pivotTable tabId="4" name="PivotTable4"/>
  </pivotTables>
  <data>
    <tabular pivotCacheId="665032255">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 xr10:uid="{D91A60AD-0B51-4BB5-AFF9-EAA6715B0992}" sourceName="Smoke">
  <pivotTables>
    <pivotTable tabId="4" name="PivotTable31"/>
    <pivotTable tabId="4" name="PivotTable10"/>
    <pivotTable tabId="4" name="PivotTable18"/>
    <pivotTable tabId="4" name="PivotTable19"/>
    <pivotTable tabId="4" name="PivotTable2"/>
    <pivotTable tabId="4" name="PivotTable21"/>
    <pivotTable tabId="4" name="PivotTable22"/>
    <pivotTable tabId="4" name="PivotTable23"/>
    <pivotTable tabId="4" name="PivotTable24"/>
    <pivotTable tabId="4" name="PivotTable25"/>
    <pivotTable tabId="4" name="PivotTable26"/>
    <pivotTable tabId="4" name="PivotTable27"/>
    <pivotTable tabId="4" name="PivotTable28"/>
    <pivotTable tabId="4" name="PivotTable29"/>
    <pivotTable tabId="4" name="PivotTable3"/>
    <pivotTable tabId="4" name="PivotTable30"/>
    <pivotTable tabId="4" name="PivotTable5"/>
    <pivotTable tabId="4" name="PivotTable7"/>
    <pivotTable tabId="4" name="PivotTable8"/>
    <pivotTable tabId="4" name="PivotTable1"/>
    <pivotTable tabId="4" name="PivotTable4"/>
  </pivotTables>
  <data>
    <tabular pivotCacheId="665032255">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hysExercise" xr10:uid="{A41A0E77-3217-48B0-8C99-AB0EE181F4BE}" sourceName="PhysExercise">
  <pivotTables>
    <pivotTable tabId="4" name="PivotTable31"/>
    <pivotTable tabId="4" name="PivotTable10"/>
    <pivotTable tabId="4" name="PivotTable18"/>
    <pivotTable tabId="4" name="PivotTable19"/>
    <pivotTable tabId="4" name="PivotTable2"/>
    <pivotTable tabId="4" name="PivotTable21"/>
    <pivotTable tabId="4" name="PivotTable22"/>
    <pivotTable tabId="4" name="PivotTable23"/>
    <pivotTable tabId="4" name="PivotTable24"/>
    <pivotTable tabId="4" name="PivotTable25"/>
    <pivotTable tabId="4" name="PivotTable26"/>
    <pivotTable tabId="4" name="PivotTable27"/>
    <pivotTable tabId="4" name="PivotTable28"/>
    <pivotTable tabId="4" name="PivotTable29"/>
    <pivotTable tabId="4" name="PivotTable3"/>
    <pivotTable tabId="4" name="PivotTable30"/>
    <pivotTable tabId="4" name="PivotTable5"/>
    <pivotTable tabId="4" name="PivotTable7"/>
    <pivotTable tabId="4" name="PivotTable8"/>
    <pivotTable tabId="4" name="PivotTable1"/>
    <pivotTable tabId="4" name="PivotTable4"/>
  </pivotTables>
  <data>
    <tabular pivotCacheId="665032255">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9F5A5A3-1DF5-4FFB-A141-11680DDAFAF9}" cache="Slicer_Gender" caption="Gender" style="SlicerStyleLight3" rowHeight="241300"/>
  <slicer name="Education " xr10:uid="{D0659660-DBDB-4BC0-9772-E8E2B495714F}" cache="Slicer_Educ" caption="Education" style="SlicerStyleLight2" rowHeight="241300"/>
  <slicer name="Smoking" xr10:uid="{61E59374-790C-4451-8A22-2ABDD72BB137}" cache="Slicer_Smoke" caption="Smoking" style="SlicerStyleLight4" rowHeight="241300"/>
  <slicer name="PhysExercise" xr10:uid="{16EA501A-84EA-46D2-B195-08092A0E1476}" cache="Slicer_PhysExercise" caption="PhysExercise" style="SlicerStyleLight5"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25B204B-912E-4111-9FA4-16E358A49B0B}" name="Table4" displayName="Table4" ref="A1:BK499" totalsRowShown="0">
  <autoFilter ref="A1:BK499" xr:uid="{225B204B-912E-4111-9FA4-16E358A49B0B}"/>
  <tableColumns count="63">
    <tableColumn id="1" xr3:uid="{998E6D36-E1C0-4D45-9768-B1B601514F33}" name="QID" dataDxfId="123"/>
    <tableColumn id="2" xr3:uid="{C8D70D49-BAD9-4715-BF8E-C48D7F25B9AA}" name="Age" dataDxfId="122"/>
    <tableColumn id="3" xr3:uid="{76589DE9-B1E0-407D-8396-F32344250B51}" name="Agecoded"/>
    <tableColumn id="4" xr3:uid="{E42F8572-B0A4-46EB-8817-67608D1B24D3}" name="Gender"/>
    <tableColumn id="5" xr3:uid="{5EE69443-61D4-4A5A-8500-266C4372BAE7}" name="Marital"/>
    <tableColumn id="6" xr3:uid="{8497DCE5-3A60-48E2-B1E1-6CE0D7FEACFE}" name="Educ"/>
    <tableColumn id="7" xr3:uid="{EC5E901A-7547-442F-AA6E-89BD47136262}" name="Relig"/>
    <tableColumn id="8" xr3:uid="{19028356-5730-4922-A8CB-AA7107F2331B}" name="Income" dataDxfId="121"/>
    <tableColumn id="9" xr3:uid="{9B7A47B8-C3AF-441E-B7EA-DA07D3AB4873}" name="Incomecoded"/>
    <tableColumn id="10" xr3:uid="{6CA9EB78-4E5D-4A6D-9E1F-215195118582}" name="Smoke"/>
    <tableColumn id="11" xr3:uid="{272B7A7A-6879-410F-9EB8-8EBD4D6DF425}" name="Khat"/>
    <tableColumn id="12" xr3:uid="{8F169DDA-AEDC-4244-967F-FE84A81A70D8}" name="Alcohol"/>
    <tableColumn id="13" xr3:uid="{0444F894-EB89-4164-AE6A-62BDCD71BB29}" name="Fruitusedays" dataDxfId="120"/>
    <tableColumn id="14" xr3:uid="{4D9310C5-0B4F-4F23-BD5E-B1D1D4F10808}" name="Fruitusedayscoded"/>
    <tableColumn id="15" xr3:uid="{164E247C-650F-4F1D-B0E1-741A3847CFD2}" name="FruitServe" dataDxfId="119"/>
    <tableColumn id="16" xr3:uid="{C184AD5F-CDBB-4B80-90E2-99DCC64E0872}" name="FruitServecoded"/>
    <tableColumn id="17" xr3:uid="{B020B6E2-1E4D-4C5C-BC26-D700D7033BF9}" name="Vegusedays" dataDxfId="118"/>
    <tableColumn id="18" xr3:uid="{BE1545C5-68C7-49EC-A03A-00318E6B0A4D}" name="Vegusedayscoded"/>
    <tableColumn id="19" xr3:uid="{F07E031B-1C0B-49C7-A72C-E99A438522E6}" name="VegServe" dataDxfId="117"/>
    <tableColumn id="20" xr3:uid="{0CC3DBB5-2A03-4F39-80B6-D80B31E8EE54}" name="VegServecoded"/>
    <tableColumn id="21" xr3:uid="{FF898DBA-379E-4888-8375-2870BBFC5683}" name="Salt"/>
    <tableColumn id="22" xr3:uid="{8BBE2390-B27A-4F13-A994-06C33B1EA22B}" name="Workex"/>
    <tableColumn id="23" xr3:uid="{E621C3E4-FDFA-4EEA-8E16-DA998ABBD280}" name="PhysExercise"/>
    <tableColumn id="24" xr3:uid="{4A8397DA-12F2-48B6-B230-08779F1A087F}" name="Exercisebicoded"/>
    <tableColumn id="25" xr3:uid="{0FB61BE0-FCFA-4AAC-973C-DD29BD73EBBC}" name="WalkorBicycle"/>
    <tableColumn id="26" xr3:uid="{06646D30-4FBC-443E-A3B2-872A1E0F406B}" name="Sittime" dataDxfId="116"/>
    <tableColumn id="27" xr3:uid="{D538F3B8-0235-403A-8B68-73B0D34AEDA2}" name="CodedSitting"/>
    <tableColumn id="28" xr3:uid="{E1F18716-C626-4E58-A298-C8701C9ED42A}" name="Sysbp" dataDxfId="115"/>
    <tableColumn id="29" xr3:uid="{FA015D2C-8B0C-4DD8-A710-56D1918180F3}" name="Disbp" dataDxfId="114"/>
    <tableColumn id="30" xr3:uid="{B1031D83-4477-4BD0-91BC-F7D5A53143B0}" name="Weight" dataDxfId="113"/>
    <tableColumn id="31" xr3:uid="{4397A8AE-CE7A-45B4-B478-FC8DD3CECF9A}" name="Height" dataDxfId="112"/>
    <tableColumn id="32" xr3:uid="{A83FC885-B7CF-4421-A141-A1D47933E4E0}" name="Waist" dataDxfId="111"/>
    <tableColumn id="33" xr3:uid="{F849369C-A185-4FB4-94B9-7F405F7DAA65}" name="Hip" dataDxfId="110"/>
    <tableColumn id="34" xr3:uid="{7955334E-428C-4BC3-B68A-FCAEF2D33813}" name="FBS" dataDxfId="109"/>
    <tableColumn id="35" xr3:uid="{2E7B8D60-A4EC-4E91-8A63-84E21B98A2B8}" name="Triglycerides" dataDxfId="108"/>
    <tableColumn id="36" xr3:uid="{F2B7C159-B54F-4F72-8362-C0DFE2BF5B0B}" name="HDL" dataDxfId="107"/>
    <tableColumn id="37" xr3:uid="{7EE3E9E2-B540-427C-9581-FE6ED5D9B33B}" name="CodedTrig"/>
    <tableColumn id="38" xr3:uid="{9E510FA8-6E3E-4154-878B-450E951CE310}" name="CodedSystolic"/>
    <tableColumn id="39" xr3:uid="{48B13A2B-622A-4373-8994-E288C2306009}" name="CodedDias"/>
    <tableColumn id="40" xr3:uid="{27E6D0EA-59D3-4315-B391-1DA5F558571F}" name="CompSysDias"/>
    <tableColumn id="41" xr3:uid="{456AD8C8-B4B0-4B09-9AF1-C2BB8DA3EE67}" name="ComputedHTN"/>
    <tableColumn id="42" xr3:uid="{F63B6C96-B368-4586-B51F-DC5F162C622A}" name="CodedHDLFemale"/>
    <tableColumn id="43" xr3:uid="{53BDAF86-780D-4B1C-8578-EB0B7B0F4131}" name="CodedHDLMale"/>
    <tableColumn id="44" xr3:uid="{712D8B20-012F-4140-B3C1-7C7263A5D5C9}" name="HDLStatus"/>
    <tableColumn id="45" xr3:uid="{4EDCCBCB-C557-4ACA-91FF-FCBC91EB9585}" name="FBSCoded"/>
    <tableColumn id="46" xr3:uid="{09939CF5-1C59-4BE8-A997-073F2C502F89}" name="CodedWaistMale"/>
    <tableColumn id="47" xr3:uid="{F9117E2C-89FC-4516-9A43-63F7F31D54E8}" name="CodedWaistFemale"/>
    <tableColumn id="48" xr3:uid="{2E3D7C5C-4541-4A6E-8AF4-BA40552CE47A}" name="WaistStatus"/>
    <tableColumn id="49" xr3:uid="{1BE3ABD0-4BE7-4ECA-B410-940BF020B36E}" name="CompFourMetS" dataDxfId="106"/>
    <tableColumn id="50" xr3:uid="{038774D2-4CDF-47EC-8150-AF4BAF094CED}" name="CodedFour" dataDxfId="105"/>
    <tableColumn id="51" xr3:uid="{FE5473A2-B11B-4522-A9CE-5A13880AB393}" name="MetSyn" dataDxfId="104"/>
    <tableColumn id="52" xr3:uid="{ED47EBE0-79BB-4B3B-8AFE-4E38EE46B9CC}" name="HtMeters" dataDxfId="103"/>
    <tableColumn id="53" xr3:uid="{D191D017-017A-481A-86B8-E28D55F897FB}" name="HtSquare" dataDxfId="102"/>
    <tableColumn id="54" xr3:uid="{482DBE9B-3429-4ECB-88E8-F54A2BBDFB15}" name="BMI" dataDxfId="101"/>
    <tableColumn id="55" xr3:uid="{D7D3C0C9-194E-4B67-A1AC-26F59ED5E6EC}" name="CodedBMI"/>
    <tableColumn id="56" xr3:uid="{5983C197-2875-4C4F-893D-C1E8F2365C01}" name="BicodedBMI"/>
    <tableColumn id="57" xr3:uid="{B15841A2-AC26-40CA-8937-29318CCD5B85}" name="CompMetSyn" dataDxfId="100"/>
    <tableColumn id="58" xr3:uid="{E01F845A-2346-489D-82A1-70585E177530}" name="CodedMetSyn"/>
    <tableColumn id="59" xr3:uid="{9D7FB56B-65B6-4F3F-85A2-331EFCF94716}" name="CodATPMalWaist" dataDxfId="99"/>
    <tableColumn id="60" xr3:uid="{F7D4BBA1-E8FE-49F3-929C-A98F48B3F8FB}" name="CodATPFemlWaist" dataDxfId="98"/>
    <tableColumn id="61" xr3:uid="{B09C0FD8-EA3F-47FA-A5C2-E98C9BB8EF47}" name="WaistStATP"/>
    <tableColumn id="62" xr3:uid="{6CC7BB71-442F-40EC-8268-14D33F6052CF}" name="ComATPMetS" dataDxfId="97"/>
    <tableColumn id="63" xr3:uid="{8318606D-30D1-4E16-A2FB-E7C5915A8110}" name="CodMetSATP"/>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23EB1F4-8927-4EFC-8EA9-5E47C599FED1}" name="tbl_meto" displayName="tbl_meto" ref="A1:S495" tableType="queryTable" totalsRowShown="0">
  <autoFilter ref="A1:S495" xr:uid="{A23EB1F4-8927-4EFC-8EA9-5E47C599FED1}"/>
  <sortState xmlns:xlrd2="http://schemas.microsoft.com/office/spreadsheetml/2017/richdata2" ref="A2:R495">
    <sortCondition ref="A1:A495"/>
  </sortState>
  <tableColumns count="19">
    <tableColumn id="1" xr3:uid="{2A929E59-1271-485E-BB1C-208376D22DF0}" uniqueName="1" name="Participant ID" queryTableFieldId="1"/>
    <tableColumn id="2" xr3:uid="{B6D7B648-4B4F-47F3-B723-42231853C930}" uniqueName="2" name="Age" queryTableFieldId="2"/>
    <tableColumn id="3" xr3:uid="{3030A949-422C-4199-813C-A7EF5AEDCB2A}" uniqueName="3" name="Gender" queryTableFieldId="3" dataDxfId="96"/>
    <tableColumn id="4" xr3:uid="{034233B2-5A08-4B90-8928-FE6CFCE4045C}" uniqueName="4" name="Educ" queryTableFieldId="4" dataDxfId="95"/>
    <tableColumn id="5" xr3:uid="{63C63083-8A0B-4A19-A337-CA33D603B85C}" uniqueName="5" name="Income" queryTableFieldId="5" dataDxfId="94" dataCellStyle="Currency"/>
    <tableColumn id="6" xr3:uid="{5E3AA4FA-3E84-4EEF-9253-7366664FEE83}" uniqueName="6" name="Smoke" queryTableFieldId="6" dataDxfId="93"/>
    <tableColumn id="7" xr3:uid="{3CB8AB09-93B7-4307-9729-875AF90B507F}" uniqueName="7" name="Khat" queryTableFieldId="7" dataDxfId="92"/>
    <tableColumn id="8" xr3:uid="{F7D5B252-3DE7-4778-A14E-6CF742A5F4D6}" uniqueName="8" name="Salt" queryTableFieldId="8" dataDxfId="91"/>
    <tableColumn id="9" xr3:uid="{8A282D4F-C645-4031-BE01-E71EBDD39218}" uniqueName="9" name="PhysExercise" queryTableFieldId="9" dataDxfId="90"/>
    <tableColumn id="10" xr3:uid="{728934C0-D2C1-4942-94DA-229C81F9302F}" uniqueName="10" name="Sittime" queryTableFieldId="10" dataDxfId="89"/>
    <tableColumn id="11" xr3:uid="{53CF05EF-3DF0-416C-8F3E-6CA61D3836C5}" uniqueName="11" name="Sysbp" queryTableFieldId="11" dataDxfId="88"/>
    <tableColumn id="12" xr3:uid="{3B2615F0-1227-4B74-8122-0D8617C0D5EF}" uniqueName="12" name="Disbp" queryTableFieldId="12" dataDxfId="87"/>
    <tableColumn id="13" xr3:uid="{4868C41B-C7AF-4D37-B666-434F91A1C44E}" uniqueName="13" name="Waist" queryTableFieldId="13" dataDxfId="86"/>
    <tableColumn id="14" xr3:uid="{06392941-8202-4AB3-91D3-D2978046C4BE}" uniqueName="14" name="FBS" queryTableFieldId="14" dataDxfId="85"/>
    <tableColumn id="15" xr3:uid="{FCF979F8-10C0-4A07-84BB-CF1BB1FC6F24}" uniqueName="15" name="Triglycerides" queryTableFieldId="15" dataDxfId="84"/>
    <tableColumn id="16" xr3:uid="{2022374E-296A-46C9-A228-8ED11555BADC}" uniqueName="16" name="HDL" queryTableFieldId="16" dataDxfId="83"/>
    <tableColumn id="21" xr3:uid="{1B9E58C5-40B5-4A6F-9858-5C14F9E744A8}" uniqueName="21" name="MetSyn" queryTableFieldId="22" dataDxfId="82"/>
    <tableColumn id="18" xr3:uid="{24155C1B-B70C-474A-878B-1EF508EA5AE8}" uniqueName="18" name="BMI" queryTableFieldId="18" dataDxfId="81"/>
    <tableColumn id="17" xr3:uid="{CBCC3761-92A3-416A-9DF8-1891F8206AC9}" uniqueName="17" name="MetSyn_Status" queryTableFieldId="23" dataDxfId="80"/>
  </tableColumns>
  <tableStyleInfo name="TableStyleMedium4"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499"/>
  <sheetViews>
    <sheetView topLeftCell="AU1" workbookViewId="0">
      <selection activeCell="AY9" sqref="AY9"/>
    </sheetView>
  </sheetViews>
  <sheetFormatPr defaultRowHeight="14.5" x14ac:dyDescent="0.35"/>
  <cols>
    <col min="3" max="3" width="11" customWidth="1"/>
    <col min="4" max="4" width="9" customWidth="1"/>
    <col min="5" max="5" width="8.90625" customWidth="1"/>
    <col min="8" max="8" width="9" customWidth="1"/>
    <col min="9" max="9" width="14.08984375" customWidth="1"/>
    <col min="12" max="12" width="9" customWidth="1"/>
    <col min="13" max="13" width="13.453125" customWidth="1"/>
    <col min="14" max="14" width="18.54296875" customWidth="1"/>
    <col min="15" max="15" width="11.26953125" customWidth="1"/>
    <col min="16" max="16" width="16.36328125" customWidth="1"/>
    <col min="17" max="17" width="12.6328125" customWidth="1"/>
    <col min="18" max="18" width="17.7265625" customWidth="1"/>
    <col min="19" max="19" width="10.453125" customWidth="1"/>
    <col min="20" max="20" width="15.54296875" customWidth="1"/>
    <col min="22" max="22" width="9.36328125" customWidth="1"/>
    <col min="23" max="23" width="13.453125" customWidth="1"/>
    <col min="24" max="24" width="16.1796875" customWidth="1"/>
    <col min="25" max="25" width="14.453125" customWidth="1"/>
    <col min="27" max="27" width="13.453125" customWidth="1"/>
    <col min="30" max="30" width="8.81640625" customWidth="1"/>
    <col min="35" max="35" width="13.1796875" customWidth="1"/>
    <col min="37" max="37" width="11.26953125" customWidth="1"/>
    <col min="38" max="38" width="14.36328125" customWidth="1"/>
    <col min="39" max="39" width="11.7265625" customWidth="1"/>
    <col min="40" max="40" width="13.90625" customWidth="1"/>
    <col min="41" max="41" width="15.1796875" customWidth="1"/>
    <col min="42" max="42" width="17.54296875" customWidth="1"/>
    <col min="43" max="43" width="15.7265625" customWidth="1"/>
    <col min="44" max="44" width="11.453125" customWidth="1"/>
    <col min="45" max="45" width="11.08984375" customWidth="1"/>
    <col min="46" max="46" width="17.1796875" customWidth="1"/>
    <col min="47" max="47" width="28.08984375" customWidth="1"/>
    <col min="48" max="48" width="12.90625" customWidth="1"/>
    <col min="49" max="49" width="15.90625" customWidth="1"/>
    <col min="50" max="50" width="12" customWidth="1"/>
    <col min="51" max="51" width="18.26953125" customWidth="1"/>
    <col min="52" max="52" width="10.81640625" hidden="1" customWidth="1"/>
    <col min="53" max="53" width="10.6328125" hidden="1" customWidth="1"/>
    <col min="54" max="54" width="0" hidden="1" customWidth="1"/>
    <col min="55" max="55" width="11.54296875" hidden="1" customWidth="1"/>
    <col min="56" max="56" width="12.81640625" hidden="1" customWidth="1"/>
    <col min="57" max="57" width="13.1796875" customWidth="1"/>
    <col min="58" max="58" width="14.54296875" customWidth="1"/>
    <col min="59" max="59" width="17.36328125" hidden="1" customWidth="1"/>
    <col min="60" max="60" width="18.1796875" customWidth="1"/>
    <col min="61" max="61" width="12.54296875" customWidth="1"/>
    <col min="62" max="62" width="14.26953125" customWidth="1"/>
    <col min="63" max="63" width="13.7265625" customWidth="1"/>
  </cols>
  <sheetData>
    <row r="1" spans="1:63"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row>
    <row r="2" spans="1:63" x14ac:dyDescent="0.35">
      <c r="A2" s="4">
        <v>2</v>
      </c>
      <c r="B2" s="4">
        <v>19</v>
      </c>
      <c r="C2" t="s">
        <v>63</v>
      </c>
      <c r="D2" t="s">
        <v>64</v>
      </c>
      <c r="E2" t="s">
        <v>65</v>
      </c>
      <c r="F2" t="s">
        <v>66</v>
      </c>
      <c r="G2" t="s">
        <v>67</v>
      </c>
      <c r="H2" s="2">
        <v>100</v>
      </c>
      <c r="I2" t="s">
        <v>68</v>
      </c>
      <c r="J2" t="s">
        <v>69</v>
      </c>
      <c r="K2" t="s">
        <v>70</v>
      </c>
      <c r="L2" t="s">
        <v>69</v>
      </c>
      <c r="M2" s="4">
        <v>1</v>
      </c>
      <c r="N2" t="s">
        <v>71</v>
      </c>
      <c r="O2" s="4">
        <v>2</v>
      </c>
      <c r="P2" t="s">
        <v>71</v>
      </c>
      <c r="Q2" s="4">
        <v>7</v>
      </c>
      <c r="R2" t="s">
        <v>72</v>
      </c>
      <c r="S2" s="4">
        <v>5</v>
      </c>
      <c r="T2" t="s">
        <v>72</v>
      </c>
      <c r="U2" t="s">
        <v>73</v>
      </c>
      <c r="V2" t="s">
        <v>74</v>
      </c>
      <c r="W2" t="s">
        <v>75</v>
      </c>
      <c r="X2" t="s">
        <v>76</v>
      </c>
      <c r="Y2" t="s">
        <v>69</v>
      </c>
      <c r="Z2" s="4">
        <v>7</v>
      </c>
      <c r="AA2" t="s">
        <v>77</v>
      </c>
      <c r="AB2" s="4">
        <v>133</v>
      </c>
      <c r="AC2" s="4">
        <v>83</v>
      </c>
      <c r="AD2" s="4">
        <v>72</v>
      </c>
      <c r="AE2" s="4">
        <v>172</v>
      </c>
      <c r="AF2" s="4">
        <v>90</v>
      </c>
      <c r="AG2" s="4">
        <v>119</v>
      </c>
      <c r="AH2" s="4">
        <v>97</v>
      </c>
      <c r="AI2" s="4">
        <v>100</v>
      </c>
      <c r="AJ2" s="4">
        <v>36</v>
      </c>
      <c r="AK2" t="s">
        <v>78</v>
      </c>
      <c r="AL2" t="s">
        <v>79</v>
      </c>
      <c r="AM2" t="s">
        <v>80</v>
      </c>
      <c r="AN2" t="s">
        <v>81</v>
      </c>
      <c r="AO2" t="s">
        <v>82</v>
      </c>
      <c r="AP2" t="s">
        <v>83</v>
      </c>
      <c r="AQ2" t="s">
        <v>83</v>
      </c>
      <c r="AR2" t="s">
        <v>83</v>
      </c>
      <c r="AS2" t="s">
        <v>84</v>
      </c>
      <c r="AT2" t="s">
        <v>85</v>
      </c>
      <c r="AU2" t="s">
        <v>83</v>
      </c>
      <c r="AV2" t="s">
        <v>85</v>
      </c>
      <c r="AW2" s="4">
        <v>2</v>
      </c>
      <c r="AX2" s="4">
        <v>1</v>
      </c>
      <c r="AY2" s="4">
        <v>1</v>
      </c>
      <c r="AZ2" s="3">
        <v>1.72</v>
      </c>
      <c r="BA2" s="3">
        <v>2.9583999999999997</v>
      </c>
      <c r="BB2" s="3">
        <v>24.337479718766904</v>
      </c>
      <c r="BC2" t="s">
        <v>85</v>
      </c>
      <c r="BD2" t="s">
        <v>86</v>
      </c>
      <c r="BE2" s="4">
        <v>2</v>
      </c>
      <c r="BF2" t="s">
        <v>87</v>
      </c>
      <c r="BG2" s="4">
        <v>0</v>
      </c>
      <c r="BH2" s="1" t="e">
        <v>#NULL!</v>
      </c>
      <c r="BI2" t="s">
        <v>85</v>
      </c>
      <c r="BJ2" s="4">
        <v>2</v>
      </c>
      <c r="BK2" t="s">
        <v>88</v>
      </c>
    </row>
    <row r="3" spans="1:63" x14ac:dyDescent="0.35">
      <c r="A3" s="4">
        <v>384</v>
      </c>
      <c r="B3" s="4">
        <v>19</v>
      </c>
      <c r="C3" t="s">
        <v>63</v>
      </c>
      <c r="D3" t="s">
        <v>89</v>
      </c>
      <c r="E3" t="s">
        <v>65</v>
      </c>
      <c r="F3" t="s">
        <v>90</v>
      </c>
      <c r="G3" t="s">
        <v>67</v>
      </c>
      <c r="H3" s="2">
        <v>300</v>
      </c>
      <c r="I3" t="s">
        <v>68</v>
      </c>
      <c r="J3" t="s">
        <v>69</v>
      </c>
      <c r="K3" t="s">
        <v>69</v>
      </c>
      <c r="L3" t="s">
        <v>69</v>
      </c>
      <c r="M3" s="4">
        <v>4</v>
      </c>
      <c r="N3" t="s">
        <v>91</v>
      </c>
      <c r="O3" s="4">
        <v>5</v>
      </c>
      <c r="P3" t="s">
        <v>72</v>
      </c>
      <c r="Q3" s="4">
        <v>4</v>
      </c>
      <c r="R3" t="s">
        <v>91</v>
      </c>
      <c r="S3" s="4">
        <v>5</v>
      </c>
      <c r="T3" t="s">
        <v>72</v>
      </c>
      <c r="U3" t="s">
        <v>92</v>
      </c>
      <c r="V3" t="s">
        <v>74</v>
      </c>
      <c r="W3" t="s">
        <v>93</v>
      </c>
      <c r="X3" t="s">
        <v>94</v>
      </c>
      <c r="Y3" t="s">
        <v>69</v>
      </c>
      <c r="Z3" s="4">
        <v>4</v>
      </c>
      <c r="AA3" t="s">
        <v>77</v>
      </c>
      <c r="AB3" s="4">
        <v>106</v>
      </c>
      <c r="AC3" s="4">
        <v>53</v>
      </c>
      <c r="AD3" s="4">
        <v>66</v>
      </c>
      <c r="AE3" s="4">
        <v>162</v>
      </c>
      <c r="AF3" s="4">
        <v>100</v>
      </c>
      <c r="AG3" s="4">
        <v>115</v>
      </c>
      <c r="AH3" s="4">
        <v>88</v>
      </c>
      <c r="AI3" s="4">
        <v>132</v>
      </c>
      <c r="AJ3" s="4">
        <v>37</v>
      </c>
      <c r="AK3" t="s">
        <v>78</v>
      </c>
      <c r="AL3" t="s">
        <v>95</v>
      </c>
      <c r="AM3" t="s">
        <v>80</v>
      </c>
      <c r="AN3" t="s">
        <v>96</v>
      </c>
      <c r="AO3" t="s">
        <v>97</v>
      </c>
      <c r="AP3" t="s">
        <v>83</v>
      </c>
      <c r="AQ3" t="s">
        <v>83</v>
      </c>
      <c r="AR3" t="s">
        <v>83</v>
      </c>
      <c r="AS3" t="s">
        <v>84</v>
      </c>
      <c r="AT3" t="s">
        <v>83</v>
      </c>
      <c r="AU3" t="s">
        <v>83</v>
      </c>
      <c r="AV3" t="s">
        <v>83</v>
      </c>
      <c r="AW3" s="4">
        <v>1</v>
      </c>
      <c r="AX3" s="4">
        <v>0</v>
      </c>
      <c r="AY3" s="4">
        <v>1</v>
      </c>
      <c r="AZ3" s="3">
        <v>1.62</v>
      </c>
      <c r="BA3" s="3">
        <v>2.6244000000000005</v>
      </c>
      <c r="BB3" s="3">
        <v>25.14860539551897</v>
      </c>
      <c r="BC3" t="s">
        <v>98</v>
      </c>
      <c r="BD3" t="s">
        <v>99</v>
      </c>
      <c r="BE3" s="4">
        <v>2</v>
      </c>
      <c r="BF3" t="s">
        <v>87</v>
      </c>
      <c r="BG3" s="1" t="e">
        <v>#NULL!</v>
      </c>
      <c r="BH3" s="4">
        <v>1</v>
      </c>
      <c r="BI3" t="s">
        <v>83</v>
      </c>
      <c r="BJ3" s="4">
        <v>2</v>
      </c>
      <c r="BK3" t="s">
        <v>88</v>
      </c>
    </row>
    <row r="4" spans="1:63" x14ac:dyDescent="0.35">
      <c r="A4" s="4">
        <v>477</v>
      </c>
      <c r="B4" s="4">
        <v>19</v>
      </c>
      <c r="C4" t="s">
        <v>63</v>
      </c>
      <c r="D4" t="s">
        <v>64</v>
      </c>
      <c r="E4" t="s">
        <v>65</v>
      </c>
      <c r="F4" t="s">
        <v>90</v>
      </c>
      <c r="G4" t="s">
        <v>67</v>
      </c>
      <c r="H4" s="2">
        <v>300</v>
      </c>
      <c r="I4" t="s">
        <v>68</v>
      </c>
      <c r="J4" t="s">
        <v>69</v>
      </c>
      <c r="K4" t="s">
        <v>69</v>
      </c>
      <c r="L4" t="s">
        <v>69</v>
      </c>
      <c r="M4" s="4">
        <v>7</v>
      </c>
      <c r="N4" t="s">
        <v>72</v>
      </c>
      <c r="O4" s="4">
        <v>8</v>
      </c>
      <c r="P4" t="s">
        <v>72</v>
      </c>
      <c r="Q4" s="4">
        <v>2</v>
      </c>
      <c r="R4" t="s">
        <v>71</v>
      </c>
      <c r="S4" s="4">
        <v>3</v>
      </c>
      <c r="T4" t="s">
        <v>91</v>
      </c>
      <c r="U4" t="s">
        <v>73</v>
      </c>
      <c r="V4" t="s">
        <v>75</v>
      </c>
      <c r="W4" t="s">
        <v>93</v>
      </c>
      <c r="X4" t="s">
        <v>94</v>
      </c>
      <c r="Y4" t="s">
        <v>70</v>
      </c>
      <c r="Z4" s="4">
        <v>3</v>
      </c>
      <c r="AA4" t="s">
        <v>77</v>
      </c>
      <c r="AB4" s="4">
        <v>116</v>
      </c>
      <c r="AC4" s="4">
        <v>69</v>
      </c>
      <c r="AD4" s="4">
        <v>46</v>
      </c>
      <c r="AE4" s="4">
        <v>172</v>
      </c>
      <c r="AF4" s="4">
        <v>82</v>
      </c>
      <c r="AG4" s="4">
        <v>90</v>
      </c>
      <c r="AH4" s="4">
        <v>94</v>
      </c>
      <c r="AI4" s="4">
        <v>88</v>
      </c>
      <c r="AJ4" s="4">
        <v>54</v>
      </c>
      <c r="AK4" t="s">
        <v>78</v>
      </c>
      <c r="AL4" t="s">
        <v>95</v>
      </c>
      <c r="AM4" t="s">
        <v>80</v>
      </c>
      <c r="AN4" t="s">
        <v>96</v>
      </c>
      <c r="AO4" t="s">
        <v>97</v>
      </c>
      <c r="AP4" t="s">
        <v>85</v>
      </c>
      <c r="AQ4" t="s">
        <v>85</v>
      </c>
      <c r="AR4" t="s">
        <v>85</v>
      </c>
      <c r="AS4" t="s">
        <v>84</v>
      </c>
      <c r="AT4" t="s">
        <v>85</v>
      </c>
      <c r="AU4" t="s">
        <v>83</v>
      </c>
      <c r="AV4" t="s">
        <v>85</v>
      </c>
      <c r="AW4" s="4">
        <v>0</v>
      </c>
      <c r="AX4" s="4">
        <v>0</v>
      </c>
      <c r="AY4" s="4">
        <v>0</v>
      </c>
      <c r="AZ4" s="3">
        <v>1.72</v>
      </c>
      <c r="BA4" s="3">
        <v>2.9583999999999997</v>
      </c>
      <c r="BB4" s="3">
        <v>15.548945375878855</v>
      </c>
      <c r="BC4" t="s">
        <v>100</v>
      </c>
      <c r="BD4" t="s">
        <v>86</v>
      </c>
      <c r="BE4" s="4">
        <v>0</v>
      </c>
      <c r="BF4" t="s">
        <v>87</v>
      </c>
      <c r="BG4" s="4">
        <v>0</v>
      </c>
      <c r="BH4" s="1" t="e">
        <v>#NULL!</v>
      </c>
      <c r="BI4" t="s">
        <v>85</v>
      </c>
      <c r="BJ4" s="4">
        <v>0</v>
      </c>
      <c r="BK4" t="s">
        <v>88</v>
      </c>
    </row>
    <row r="5" spans="1:63" x14ac:dyDescent="0.35">
      <c r="A5" s="4">
        <v>4</v>
      </c>
      <c r="B5" s="4">
        <v>20</v>
      </c>
      <c r="C5" t="s">
        <v>63</v>
      </c>
      <c r="D5" t="s">
        <v>64</v>
      </c>
      <c r="E5" t="s">
        <v>65</v>
      </c>
      <c r="F5" t="s">
        <v>90</v>
      </c>
      <c r="G5" t="s">
        <v>67</v>
      </c>
      <c r="H5" s="2">
        <v>300</v>
      </c>
      <c r="I5" t="s">
        <v>68</v>
      </c>
      <c r="J5" t="s">
        <v>69</v>
      </c>
      <c r="K5" t="s">
        <v>69</v>
      </c>
      <c r="L5" t="s">
        <v>69</v>
      </c>
      <c r="M5" s="4">
        <v>7</v>
      </c>
      <c r="N5" t="s">
        <v>72</v>
      </c>
      <c r="O5" s="4">
        <v>8</v>
      </c>
      <c r="P5" t="s">
        <v>72</v>
      </c>
      <c r="Q5" s="4">
        <v>2</v>
      </c>
      <c r="R5" t="s">
        <v>71</v>
      </c>
      <c r="S5" s="4">
        <v>3</v>
      </c>
      <c r="T5" t="s">
        <v>91</v>
      </c>
      <c r="U5" t="s">
        <v>73</v>
      </c>
      <c r="V5" t="s">
        <v>75</v>
      </c>
      <c r="W5" t="s">
        <v>93</v>
      </c>
      <c r="X5" t="s">
        <v>94</v>
      </c>
      <c r="Y5" t="s">
        <v>70</v>
      </c>
      <c r="Z5" s="4">
        <v>3</v>
      </c>
      <c r="AA5" t="s">
        <v>77</v>
      </c>
      <c r="AB5" s="4">
        <v>116</v>
      </c>
      <c r="AC5" s="4">
        <v>69</v>
      </c>
      <c r="AD5" s="4">
        <v>46</v>
      </c>
      <c r="AE5" s="4">
        <v>172</v>
      </c>
      <c r="AF5" s="4">
        <v>82</v>
      </c>
      <c r="AG5" s="4">
        <v>90</v>
      </c>
      <c r="AH5" s="4">
        <v>94</v>
      </c>
      <c r="AI5" s="4">
        <v>88</v>
      </c>
      <c r="AJ5" s="4">
        <v>54</v>
      </c>
      <c r="AK5" t="s">
        <v>78</v>
      </c>
      <c r="AL5" t="s">
        <v>95</v>
      </c>
      <c r="AM5" t="s">
        <v>80</v>
      </c>
      <c r="AN5" t="s">
        <v>96</v>
      </c>
      <c r="AO5" t="s">
        <v>97</v>
      </c>
      <c r="AP5" t="s">
        <v>85</v>
      </c>
      <c r="AQ5" t="s">
        <v>85</v>
      </c>
      <c r="AR5" t="s">
        <v>85</v>
      </c>
      <c r="AS5" t="s">
        <v>84</v>
      </c>
      <c r="AT5" t="s">
        <v>85</v>
      </c>
      <c r="AU5" t="s">
        <v>83</v>
      </c>
      <c r="AV5" t="s">
        <v>85</v>
      </c>
      <c r="AW5" s="4">
        <v>0</v>
      </c>
      <c r="AX5" s="4">
        <v>0</v>
      </c>
      <c r="AY5" s="4">
        <v>0</v>
      </c>
      <c r="AZ5" s="3">
        <v>1.72</v>
      </c>
      <c r="BA5" s="3">
        <v>2.9583999999999997</v>
      </c>
      <c r="BB5" s="3">
        <v>15.548945375878855</v>
      </c>
      <c r="BC5" t="s">
        <v>100</v>
      </c>
      <c r="BD5" t="s">
        <v>86</v>
      </c>
      <c r="BE5" s="4">
        <v>0</v>
      </c>
      <c r="BF5" t="s">
        <v>87</v>
      </c>
      <c r="BG5" s="4">
        <v>0</v>
      </c>
      <c r="BH5" s="1" t="e">
        <v>#NULL!</v>
      </c>
      <c r="BI5" t="s">
        <v>85</v>
      </c>
      <c r="BJ5" s="4">
        <v>0</v>
      </c>
      <c r="BK5" t="s">
        <v>88</v>
      </c>
    </row>
    <row r="6" spans="1:63" x14ac:dyDescent="0.35">
      <c r="A6" s="4">
        <v>53</v>
      </c>
      <c r="B6" s="4">
        <v>20</v>
      </c>
      <c r="C6" t="s">
        <v>63</v>
      </c>
      <c r="D6" t="s">
        <v>64</v>
      </c>
      <c r="E6" t="s">
        <v>65</v>
      </c>
      <c r="F6" t="s">
        <v>101</v>
      </c>
      <c r="G6" t="s">
        <v>67</v>
      </c>
      <c r="H6" s="2">
        <v>200</v>
      </c>
      <c r="I6" t="s">
        <v>68</v>
      </c>
      <c r="J6" t="s">
        <v>69</v>
      </c>
      <c r="K6" t="s">
        <v>69</v>
      </c>
      <c r="L6" t="s">
        <v>69</v>
      </c>
      <c r="M6" s="4">
        <v>3</v>
      </c>
      <c r="N6" t="s">
        <v>91</v>
      </c>
      <c r="O6" s="4">
        <v>2</v>
      </c>
      <c r="P6" t="s">
        <v>71</v>
      </c>
      <c r="Q6" s="4">
        <v>3</v>
      </c>
      <c r="R6" t="s">
        <v>91</v>
      </c>
      <c r="S6" s="4">
        <v>1</v>
      </c>
      <c r="T6" t="s">
        <v>71</v>
      </c>
      <c r="U6" t="s">
        <v>92</v>
      </c>
      <c r="V6" t="s">
        <v>93</v>
      </c>
      <c r="W6" t="s">
        <v>93</v>
      </c>
      <c r="X6" t="s">
        <v>94</v>
      </c>
      <c r="Y6" t="s">
        <v>69</v>
      </c>
      <c r="Z6" s="4">
        <v>4</v>
      </c>
      <c r="AA6" t="s">
        <v>77</v>
      </c>
      <c r="AB6" s="4">
        <v>105</v>
      </c>
      <c r="AC6" s="4">
        <v>63</v>
      </c>
      <c r="AD6" s="4">
        <v>54</v>
      </c>
      <c r="AE6" s="4">
        <v>162</v>
      </c>
      <c r="AF6" s="4">
        <v>79</v>
      </c>
      <c r="AG6" s="4">
        <v>99</v>
      </c>
      <c r="AH6" s="4">
        <v>99</v>
      </c>
      <c r="AI6" s="4">
        <v>106</v>
      </c>
      <c r="AJ6" s="4">
        <v>40</v>
      </c>
      <c r="AK6" t="s">
        <v>78</v>
      </c>
      <c r="AL6" t="s">
        <v>95</v>
      </c>
      <c r="AM6" t="s">
        <v>80</v>
      </c>
      <c r="AN6" t="s">
        <v>96</v>
      </c>
      <c r="AO6" t="s">
        <v>97</v>
      </c>
      <c r="AP6" t="s">
        <v>83</v>
      </c>
      <c r="AQ6" t="s">
        <v>85</v>
      </c>
      <c r="AR6" t="s">
        <v>85</v>
      </c>
      <c r="AS6" t="s">
        <v>84</v>
      </c>
      <c r="AT6" t="s">
        <v>85</v>
      </c>
      <c r="AU6" t="s">
        <v>85</v>
      </c>
      <c r="AV6" t="s">
        <v>85</v>
      </c>
      <c r="AW6" s="4">
        <v>0</v>
      </c>
      <c r="AX6" s="4">
        <v>0</v>
      </c>
      <c r="AY6" s="4">
        <v>0</v>
      </c>
      <c r="AZ6" s="3">
        <v>1.62</v>
      </c>
      <c r="BA6" s="3">
        <v>2.6244000000000005</v>
      </c>
      <c r="BB6" s="3">
        <v>20.576131687242793</v>
      </c>
      <c r="BC6" t="s">
        <v>85</v>
      </c>
      <c r="BD6" t="s">
        <v>86</v>
      </c>
      <c r="BE6" s="4">
        <v>0</v>
      </c>
      <c r="BF6" t="s">
        <v>87</v>
      </c>
      <c r="BG6" s="4">
        <v>0</v>
      </c>
      <c r="BH6" s="1" t="e">
        <v>#NULL!</v>
      </c>
      <c r="BI6" t="s">
        <v>85</v>
      </c>
      <c r="BJ6" s="4">
        <v>0</v>
      </c>
      <c r="BK6" t="s">
        <v>88</v>
      </c>
    </row>
    <row r="7" spans="1:63" x14ac:dyDescent="0.35">
      <c r="A7" s="4">
        <v>106</v>
      </c>
      <c r="B7" s="4">
        <v>20</v>
      </c>
      <c r="C7" t="s">
        <v>63</v>
      </c>
      <c r="D7" t="s">
        <v>89</v>
      </c>
      <c r="E7" t="s">
        <v>65</v>
      </c>
      <c r="F7" t="s">
        <v>90</v>
      </c>
      <c r="G7" t="s">
        <v>67</v>
      </c>
      <c r="H7" s="2">
        <v>300</v>
      </c>
      <c r="I7" t="s">
        <v>68</v>
      </c>
      <c r="J7" t="s">
        <v>69</v>
      </c>
      <c r="K7" t="s">
        <v>69</v>
      </c>
      <c r="L7" t="s">
        <v>69</v>
      </c>
      <c r="M7" s="4">
        <v>4</v>
      </c>
      <c r="N7" t="s">
        <v>91</v>
      </c>
      <c r="O7" s="4">
        <v>5</v>
      </c>
      <c r="P7" t="s">
        <v>72</v>
      </c>
      <c r="Q7" s="4">
        <v>4</v>
      </c>
      <c r="R7" t="s">
        <v>91</v>
      </c>
      <c r="S7" s="4">
        <v>5</v>
      </c>
      <c r="T7" t="s">
        <v>72</v>
      </c>
      <c r="U7" t="s">
        <v>92</v>
      </c>
      <c r="V7" t="s">
        <v>74</v>
      </c>
      <c r="W7" t="s">
        <v>93</v>
      </c>
      <c r="X7" t="s">
        <v>94</v>
      </c>
      <c r="Y7" t="s">
        <v>69</v>
      </c>
      <c r="Z7" s="4">
        <v>4</v>
      </c>
      <c r="AA7" t="s">
        <v>77</v>
      </c>
      <c r="AB7" s="4">
        <v>106</v>
      </c>
      <c r="AC7" s="4">
        <v>53</v>
      </c>
      <c r="AD7" s="4">
        <v>66</v>
      </c>
      <c r="AE7" s="4">
        <v>162</v>
      </c>
      <c r="AF7" s="4">
        <v>100</v>
      </c>
      <c r="AG7" s="4">
        <v>115</v>
      </c>
      <c r="AH7" s="4">
        <v>88</v>
      </c>
      <c r="AI7" s="4">
        <v>132</v>
      </c>
      <c r="AJ7" s="4">
        <v>37</v>
      </c>
      <c r="AK7" t="s">
        <v>78</v>
      </c>
      <c r="AL7" t="s">
        <v>95</v>
      </c>
      <c r="AM7" t="s">
        <v>80</v>
      </c>
      <c r="AN7" t="s">
        <v>96</v>
      </c>
      <c r="AO7" t="s">
        <v>97</v>
      </c>
      <c r="AP7" t="s">
        <v>83</v>
      </c>
      <c r="AQ7" t="s">
        <v>83</v>
      </c>
      <c r="AR7" t="s">
        <v>83</v>
      </c>
      <c r="AS7" t="s">
        <v>84</v>
      </c>
      <c r="AT7" t="s">
        <v>83</v>
      </c>
      <c r="AU7" t="s">
        <v>83</v>
      </c>
      <c r="AV7" t="s">
        <v>83</v>
      </c>
      <c r="AW7" s="4">
        <v>1</v>
      </c>
      <c r="AX7" s="4">
        <v>0</v>
      </c>
      <c r="AY7" s="4">
        <v>1</v>
      </c>
      <c r="AZ7" s="3">
        <v>1.62</v>
      </c>
      <c r="BA7" s="3">
        <v>2.6244000000000005</v>
      </c>
      <c r="BB7" s="3">
        <v>25.14860539551897</v>
      </c>
      <c r="BC7" t="s">
        <v>98</v>
      </c>
      <c r="BD7" t="s">
        <v>99</v>
      </c>
      <c r="BE7" s="4">
        <v>2</v>
      </c>
      <c r="BF7" t="s">
        <v>87</v>
      </c>
      <c r="BG7" s="1" t="e">
        <v>#NULL!</v>
      </c>
      <c r="BH7" s="4">
        <v>1</v>
      </c>
      <c r="BI7" t="s">
        <v>83</v>
      </c>
      <c r="BJ7" s="4">
        <v>2</v>
      </c>
      <c r="BK7" t="s">
        <v>88</v>
      </c>
    </row>
    <row r="8" spans="1:63" x14ac:dyDescent="0.35">
      <c r="A8" s="4">
        <v>149</v>
      </c>
      <c r="B8" s="4">
        <v>20</v>
      </c>
      <c r="C8" t="s">
        <v>63</v>
      </c>
      <c r="D8" t="s">
        <v>89</v>
      </c>
      <c r="E8" t="s">
        <v>65</v>
      </c>
      <c r="F8" t="s">
        <v>90</v>
      </c>
      <c r="G8" t="s">
        <v>67</v>
      </c>
      <c r="H8" s="2">
        <v>100</v>
      </c>
      <c r="I8" t="s">
        <v>68</v>
      </c>
      <c r="J8" t="s">
        <v>69</v>
      </c>
      <c r="K8" t="s">
        <v>69</v>
      </c>
      <c r="L8" t="s">
        <v>69</v>
      </c>
      <c r="M8" s="4">
        <v>1</v>
      </c>
      <c r="N8" t="s">
        <v>71</v>
      </c>
      <c r="O8" s="4">
        <v>3</v>
      </c>
      <c r="P8" t="s">
        <v>91</v>
      </c>
      <c r="Q8" s="4">
        <v>1</v>
      </c>
      <c r="R8" t="s">
        <v>71</v>
      </c>
      <c r="S8" s="4">
        <v>5</v>
      </c>
      <c r="T8" t="s">
        <v>72</v>
      </c>
      <c r="U8" t="s">
        <v>92</v>
      </c>
      <c r="V8" t="s">
        <v>93</v>
      </c>
      <c r="W8" t="s">
        <v>93</v>
      </c>
      <c r="X8" t="s">
        <v>94</v>
      </c>
      <c r="Y8" t="s">
        <v>69</v>
      </c>
      <c r="Z8" s="4">
        <v>4</v>
      </c>
      <c r="AA8" t="s">
        <v>77</v>
      </c>
      <c r="AB8" s="4">
        <v>127</v>
      </c>
      <c r="AC8" s="4">
        <v>76</v>
      </c>
      <c r="AD8" s="4">
        <v>43</v>
      </c>
      <c r="AE8" s="4">
        <v>155</v>
      </c>
      <c r="AF8" s="4">
        <v>69</v>
      </c>
      <c r="AG8" s="4">
        <v>83</v>
      </c>
      <c r="AH8" s="4">
        <v>76</v>
      </c>
      <c r="AI8" s="4">
        <v>43</v>
      </c>
      <c r="AJ8" s="4">
        <v>52</v>
      </c>
      <c r="AK8" t="s">
        <v>78</v>
      </c>
      <c r="AL8" t="s">
        <v>95</v>
      </c>
      <c r="AM8" t="s">
        <v>80</v>
      </c>
      <c r="AN8" t="s">
        <v>96</v>
      </c>
      <c r="AO8" t="s">
        <v>97</v>
      </c>
      <c r="AP8" t="s">
        <v>85</v>
      </c>
      <c r="AQ8" t="s">
        <v>85</v>
      </c>
      <c r="AR8" t="s">
        <v>85</v>
      </c>
      <c r="AS8" t="s">
        <v>84</v>
      </c>
      <c r="AT8" t="s">
        <v>85</v>
      </c>
      <c r="AU8" t="s">
        <v>85</v>
      </c>
      <c r="AV8" t="s">
        <v>85</v>
      </c>
      <c r="AW8" s="4">
        <v>0</v>
      </c>
      <c r="AX8" s="4">
        <v>0</v>
      </c>
      <c r="AY8" s="4">
        <v>0</v>
      </c>
      <c r="AZ8" s="3">
        <v>1.55</v>
      </c>
      <c r="BA8" s="3">
        <v>2.4025000000000003</v>
      </c>
      <c r="BB8" s="3">
        <v>17.898022892819977</v>
      </c>
      <c r="BC8" t="s">
        <v>100</v>
      </c>
      <c r="BD8" t="s">
        <v>86</v>
      </c>
      <c r="BE8" s="4">
        <v>0</v>
      </c>
      <c r="BF8" t="s">
        <v>87</v>
      </c>
      <c r="BG8" s="1" t="e">
        <v>#NULL!</v>
      </c>
      <c r="BH8" s="4">
        <v>0</v>
      </c>
      <c r="BI8" t="s">
        <v>85</v>
      </c>
      <c r="BJ8" s="4">
        <v>0</v>
      </c>
      <c r="BK8" t="s">
        <v>88</v>
      </c>
    </row>
    <row r="9" spans="1:63" x14ac:dyDescent="0.35">
      <c r="A9" s="4">
        <v>458</v>
      </c>
      <c r="B9" s="4">
        <v>20</v>
      </c>
      <c r="C9" t="s">
        <v>63</v>
      </c>
      <c r="D9" t="s">
        <v>64</v>
      </c>
      <c r="E9" t="s">
        <v>65</v>
      </c>
      <c r="F9" t="s">
        <v>90</v>
      </c>
      <c r="G9" t="s">
        <v>67</v>
      </c>
      <c r="H9" s="2">
        <v>100</v>
      </c>
      <c r="I9" t="s">
        <v>68</v>
      </c>
      <c r="J9" t="s">
        <v>69</v>
      </c>
      <c r="K9" t="s">
        <v>70</v>
      </c>
      <c r="L9" t="s">
        <v>69</v>
      </c>
      <c r="M9" s="4">
        <v>2</v>
      </c>
      <c r="N9" t="s">
        <v>71</v>
      </c>
      <c r="O9" s="4">
        <v>2</v>
      </c>
      <c r="P9" t="s">
        <v>71</v>
      </c>
      <c r="Q9" s="4">
        <v>4</v>
      </c>
      <c r="R9" t="s">
        <v>91</v>
      </c>
      <c r="S9" s="4">
        <v>4</v>
      </c>
      <c r="T9" t="s">
        <v>91</v>
      </c>
      <c r="U9" t="s">
        <v>73</v>
      </c>
      <c r="V9" t="s">
        <v>93</v>
      </c>
      <c r="W9" t="s">
        <v>93</v>
      </c>
      <c r="X9" t="s">
        <v>94</v>
      </c>
      <c r="Y9" t="s">
        <v>69</v>
      </c>
      <c r="Z9" s="4">
        <v>4</v>
      </c>
      <c r="AA9" t="s">
        <v>77</v>
      </c>
      <c r="AB9" s="4">
        <v>126</v>
      </c>
      <c r="AC9" s="4">
        <v>51</v>
      </c>
      <c r="AD9" s="4">
        <v>60</v>
      </c>
      <c r="AE9" s="4">
        <v>175</v>
      </c>
      <c r="AF9" s="4">
        <v>80</v>
      </c>
      <c r="AG9" s="4">
        <v>95</v>
      </c>
      <c r="AH9" s="4">
        <v>102</v>
      </c>
      <c r="AI9" s="4">
        <v>139</v>
      </c>
      <c r="AJ9" s="4">
        <v>35</v>
      </c>
      <c r="AK9" t="s">
        <v>78</v>
      </c>
      <c r="AL9" t="s">
        <v>95</v>
      </c>
      <c r="AM9" t="s">
        <v>80</v>
      </c>
      <c r="AN9" t="s">
        <v>96</v>
      </c>
      <c r="AO9" t="s">
        <v>97</v>
      </c>
      <c r="AP9" t="s">
        <v>83</v>
      </c>
      <c r="AQ9" t="s">
        <v>83</v>
      </c>
      <c r="AR9" t="s">
        <v>83</v>
      </c>
      <c r="AS9" t="s">
        <v>102</v>
      </c>
      <c r="AT9" t="s">
        <v>85</v>
      </c>
      <c r="AU9" t="s">
        <v>83</v>
      </c>
      <c r="AV9" t="s">
        <v>85</v>
      </c>
      <c r="AW9" s="4">
        <v>2</v>
      </c>
      <c r="AX9" s="4">
        <v>1</v>
      </c>
      <c r="AY9" s="4">
        <v>1</v>
      </c>
      <c r="AZ9" s="3">
        <v>1.75</v>
      </c>
      <c r="BA9" s="3">
        <v>3.0625</v>
      </c>
      <c r="BB9" s="3">
        <v>19.591836734693878</v>
      </c>
      <c r="BC9" t="s">
        <v>85</v>
      </c>
      <c r="BD9" t="s">
        <v>86</v>
      </c>
      <c r="BE9" s="4">
        <v>2</v>
      </c>
      <c r="BF9" t="s">
        <v>87</v>
      </c>
      <c r="BG9" s="4">
        <v>0</v>
      </c>
      <c r="BH9" s="1" t="e">
        <v>#NULL!</v>
      </c>
      <c r="BI9" t="s">
        <v>85</v>
      </c>
      <c r="BJ9" s="4">
        <v>2</v>
      </c>
      <c r="BK9" t="s">
        <v>88</v>
      </c>
    </row>
    <row r="10" spans="1:63" x14ac:dyDescent="0.35">
      <c r="A10" s="4">
        <v>479</v>
      </c>
      <c r="B10" s="4">
        <v>20</v>
      </c>
      <c r="C10" t="s">
        <v>63</v>
      </c>
      <c r="D10" t="s">
        <v>64</v>
      </c>
      <c r="E10" t="s">
        <v>65</v>
      </c>
      <c r="F10" t="s">
        <v>101</v>
      </c>
      <c r="G10" t="s">
        <v>67</v>
      </c>
      <c r="H10" s="2">
        <v>100</v>
      </c>
      <c r="I10" t="s">
        <v>68</v>
      </c>
      <c r="J10" t="s">
        <v>69</v>
      </c>
      <c r="K10" t="s">
        <v>70</v>
      </c>
      <c r="L10" t="s">
        <v>69</v>
      </c>
      <c r="M10" s="4">
        <v>1</v>
      </c>
      <c r="N10" t="s">
        <v>71</v>
      </c>
      <c r="O10" s="4">
        <v>3</v>
      </c>
      <c r="P10" t="s">
        <v>91</v>
      </c>
      <c r="Q10" s="4">
        <v>4</v>
      </c>
      <c r="R10" t="s">
        <v>91</v>
      </c>
      <c r="S10" s="4">
        <v>4</v>
      </c>
      <c r="T10" t="s">
        <v>91</v>
      </c>
      <c r="U10" t="s">
        <v>103</v>
      </c>
      <c r="V10" t="s">
        <v>74</v>
      </c>
      <c r="W10" t="s">
        <v>74</v>
      </c>
      <c r="X10" t="s">
        <v>76</v>
      </c>
      <c r="Y10" t="s">
        <v>70</v>
      </c>
      <c r="Z10" s="4">
        <v>3</v>
      </c>
      <c r="AA10" t="s">
        <v>77</v>
      </c>
      <c r="AB10" s="4">
        <v>110</v>
      </c>
      <c r="AC10" s="4">
        <v>56</v>
      </c>
      <c r="AD10" s="4">
        <v>52</v>
      </c>
      <c r="AE10" s="4">
        <v>168</v>
      </c>
      <c r="AF10" s="4">
        <v>64</v>
      </c>
      <c r="AG10" s="4">
        <v>89</v>
      </c>
      <c r="AH10" s="4">
        <v>96</v>
      </c>
      <c r="AI10" s="4">
        <v>108</v>
      </c>
      <c r="AJ10" s="4">
        <v>53</v>
      </c>
      <c r="AK10" t="s">
        <v>78</v>
      </c>
      <c r="AL10" t="s">
        <v>95</v>
      </c>
      <c r="AM10" t="s">
        <v>80</v>
      </c>
      <c r="AN10" t="s">
        <v>96</v>
      </c>
      <c r="AO10" t="s">
        <v>97</v>
      </c>
      <c r="AP10" t="s">
        <v>85</v>
      </c>
      <c r="AQ10" t="s">
        <v>85</v>
      </c>
      <c r="AR10" t="s">
        <v>85</v>
      </c>
      <c r="AS10" t="s">
        <v>84</v>
      </c>
      <c r="AT10" t="s">
        <v>85</v>
      </c>
      <c r="AU10" t="s">
        <v>85</v>
      </c>
      <c r="AV10" t="s">
        <v>85</v>
      </c>
      <c r="AW10" s="4">
        <v>0</v>
      </c>
      <c r="AX10" s="4">
        <v>0</v>
      </c>
      <c r="AY10" s="4">
        <v>0</v>
      </c>
      <c r="AZ10" s="3">
        <v>1.68</v>
      </c>
      <c r="BA10" s="3">
        <v>2.8223999999999996</v>
      </c>
      <c r="BB10" s="3">
        <v>18.424036281179141</v>
      </c>
      <c r="BC10" t="s">
        <v>100</v>
      </c>
      <c r="BD10" t="s">
        <v>86</v>
      </c>
      <c r="BE10" s="4">
        <v>0</v>
      </c>
      <c r="BF10" t="s">
        <v>87</v>
      </c>
      <c r="BG10" s="4">
        <v>0</v>
      </c>
      <c r="BH10" s="1" t="e">
        <v>#NULL!</v>
      </c>
      <c r="BI10" t="s">
        <v>85</v>
      </c>
      <c r="BJ10" s="4">
        <v>0</v>
      </c>
      <c r="BK10" t="s">
        <v>88</v>
      </c>
    </row>
    <row r="11" spans="1:63" x14ac:dyDescent="0.35">
      <c r="A11" s="4">
        <v>192</v>
      </c>
      <c r="B11" s="4">
        <v>20</v>
      </c>
      <c r="C11" t="s">
        <v>63</v>
      </c>
      <c r="D11" t="s">
        <v>89</v>
      </c>
      <c r="E11" t="s">
        <v>104</v>
      </c>
      <c r="F11" t="s">
        <v>90</v>
      </c>
      <c r="G11" t="s">
        <v>67</v>
      </c>
      <c r="H11" s="2">
        <v>200</v>
      </c>
      <c r="I11" t="s">
        <v>68</v>
      </c>
      <c r="J11" t="s">
        <v>69</v>
      </c>
      <c r="K11" t="s">
        <v>69</v>
      </c>
      <c r="L11" t="s">
        <v>69</v>
      </c>
      <c r="M11" s="4">
        <v>4</v>
      </c>
      <c r="N11" t="s">
        <v>91</v>
      </c>
      <c r="O11" s="4">
        <v>2</v>
      </c>
      <c r="P11" t="s">
        <v>71</v>
      </c>
      <c r="Q11" s="4">
        <v>4</v>
      </c>
      <c r="R11" t="s">
        <v>91</v>
      </c>
      <c r="S11" s="4">
        <v>1</v>
      </c>
      <c r="T11" t="s">
        <v>71</v>
      </c>
      <c r="U11" t="s">
        <v>92</v>
      </c>
      <c r="V11" t="s">
        <v>93</v>
      </c>
      <c r="W11" t="s">
        <v>93</v>
      </c>
      <c r="X11" t="s">
        <v>94</v>
      </c>
      <c r="Y11" t="s">
        <v>69</v>
      </c>
      <c r="Z11" s="4">
        <v>1</v>
      </c>
      <c r="AA11" t="s">
        <v>77</v>
      </c>
      <c r="AB11" s="4">
        <v>101</v>
      </c>
      <c r="AC11" s="4">
        <v>72</v>
      </c>
      <c r="AD11" s="4">
        <v>67</v>
      </c>
      <c r="AE11" s="4">
        <v>161</v>
      </c>
      <c r="AF11" s="4">
        <v>97</v>
      </c>
      <c r="AG11" s="4">
        <v>101</v>
      </c>
      <c r="AH11" s="4">
        <v>94</v>
      </c>
      <c r="AI11" s="4">
        <v>40</v>
      </c>
      <c r="AJ11" s="4">
        <v>53</v>
      </c>
      <c r="AK11" t="s">
        <v>78</v>
      </c>
      <c r="AL11" t="s">
        <v>95</v>
      </c>
      <c r="AM11" t="s">
        <v>80</v>
      </c>
      <c r="AN11" t="s">
        <v>96</v>
      </c>
      <c r="AO11" t="s">
        <v>97</v>
      </c>
      <c r="AP11" t="s">
        <v>85</v>
      </c>
      <c r="AQ11" t="s">
        <v>85</v>
      </c>
      <c r="AR11" t="s">
        <v>85</v>
      </c>
      <c r="AS11" t="s">
        <v>84</v>
      </c>
      <c r="AT11" t="s">
        <v>83</v>
      </c>
      <c r="AU11" t="s">
        <v>83</v>
      </c>
      <c r="AV11" t="s">
        <v>83</v>
      </c>
      <c r="AW11" s="4">
        <v>0</v>
      </c>
      <c r="AX11" s="4">
        <v>0</v>
      </c>
      <c r="AY11" s="4">
        <v>1</v>
      </c>
      <c r="AZ11" s="3">
        <v>1.61</v>
      </c>
      <c r="BA11" s="3">
        <v>2.5921000000000003</v>
      </c>
      <c r="BB11" s="3">
        <v>25.847768218818715</v>
      </c>
      <c r="BC11" t="s">
        <v>98</v>
      </c>
      <c r="BD11" t="s">
        <v>99</v>
      </c>
      <c r="BE11" s="4">
        <v>1</v>
      </c>
      <c r="BF11" t="s">
        <v>87</v>
      </c>
      <c r="BG11" s="1" t="e">
        <v>#NULL!</v>
      </c>
      <c r="BH11" s="4">
        <v>1</v>
      </c>
      <c r="BI11" t="s">
        <v>83</v>
      </c>
      <c r="BJ11" s="4">
        <v>1</v>
      </c>
      <c r="BK11" t="s">
        <v>88</v>
      </c>
    </row>
    <row r="12" spans="1:63" x14ac:dyDescent="0.35">
      <c r="A12" s="4">
        <v>299</v>
      </c>
      <c r="B12" s="4">
        <v>20</v>
      </c>
      <c r="C12" t="s">
        <v>63</v>
      </c>
      <c r="D12" t="s">
        <v>64</v>
      </c>
      <c r="E12" t="s">
        <v>104</v>
      </c>
      <c r="F12" t="s">
        <v>66</v>
      </c>
      <c r="G12" t="s">
        <v>67</v>
      </c>
      <c r="H12" s="2">
        <v>100</v>
      </c>
      <c r="I12" t="s">
        <v>68</v>
      </c>
      <c r="J12" t="s">
        <v>69</v>
      </c>
      <c r="K12" t="s">
        <v>69</v>
      </c>
      <c r="L12" t="s">
        <v>69</v>
      </c>
      <c r="M12" s="4">
        <v>1</v>
      </c>
      <c r="N12" t="s">
        <v>71</v>
      </c>
      <c r="O12" s="4">
        <v>2</v>
      </c>
      <c r="P12" t="s">
        <v>71</v>
      </c>
      <c r="Q12" s="4">
        <v>7</v>
      </c>
      <c r="R12" t="s">
        <v>72</v>
      </c>
      <c r="S12" s="4">
        <v>5</v>
      </c>
      <c r="T12" t="s">
        <v>72</v>
      </c>
      <c r="U12" t="s">
        <v>73</v>
      </c>
      <c r="V12" t="s">
        <v>74</v>
      </c>
      <c r="W12" t="s">
        <v>75</v>
      </c>
      <c r="X12" t="s">
        <v>76</v>
      </c>
      <c r="Y12" t="s">
        <v>69</v>
      </c>
      <c r="Z12" s="4">
        <v>7</v>
      </c>
      <c r="AA12" t="s">
        <v>77</v>
      </c>
      <c r="AB12" s="4">
        <v>133</v>
      </c>
      <c r="AC12" s="4">
        <v>83</v>
      </c>
      <c r="AD12" s="4">
        <v>72</v>
      </c>
      <c r="AE12" s="4">
        <v>172</v>
      </c>
      <c r="AF12" s="4">
        <v>90</v>
      </c>
      <c r="AG12" s="4">
        <v>119</v>
      </c>
      <c r="AH12" s="4">
        <v>97</v>
      </c>
      <c r="AI12" s="4">
        <v>100</v>
      </c>
      <c r="AJ12" s="4">
        <v>36</v>
      </c>
      <c r="AK12" t="s">
        <v>78</v>
      </c>
      <c r="AL12" t="s">
        <v>79</v>
      </c>
      <c r="AM12" t="s">
        <v>80</v>
      </c>
      <c r="AN12" t="s">
        <v>81</v>
      </c>
      <c r="AO12" t="s">
        <v>82</v>
      </c>
      <c r="AP12" t="s">
        <v>83</v>
      </c>
      <c r="AQ12" t="s">
        <v>83</v>
      </c>
      <c r="AR12" t="s">
        <v>83</v>
      </c>
      <c r="AS12" t="s">
        <v>84</v>
      </c>
      <c r="AT12" t="s">
        <v>85</v>
      </c>
      <c r="AU12" t="s">
        <v>83</v>
      </c>
      <c r="AV12" t="s">
        <v>85</v>
      </c>
      <c r="AW12" s="4">
        <v>2</v>
      </c>
      <c r="AX12" s="4">
        <v>1</v>
      </c>
      <c r="AY12" s="4">
        <v>1</v>
      </c>
      <c r="AZ12" s="3">
        <v>1.72</v>
      </c>
      <c r="BA12" s="3">
        <v>2.9583999999999997</v>
      </c>
      <c r="BB12" s="3">
        <v>24.337479718766904</v>
      </c>
      <c r="BC12" t="s">
        <v>85</v>
      </c>
      <c r="BD12" t="s">
        <v>86</v>
      </c>
      <c r="BE12" s="4">
        <v>2</v>
      </c>
      <c r="BF12" t="s">
        <v>87</v>
      </c>
      <c r="BG12" s="4">
        <v>0</v>
      </c>
      <c r="BH12" s="1" t="e">
        <v>#NULL!</v>
      </c>
      <c r="BI12" t="s">
        <v>85</v>
      </c>
      <c r="BJ12" s="4">
        <v>2</v>
      </c>
      <c r="BK12" t="s">
        <v>88</v>
      </c>
    </row>
    <row r="13" spans="1:63" x14ac:dyDescent="0.35">
      <c r="A13" s="4">
        <v>443</v>
      </c>
      <c r="B13" s="4">
        <v>20</v>
      </c>
      <c r="C13" t="s">
        <v>63</v>
      </c>
      <c r="D13" t="s">
        <v>89</v>
      </c>
      <c r="E13" t="s">
        <v>104</v>
      </c>
      <c r="F13" t="s">
        <v>90</v>
      </c>
      <c r="G13" t="s">
        <v>67</v>
      </c>
      <c r="H13" s="2">
        <v>1000</v>
      </c>
      <c r="I13" t="s">
        <v>105</v>
      </c>
      <c r="J13" t="s">
        <v>69</v>
      </c>
      <c r="K13" t="s">
        <v>69</v>
      </c>
      <c r="L13" t="s">
        <v>69</v>
      </c>
      <c r="M13" s="4">
        <v>7</v>
      </c>
      <c r="N13" t="s">
        <v>72</v>
      </c>
      <c r="O13" s="4">
        <v>2</v>
      </c>
      <c r="P13" t="s">
        <v>71</v>
      </c>
      <c r="Q13" s="4">
        <v>7</v>
      </c>
      <c r="R13" t="s">
        <v>72</v>
      </c>
      <c r="S13" s="4">
        <v>6</v>
      </c>
      <c r="T13" t="s">
        <v>72</v>
      </c>
      <c r="U13" t="s">
        <v>92</v>
      </c>
      <c r="V13" t="s">
        <v>93</v>
      </c>
      <c r="W13" t="s">
        <v>93</v>
      </c>
      <c r="X13" t="s">
        <v>94</v>
      </c>
      <c r="Y13" t="s">
        <v>69</v>
      </c>
      <c r="Z13" s="4">
        <v>5</v>
      </c>
      <c r="AA13" t="s">
        <v>77</v>
      </c>
      <c r="AB13" s="4">
        <v>119</v>
      </c>
      <c r="AC13" s="4">
        <v>83</v>
      </c>
      <c r="AD13" s="4">
        <v>56</v>
      </c>
      <c r="AE13" s="4">
        <v>160</v>
      </c>
      <c r="AF13" s="4">
        <v>95</v>
      </c>
      <c r="AG13" s="4">
        <v>108</v>
      </c>
      <c r="AH13" s="4">
        <v>81</v>
      </c>
      <c r="AI13" s="4">
        <v>43</v>
      </c>
      <c r="AJ13" s="4">
        <v>53</v>
      </c>
      <c r="AK13" t="s">
        <v>78</v>
      </c>
      <c r="AL13" t="s">
        <v>95</v>
      </c>
      <c r="AM13" t="s">
        <v>80</v>
      </c>
      <c r="AN13" t="s">
        <v>96</v>
      </c>
      <c r="AO13" t="s">
        <v>97</v>
      </c>
      <c r="AP13" t="s">
        <v>85</v>
      </c>
      <c r="AQ13" t="s">
        <v>85</v>
      </c>
      <c r="AR13" t="s">
        <v>85</v>
      </c>
      <c r="AS13" t="s">
        <v>84</v>
      </c>
      <c r="AT13" t="s">
        <v>83</v>
      </c>
      <c r="AU13" t="s">
        <v>83</v>
      </c>
      <c r="AV13" t="s">
        <v>83</v>
      </c>
      <c r="AW13" s="4">
        <v>0</v>
      </c>
      <c r="AX13" s="4">
        <v>0</v>
      </c>
      <c r="AY13" s="4">
        <v>1</v>
      </c>
      <c r="AZ13" s="3">
        <v>1.6</v>
      </c>
      <c r="BA13" s="3">
        <v>2.5600000000000005</v>
      </c>
      <c r="BB13" s="3">
        <v>21.874999999999996</v>
      </c>
      <c r="BC13" t="s">
        <v>85</v>
      </c>
      <c r="BD13" t="s">
        <v>86</v>
      </c>
      <c r="BE13" s="4">
        <v>1</v>
      </c>
      <c r="BF13" t="s">
        <v>87</v>
      </c>
      <c r="BG13" s="1" t="e">
        <v>#NULL!</v>
      </c>
      <c r="BH13" s="4">
        <v>1</v>
      </c>
      <c r="BI13" t="s">
        <v>83</v>
      </c>
      <c r="BJ13" s="4">
        <v>1</v>
      </c>
      <c r="BK13" t="s">
        <v>88</v>
      </c>
    </row>
    <row r="14" spans="1:63" x14ac:dyDescent="0.35">
      <c r="A14" s="4">
        <v>16</v>
      </c>
      <c r="B14" s="4">
        <v>21</v>
      </c>
      <c r="C14" t="s">
        <v>63</v>
      </c>
      <c r="D14" t="s">
        <v>64</v>
      </c>
      <c r="E14" t="s">
        <v>65</v>
      </c>
      <c r="F14" t="s">
        <v>101</v>
      </c>
      <c r="G14" t="s">
        <v>67</v>
      </c>
      <c r="H14" s="2">
        <v>100</v>
      </c>
      <c r="I14" t="s">
        <v>68</v>
      </c>
      <c r="J14" t="s">
        <v>69</v>
      </c>
      <c r="K14" t="s">
        <v>69</v>
      </c>
      <c r="L14" t="s">
        <v>69</v>
      </c>
      <c r="M14" s="4">
        <v>1</v>
      </c>
      <c r="N14" t="s">
        <v>71</v>
      </c>
      <c r="O14" s="4">
        <v>3</v>
      </c>
      <c r="P14" t="s">
        <v>91</v>
      </c>
      <c r="Q14" s="4">
        <v>4</v>
      </c>
      <c r="R14" t="s">
        <v>91</v>
      </c>
      <c r="S14" s="4">
        <v>4</v>
      </c>
      <c r="T14" t="s">
        <v>91</v>
      </c>
      <c r="U14" t="s">
        <v>103</v>
      </c>
      <c r="V14" t="s">
        <v>74</v>
      </c>
      <c r="W14" t="s">
        <v>74</v>
      </c>
      <c r="X14" t="s">
        <v>76</v>
      </c>
      <c r="Y14" t="s">
        <v>70</v>
      </c>
      <c r="Z14" s="4">
        <v>3</v>
      </c>
      <c r="AA14" t="s">
        <v>77</v>
      </c>
      <c r="AB14" s="4">
        <v>110</v>
      </c>
      <c r="AC14" s="4">
        <v>56</v>
      </c>
      <c r="AD14" s="4">
        <v>52</v>
      </c>
      <c r="AE14" s="4">
        <v>168</v>
      </c>
      <c r="AF14" s="4">
        <v>64</v>
      </c>
      <c r="AG14" s="4">
        <v>89</v>
      </c>
      <c r="AH14" s="4">
        <v>96</v>
      </c>
      <c r="AI14" s="4">
        <v>108</v>
      </c>
      <c r="AJ14" s="4">
        <v>53</v>
      </c>
      <c r="AK14" t="s">
        <v>78</v>
      </c>
      <c r="AL14" t="s">
        <v>95</v>
      </c>
      <c r="AM14" t="s">
        <v>80</v>
      </c>
      <c r="AN14" t="s">
        <v>96</v>
      </c>
      <c r="AO14" t="s">
        <v>97</v>
      </c>
      <c r="AP14" t="s">
        <v>85</v>
      </c>
      <c r="AQ14" t="s">
        <v>85</v>
      </c>
      <c r="AR14" t="s">
        <v>85</v>
      </c>
      <c r="AS14" t="s">
        <v>84</v>
      </c>
      <c r="AT14" t="s">
        <v>85</v>
      </c>
      <c r="AU14" t="s">
        <v>85</v>
      </c>
      <c r="AV14" t="s">
        <v>85</v>
      </c>
      <c r="AW14" s="4">
        <v>0</v>
      </c>
      <c r="AX14" s="4">
        <v>0</v>
      </c>
      <c r="AY14" s="4">
        <v>0</v>
      </c>
      <c r="AZ14" s="3">
        <v>1.68</v>
      </c>
      <c r="BA14" s="3">
        <v>2.8223999999999996</v>
      </c>
      <c r="BB14" s="3">
        <v>18.424036281179141</v>
      </c>
      <c r="BC14" t="s">
        <v>100</v>
      </c>
      <c r="BD14" t="s">
        <v>86</v>
      </c>
      <c r="BE14" s="4">
        <v>0</v>
      </c>
      <c r="BF14" t="s">
        <v>87</v>
      </c>
      <c r="BG14" s="4">
        <v>0</v>
      </c>
      <c r="BH14" s="1" t="e">
        <v>#NULL!</v>
      </c>
      <c r="BI14" t="s">
        <v>85</v>
      </c>
      <c r="BJ14" s="4">
        <v>0</v>
      </c>
      <c r="BK14" t="s">
        <v>88</v>
      </c>
    </row>
    <row r="15" spans="1:63" x14ac:dyDescent="0.35">
      <c r="A15" s="4">
        <v>59</v>
      </c>
      <c r="B15" s="4">
        <v>21</v>
      </c>
      <c r="C15" t="s">
        <v>63</v>
      </c>
      <c r="D15" t="s">
        <v>64</v>
      </c>
      <c r="E15" t="s">
        <v>65</v>
      </c>
      <c r="F15" t="s">
        <v>90</v>
      </c>
      <c r="G15" t="s">
        <v>67</v>
      </c>
      <c r="H15" s="2">
        <v>100</v>
      </c>
      <c r="I15" t="s">
        <v>68</v>
      </c>
      <c r="J15" t="s">
        <v>69</v>
      </c>
      <c r="K15" t="s">
        <v>70</v>
      </c>
      <c r="L15" t="s">
        <v>69</v>
      </c>
      <c r="M15" s="4">
        <v>2</v>
      </c>
      <c r="N15" t="s">
        <v>71</v>
      </c>
      <c r="O15" s="4">
        <v>2</v>
      </c>
      <c r="P15" t="s">
        <v>71</v>
      </c>
      <c r="Q15" s="4">
        <v>4</v>
      </c>
      <c r="R15" t="s">
        <v>91</v>
      </c>
      <c r="S15" s="4">
        <v>4</v>
      </c>
      <c r="T15" t="s">
        <v>91</v>
      </c>
      <c r="U15" t="s">
        <v>73</v>
      </c>
      <c r="V15" t="s">
        <v>93</v>
      </c>
      <c r="W15" t="s">
        <v>93</v>
      </c>
      <c r="X15" t="s">
        <v>94</v>
      </c>
      <c r="Y15" t="s">
        <v>69</v>
      </c>
      <c r="Z15" s="4">
        <v>4</v>
      </c>
      <c r="AA15" t="s">
        <v>77</v>
      </c>
      <c r="AB15" s="4">
        <v>126</v>
      </c>
      <c r="AC15" s="4">
        <v>51</v>
      </c>
      <c r="AD15" s="4">
        <v>60</v>
      </c>
      <c r="AE15" s="4">
        <v>175</v>
      </c>
      <c r="AF15" s="4">
        <v>80</v>
      </c>
      <c r="AG15" s="4">
        <v>95</v>
      </c>
      <c r="AH15" s="4">
        <v>102</v>
      </c>
      <c r="AI15" s="4">
        <v>139</v>
      </c>
      <c r="AJ15" s="4">
        <v>35</v>
      </c>
      <c r="AK15" t="s">
        <v>78</v>
      </c>
      <c r="AL15" t="s">
        <v>95</v>
      </c>
      <c r="AM15" t="s">
        <v>80</v>
      </c>
      <c r="AN15" t="s">
        <v>96</v>
      </c>
      <c r="AO15" t="s">
        <v>97</v>
      </c>
      <c r="AP15" t="s">
        <v>83</v>
      </c>
      <c r="AQ15" t="s">
        <v>83</v>
      </c>
      <c r="AR15" t="s">
        <v>83</v>
      </c>
      <c r="AS15" t="s">
        <v>102</v>
      </c>
      <c r="AT15" t="s">
        <v>85</v>
      </c>
      <c r="AU15" t="s">
        <v>83</v>
      </c>
      <c r="AV15" t="s">
        <v>85</v>
      </c>
      <c r="AW15" s="4">
        <v>2</v>
      </c>
      <c r="AX15" s="4">
        <v>1</v>
      </c>
      <c r="AY15" s="4">
        <v>1</v>
      </c>
      <c r="AZ15" s="3">
        <v>1.75</v>
      </c>
      <c r="BA15" s="3">
        <v>3.0625</v>
      </c>
      <c r="BB15" s="3">
        <v>19.591836734693878</v>
      </c>
      <c r="BC15" t="s">
        <v>85</v>
      </c>
      <c r="BD15" t="s">
        <v>86</v>
      </c>
      <c r="BE15" s="4">
        <v>2</v>
      </c>
      <c r="BF15" t="s">
        <v>87</v>
      </c>
      <c r="BG15" s="4">
        <v>0</v>
      </c>
      <c r="BH15" s="1" t="e">
        <v>#NULL!</v>
      </c>
      <c r="BI15" t="s">
        <v>85</v>
      </c>
      <c r="BJ15" s="4">
        <v>2</v>
      </c>
      <c r="BK15" t="s">
        <v>88</v>
      </c>
    </row>
    <row r="16" spans="1:63" x14ac:dyDescent="0.35">
      <c r="A16" s="4">
        <v>480</v>
      </c>
      <c r="B16" s="4">
        <v>21</v>
      </c>
      <c r="C16" t="s">
        <v>63</v>
      </c>
      <c r="D16" t="s">
        <v>64</v>
      </c>
      <c r="E16" t="s">
        <v>65</v>
      </c>
      <c r="F16" t="s">
        <v>90</v>
      </c>
      <c r="G16" t="s">
        <v>67</v>
      </c>
      <c r="H16" s="2">
        <v>650</v>
      </c>
      <c r="I16" t="s">
        <v>105</v>
      </c>
      <c r="J16" t="s">
        <v>69</v>
      </c>
      <c r="K16" t="s">
        <v>69</v>
      </c>
      <c r="L16" t="s">
        <v>69</v>
      </c>
      <c r="M16" s="4">
        <v>2</v>
      </c>
      <c r="N16" t="s">
        <v>71</v>
      </c>
      <c r="O16" s="4">
        <v>2</v>
      </c>
      <c r="P16" t="s">
        <v>71</v>
      </c>
      <c r="Q16" s="4">
        <v>3</v>
      </c>
      <c r="R16" t="s">
        <v>91</v>
      </c>
      <c r="S16" s="4">
        <v>1</v>
      </c>
      <c r="T16" t="s">
        <v>71</v>
      </c>
      <c r="U16" t="s">
        <v>103</v>
      </c>
      <c r="V16" t="s">
        <v>75</v>
      </c>
      <c r="W16" t="s">
        <v>75</v>
      </c>
      <c r="X16" t="s">
        <v>76</v>
      </c>
      <c r="Y16" t="s">
        <v>70</v>
      </c>
      <c r="Z16" s="4">
        <v>2</v>
      </c>
      <c r="AA16" t="s">
        <v>77</v>
      </c>
      <c r="AB16" s="4">
        <v>137</v>
      </c>
      <c r="AC16" s="4">
        <v>81</v>
      </c>
      <c r="AD16" s="4">
        <v>49</v>
      </c>
      <c r="AE16" s="4">
        <v>173</v>
      </c>
      <c r="AF16" s="4">
        <v>72</v>
      </c>
      <c r="AG16" s="4">
        <v>96</v>
      </c>
      <c r="AH16" s="4">
        <v>83</v>
      </c>
      <c r="AI16" s="4">
        <v>60</v>
      </c>
      <c r="AJ16" s="4">
        <v>41</v>
      </c>
      <c r="AK16" t="s">
        <v>78</v>
      </c>
      <c r="AL16" t="s">
        <v>79</v>
      </c>
      <c r="AM16" t="s">
        <v>80</v>
      </c>
      <c r="AN16" t="s">
        <v>81</v>
      </c>
      <c r="AO16" t="s">
        <v>82</v>
      </c>
      <c r="AP16" t="s">
        <v>83</v>
      </c>
      <c r="AQ16" t="s">
        <v>85</v>
      </c>
      <c r="AR16" t="s">
        <v>85</v>
      </c>
      <c r="AS16" t="s">
        <v>84</v>
      </c>
      <c r="AT16" t="s">
        <v>85</v>
      </c>
      <c r="AU16" t="s">
        <v>85</v>
      </c>
      <c r="AV16" t="s">
        <v>85</v>
      </c>
      <c r="AW16" s="4">
        <v>1</v>
      </c>
      <c r="AX16" s="4">
        <v>0</v>
      </c>
      <c r="AY16" s="4">
        <v>0</v>
      </c>
      <c r="AZ16" s="3">
        <v>1.73</v>
      </c>
      <c r="BA16" s="3">
        <v>2.9929000000000001</v>
      </c>
      <c r="BB16" s="3">
        <v>16.372080590731397</v>
      </c>
      <c r="BC16" t="s">
        <v>100</v>
      </c>
      <c r="BD16" t="s">
        <v>86</v>
      </c>
      <c r="BE16" s="4">
        <v>1</v>
      </c>
      <c r="BF16" t="s">
        <v>87</v>
      </c>
      <c r="BG16" s="4">
        <v>0</v>
      </c>
      <c r="BH16" s="1" t="e">
        <v>#NULL!</v>
      </c>
      <c r="BI16" t="s">
        <v>85</v>
      </c>
      <c r="BJ16" s="4">
        <v>1</v>
      </c>
      <c r="BK16" t="s">
        <v>88</v>
      </c>
    </row>
    <row r="17" spans="1:63" x14ac:dyDescent="0.35">
      <c r="A17" s="4">
        <v>197</v>
      </c>
      <c r="B17" s="4">
        <v>21</v>
      </c>
      <c r="C17" t="s">
        <v>63</v>
      </c>
      <c r="D17" t="s">
        <v>89</v>
      </c>
      <c r="E17" t="s">
        <v>104</v>
      </c>
      <c r="F17" t="s">
        <v>90</v>
      </c>
      <c r="G17" t="s">
        <v>67</v>
      </c>
      <c r="H17" s="2">
        <v>1000</v>
      </c>
      <c r="I17" t="s">
        <v>105</v>
      </c>
      <c r="J17" t="s">
        <v>69</v>
      </c>
      <c r="K17" t="s">
        <v>69</v>
      </c>
      <c r="L17" t="s">
        <v>69</v>
      </c>
      <c r="M17" s="4">
        <v>7</v>
      </c>
      <c r="N17" t="s">
        <v>72</v>
      </c>
      <c r="O17" s="4">
        <v>2</v>
      </c>
      <c r="P17" t="s">
        <v>71</v>
      </c>
      <c r="Q17" s="4">
        <v>7</v>
      </c>
      <c r="R17" t="s">
        <v>72</v>
      </c>
      <c r="S17" s="4">
        <v>6</v>
      </c>
      <c r="T17" t="s">
        <v>72</v>
      </c>
      <c r="U17" t="s">
        <v>92</v>
      </c>
      <c r="V17" t="s">
        <v>93</v>
      </c>
      <c r="W17" t="s">
        <v>93</v>
      </c>
      <c r="X17" t="s">
        <v>94</v>
      </c>
      <c r="Y17" t="s">
        <v>69</v>
      </c>
      <c r="Z17" s="4">
        <v>5</v>
      </c>
      <c r="AA17" t="s">
        <v>77</v>
      </c>
      <c r="AB17" s="4">
        <v>119</v>
      </c>
      <c r="AC17" s="4">
        <v>83</v>
      </c>
      <c r="AD17" s="4">
        <v>56</v>
      </c>
      <c r="AE17" s="4">
        <v>160</v>
      </c>
      <c r="AF17" s="4">
        <v>95</v>
      </c>
      <c r="AG17" s="4">
        <v>108</v>
      </c>
      <c r="AH17" s="4">
        <v>81</v>
      </c>
      <c r="AI17" s="4">
        <v>43</v>
      </c>
      <c r="AJ17" s="4">
        <v>53</v>
      </c>
      <c r="AK17" t="s">
        <v>78</v>
      </c>
      <c r="AL17" t="s">
        <v>95</v>
      </c>
      <c r="AM17" t="s">
        <v>80</v>
      </c>
      <c r="AN17" t="s">
        <v>96</v>
      </c>
      <c r="AO17" t="s">
        <v>97</v>
      </c>
      <c r="AP17" t="s">
        <v>85</v>
      </c>
      <c r="AQ17" t="s">
        <v>85</v>
      </c>
      <c r="AR17" t="s">
        <v>85</v>
      </c>
      <c r="AS17" t="s">
        <v>84</v>
      </c>
      <c r="AT17" t="s">
        <v>83</v>
      </c>
      <c r="AU17" t="s">
        <v>83</v>
      </c>
      <c r="AV17" t="s">
        <v>83</v>
      </c>
      <c r="AW17" s="4">
        <v>0</v>
      </c>
      <c r="AX17" s="4">
        <v>0</v>
      </c>
      <c r="AY17" s="4">
        <v>1</v>
      </c>
      <c r="AZ17" s="3">
        <v>1.6</v>
      </c>
      <c r="BA17" s="3">
        <v>2.5600000000000005</v>
      </c>
      <c r="BB17" s="3">
        <v>21.874999999999996</v>
      </c>
      <c r="BC17" t="s">
        <v>85</v>
      </c>
      <c r="BD17" t="s">
        <v>86</v>
      </c>
      <c r="BE17" s="4">
        <v>1</v>
      </c>
      <c r="BF17" t="s">
        <v>87</v>
      </c>
      <c r="BG17" s="1" t="e">
        <v>#NULL!</v>
      </c>
      <c r="BH17" s="4">
        <v>1</v>
      </c>
      <c r="BI17" t="s">
        <v>83</v>
      </c>
      <c r="BJ17" s="4">
        <v>1</v>
      </c>
      <c r="BK17" t="s">
        <v>88</v>
      </c>
    </row>
    <row r="18" spans="1:63" x14ac:dyDescent="0.35">
      <c r="A18" s="4">
        <v>318</v>
      </c>
      <c r="B18" s="4">
        <v>21</v>
      </c>
      <c r="C18" t="s">
        <v>63</v>
      </c>
      <c r="D18" t="s">
        <v>89</v>
      </c>
      <c r="E18" t="s">
        <v>104</v>
      </c>
      <c r="F18" t="s">
        <v>90</v>
      </c>
      <c r="G18" t="s">
        <v>67</v>
      </c>
      <c r="H18" s="2">
        <v>200</v>
      </c>
      <c r="I18" t="s">
        <v>68</v>
      </c>
      <c r="J18" t="s">
        <v>69</v>
      </c>
      <c r="K18" t="s">
        <v>69</v>
      </c>
      <c r="L18" t="s">
        <v>69</v>
      </c>
      <c r="M18" s="4">
        <v>4</v>
      </c>
      <c r="N18" t="s">
        <v>91</v>
      </c>
      <c r="O18" s="4">
        <v>2</v>
      </c>
      <c r="P18" t="s">
        <v>71</v>
      </c>
      <c r="Q18" s="4">
        <v>4</v>
      </c>
      <c r="R18" t="s">
        <v>91</v>
      </c>
      <c r="S18" s="4">
        <v>1</v>
      </c>
      <c r="T18" t="s">
        <v>71</v>
      </c>
      <c r="U18" t="s">
        <v>92</v>
      </c>
      <c r="V18" t="s">
        <v>93</v>
      </c>
      <c r="W18" t="s">
        <v>93</v>
      </c>
      <c r="X18" t="s">
        <v>94</v>
      </c>
      <c r="Y18" t="s">
        <v>69</v>
      </c>
      <c r="Z18" s="4">
        <v>1</v>
      </c>
      <c r="AA18" t="s">
        <v>77</v>
      </c>
      <c r="AB18" s="4">
        <v>101</v>
      </c>
      <c r="AC18" s="4">
        <v>72</v>
      </c>
      <c r="AD18" s="4">
        <v>67</v>
      </c>
      <c r="AE18" s="4">
        <v>161</v>
      </c>
      <c r="AF18" s="4">
        <v>97</v>
      </c>
      <c r="AG18" s="4">
        <v>101</v>
      </c>
      <c r="AH18" s="4">
        <v>94</v>
      </c>
      <c r="AI18" s="4">
        <v>40</v>
      </c>
      <c r="AJ18" s="4">
        <v>53</v>
      </c>
      <c r="AK18" t="s">
        <v>78</v>
      </c>
      <c r="AL18" t="s">
        <v>95</v>
      </c>
      <c r="AM18" t="s">
        <v>80</v>
      </c>
      <c r="AN18" t="s">
        <v>96</v>
      </c>
      <c r="AO18" t="s">
        <v>97</v>
      </c>
      <c r="AP18" t="s">
        <v>85</v>
      </c>
      <c r="AQ18" t="s">
        <v>85</v>
      </c>
      <c r="AR18" t="s">
        <v>85</v>
      </c>
      <c r="AS18" t="s">
        <v>84</v>
      </c>
      <c r="AT18" t="s">
        <v>83</v>
      </c>
      <c r="AU18" t="s">
        <v>83</v>
      </c>
      <c r="AV18" t="s">
        <v>83</v>
      </c>
      <c r="AW18" s="4">
        <v>0</v>
      </c>
      <c r="AX18" s="4">
        <v>0</v>
      </c>
      <c r="AY18" s="4">
        <v>1</v>
      </c>
      <c r="AZ18" s="3">
        <v>1.61</v>
      </c>
      <c r="BA18" s="3">
        <v>2.5921000000000003</v>
      </c>
      <c r="BB18" s="3">
        <v>25.847768218818715</v>
      </c>
      <c r="BC18" t="s">
        <v>98</v>
      </c>
      <c r="BD18" t="s">
        <v>99</v>
      </c>
      <c r="BE18" s="4">
        <v>1</v>
      </c>
      <c r="BF18" t="s">
        <v>87</v>
      </c>
      <c r="BG18" s="1" t="e">
        <v>#NULL!</v>
      </c>
      <c r="BH18" s="4">
        <v>1</v>
      </c>
      <c r="BI18" t="s">
        <v>83</v>
      </c>
      <c r="BJ18" s="4">
        <v>1</v>
      </c>
      <c r="BK18" t="s">
        <v>88</v>
      </c>
    </row>
    <row r="19" spans="1:63" x14ac:dyDescent="0.35">
      <c r="A19" s="4">
        <v>329</v>
      </c>
      <c r="B19" s="4">
        <v>21</v>
      </c>
      <c r="C19" t="s">
        <v>63</v>
      </c>
      <c r="D19" t="s">
        <v>64</v>
      </c>
      <c r="E19" t="s">
        <v>104</v>
      </c>
      <c r="F19" t="s">
        <v>101</v>
      </c>
      <c r="G19" t="s">
        <v>67</v>
      </c>
      <c r="H19" s="2">
        <v>200</v>
      </c>
      <c r="I19" t="s">
        <v>68</v>
      </c>
      <c r="J19" t="s">
        <v>69</v>
      </c>
      <c r="K19" t="s">
        <v>69</v>
      </c>
      <c r="L19" t="s">
        <v>69</v>
      </c>
      <c r="M19" s="4">
        <v>2</v>
      </c>
      <c r="N19" t="s">
        <v>71</v>
      </c>
      <c r="O19" s="4">
        <v>2</v>
      </c>
      <c r="P19" t="s">
        <v>71</v>
      </c>
      <c r="Q19" s="4">
        <v>3</v>
      </c>
      <c r="R19" t="s">
        <v>91</v>
      </c>
      <c r="S19" s="4">
        <v>1</v>
      </c>
      <c r="T19" t="s">
        <v>71</v>
      </c>
      <c r="U19" t="s">
        <v>92</v>
      </c>
      <c r="V19" t="s">
        <v>93</v>
      </c>
      <c r="W19" t="s">
        <v>93</v>
      </c>
      <c r="X19" t="s">
        <v>94</v>
      </c>
      <c r="Y19" t="s">
        <v>69</v>
      </c>
      <c r="Z19" s="4">
        <v>4</v>
      </c>
      <c r="AA19" t="s">
        <v>77</v>
      </c>
      <c r="AB19" s="4">
        <v>105</v>
      </c>
      <c r="AC19" s="4">
        <v>63</v>
      </c>
      <c r="AD19" s="4">
        <v>54</v>
      </c>
      <c r="AE19" s="4">
        <v>162</v>
      </c>
      <c r="AF19" s="4">
        <v>79</v>
      </c>
      <c r="AG19" s="4">
        <v>99</v>
      </c>
      <c r="AH19" s="4">
        <v>99</v>
      </c>
      <c r="AI19" s="4">
        <v>106</v>
      </c>
      <c r="AJ19" s="4">
        <v>40</v>
      </c>
      <c r="AK19" t="s">
        <v>78</v>
      </c>
      <c r="AL19" t="s">
        <v>95</v>
      </c>
      <c r="AM19" t="s">
        <v>80</v>
      </c>
      <c r="AN19" t="s">
        <v>96</v>
      </c>
      <c r="AO19" t="s">
        <v>97</v>
      </c>
      <c r="AP19" t="s">
        <v>83</v>
      </c>
      <c r="AQ19" t="s">
        <v>85</v>
      </c>
      <c r="AR19" t="s">
        <v>85</v>
      </c>
      <c r="AS19" t="s">
        <v>84</v>
      </c>
      <c r="AT19" t="s">
        <v>85</v>
      </c>
      <c r="AU19" t="s">
        <v>85</v>
      </c>
      <c r="AV19" t="s">
        <v>85</v>
      </c>
      <c r="AW19" s="4">
        <v>0</v>
      </c>
      <c r="AX19" s="4">
        <v>0</v>
      </c>
      <c r="AY19" s="4">
        <v>0</v>
      </c>
      <c r="AZ19" s="3">
        <v>1.62</v>
      </c>
      <c r="BA19" s="3">
        <v>2.6244000000000005</v>
      </c>
      <c r="BB19" s="3">
        <v>20.576131687242793</v>
      </c>
      <c r="BC19" t="s">
        <v>85</v>
      </c>
      <c r="BD19" t="s">
        <v>86</v>
      </c>
      <c r="BE19" s="4">
        <v>0</v>
      </c>
      <c r="BF19" t="s">
        <v>87</v>
      </c>
      <c r="BG19" s="4">
        <v>0</v>
      </c>
      <c r="BH19" s="1" t="e">
        <v>#NULL!</v>
      </c>
      <c r="BI19" t="s">
        <v>85</v>
      </c>
      <c r="BJ19" s="4">
        <v>0</v>
      </c>
      <c r="BK19" t="s">
        <v>88</v>
      </c>
    </row>
    <row r="20" spans="1:63" x14ac:dyDescent="0.35">
      <c r="A20" s="4">
        <v>349</v>
      </c>
      <c r="B20" s="4">
        <v>21</v>
      </c>
      <c r="C20" t="s">
        <v>63</v>
      </c>
      <c r="D20" t="s">
        <v>64</v>
      </c>
      <c r="E20" t="s">
        <v>104</v>
      </c>
      <c r="F20" t="s">
        <v>90</v>
      </c>
      <c r="G20" t="s">
        <v>67</v>
      </c>
      <c r="H20" s="2">
        <v>300</v>
      </c>
      <c r="I20" t="s">
        <v>68</v>
      </c>
      <c r="J20" t="s">
        <v>69</v>
      </c>
      <c r="K20" t="s">
        <v>69</v>
      </c>
      <c r="L20" t="s">
        <v>69</v>
      </c>
      <c r="M20" s="4">
        <v>7</v>
      </c>
      <c r="N20" t="s">
        <v>72</v>
      </c>
      <c r="O20" s="4">
        <v>8</v>
      </c>
      <c r="P20" t="s">
        <v>72</v>
      </c>
      <c r="Q20" s="4">
        <v>2</v>
      </c>
      <c r="R20" t="s">
        <v>71</v>
      </c>
      <c r="S20" s="4">
        <v>3</v>
      </c>
      <c r="T20" t="s">
        <v>91</v>
      </c>
      <c r="U20" t="s">
        <v>73</v>
      </c>
      <c r="V20" t="s">
        <v>75</v>
      </c>
      <c r="W20" t="s">
        <v>93</v>
      </c>
      <c r="X20" t="s">
        <v>94</v>
      </c>
      <c r="Y20" t="s">
        <v>69</v>
      </c>
      <c r="Z20" s="4">
        <v>3</v>
      </c>
      <c r="AA20" t="s">
        <v>77</v>
      </c>
      <c r="AB20" s="4">
        <v>116</v>
      </c>
      <c r="AC20" s="4">
        <v>69</v>
      </c>
      <c r="AD20" s="4">
        <v>46</v>
      </c>
      <c r="AE20" s="4">
        <v>172</v>
      </c>
      <c r="AF20" s="4">
        <v>82</v>
      </c>
      <c r="AG20" s="4">
        <v>90</v>
      </c>
      <c r="AH20" s="4">
        <v>94</v>
      </c>
      <c r="AI20" s="4">
        <v>88</v>
      </c>
      <c r="AJ20" s="4">
        <v>54</v>
      </c>
      <c r="AK20" t="s">
        <v>78</v>
      </c>
      <c r="AL20" t="s">
        <v>95</v>
      </c>
      <c r="AM20" t="s">
        <v>80</v>
      </c>
      <c r="AN20" t="s">
        <v>96</v>
      </c>
      <c r="AO20" t="s">
        <v>97</v>
      </c>
      <c r="AP20" t="s">
        <v>85</v>
      </c>
      <c r="AQ20" t="s">
        <v>85</v>
      </c>
      <c r="AR20" t="s">
        <v>85</v>
      </c>
      <c r="AS20" t="s">
        <v>84</v>
      </c>
      <c r="AT20" t="s">
        <v>85</v>
      </c>
      <c r="AU20" t="s">
        <v>83</v>
      </c>
      <c r="AV20" t="s">
        <v>85</v>
      </c>
      <c r="AW20" s="4">
        <v>0</v>
      </c>
      <c r="AX20" s="4">
        <v>0</v>
      </c>
      <c r="AY20" s="4">
        <v>0</v>
      </c>
      <c r="AZ20" s="3">
        <v>1.72</v>
      </c>
      <c r="BA20" s="3">
        <v>2.9583999999999997</v>
      </c>
      <c r="BB20" s="3">
        <v>15.548945375878855</v>
      </c>
      <c r="BC20" t="s">
        <v>100</v>
      </c>
      <c r="BD20" t="s">
        <v>86</v>
      </c>
      <c r="BE20" s="4">
        <v>0</v>
      </c>
      <c r="BF20" t="s">
        <v>87</v>
      </c>
      <c r="BG20" s="4">
        <v>0</v>
      </c>
      <c r="BH20" s="1" t="e">
        <v>#NULL!</v>
      </c>
      <c r="BI20" t="s">
        <v>85</v>
      </c>
      <c r="BJ20" s="4">
        <v>0</v>
      </c>
      <c r="BK20" t="s">
        <v>88</v>
      </c>
    </row>
    <row r="21" spans="1:63" x14ac:dyDescent="0.35">
      <c r="A21" s="4">
        <v>33</v>
      </c>
      <c r="B21" s="4">
        <v>22</v>
      </c>
      <c r="C21" t="s">
        <v>63</v>
      </c>
      <c r="D21" t="s">
        <v>64</v>
      </c>
      <c r="E21" t="s">
        <v>65</v>
      </c>
      <c r="F21" t="s">
        <v>90</v>
      </c>
      <c r="G21" t="s">
        <v>67</v>
      </c>
      <c r="H21" s="2">
        <v>650</v>
      </c>
      <c r="I21" t="s">
        <v>105</v>
      </c>
      <c r="J21" t="s">
        <v>69</v>
      </c>
      <c r="K21" t="s">
        <v>69</v>
      </c>
      <c r="L21" t="s">
        <v>69</v>
      </c>
      <c r="M21" s="4">
        <v>2</v>
      </c>
      <c r="N21" t="s">
        <v>71</v>
      </c>
      <c r="O21" s="4">
        <v>2</v>
      </c>
      <c r="P21" t="s">
        <v>71</v>
      </c>
      <c r="Q21" s="4">
        <v>3</v>
      </c>
      <c r="R21" t="s">
        <v>91</v>
      </c>
      <c r="S21" s="4">
        <v>1</v>
      </c>
      <c r="T21" t="s">
        <v>71</v>
      </c>
      <c r="U21" t="s">
        <v>103</v>
      </c>
      <c r="V21" t="s">
        <v>75</v>
      </c>
      <c r="W21" t="s">
        <v>75</v>
      </c>
      <c r="X21" t="s">
        <v>76</v>
      </c>
      <c r="Y21" t="s">
        <v>69</v>
      </c>
      <c r="Z21" s="4">
        <v>2</v>
      </c>
      <c r="AA21" t="s">
        <v>77</v>
      </c>
      <c r="AB21" s="4">
        <v>137</v>
      </c>
      <c r="AC21" s="4">
        <v>81</v>
      </c>
      <c r="AD21" s="4">
        <v>49</v>
      </c>
      <c r="AE21" s="4">
        <v>173</v>
      </c>
      <c r="AF21" s="4">
        <v>72</v>
      </c>
      <c r="AG21" s="4">
        <v>96</v>
      </c>
      <c r="AH21" s="4">
        <v>83</v>
      </c>
      <c r="AI21" s="4">
        <v>60</v>
      </c>
      <c r="AJ21" s="4">
        <v>41</v>
      </c>
      <c r="AK21" t="s">
        <v>78</v>
      </c>
      <c r="AL21" t="s">
        <v>79</v>
      </c>
      <c r="AM21" t="s">
        <v>80</v>
      </c>
      <c r="AN21" t="s">
        <v>81</v>
      </c>
      <c r="AO21" t="s">
        <v>82</v>
      </c>
      <c r="AP21" t="s">
        <v>83</v>
      </c>
      <c r="AQ21" t="s">
        <v>85</v>
      </c>
      <c r="AR21" t="s">
        <v>85</v>
      </c>
      <c r="AS21" t="s">
        <v>84</v>
      </c>
      <c r="AT21" t="s">
        <v>85</v>
      </c>
      <c r="AU21" t="s">
        <v>85</v>
      </c>
      <c r="AV21" t="s">
        <v>85</v>
      </c>
      <c r="AW21" s="4">
        <v>1</v>
      </c>
      <c r="AX21" s="4">
        <v>0</v>
      </c>
      <c r="AY21" s="4">
        <v>0</v>
      </c>
      <c r="AZ21" s="3">
        <v>1.73</v>
      </c>
      <c r="BA21" s="3">
        <v>2.9929000000000001</v>
      </c>
      <c r="BB21" s="3">
        <v>16.372080590731397</v>
      </c>
      <c r="BC21" t="s">
        <v>100</v>
      </c>
      <c r="BD21" t="s">
        <v>86</v>
      </c>
      <c r="BE21" s="4">
        <v>1</v>
      </c>
      <c r="BF21" t="s">
        <v>87</v>
      </c>
      <c r="BG21" s="4">
        <v>0</v>
      </c>
      <c r="BH21" s="1" t="e">
        <v>#NULL!</v>
      </c>
      <c r="BI21" t="s">
        <v>85</v>
      </c>
      <c r="BJ21" s="4">
        <v>1</v>
      </c>
      <c r="BK21" t="s">
        <v>88</v>
      </c>
    </row>
    <row r="22" spans="1:63" x14ac:dyDescent="0.35">
      <c r="A22" s="4">
        <v>375</v>
      </c>
      <c r="B22" s="4">
        <v>22</v>
      </c>
      <c r="C22" t="s">
        <v>63</v>
      </c>
      <c r="D22" t="s">
        <v>64</v>
      </c>
      <c r="E22" t="s">
        <v>65</v>
      </c>
      <c r="F22" t="s">
        <v>101</v>
      </c>
      <c r="G22" t="s">
        <v>67</v>
      </c>
      <c r="H22" s="2">
        <v>100</v>
      </c>
      <c r="I22" t="s">
        <v>68</v>
      </c>
      <c r="J22" t="s">
        <v>69</v>
      </c>
      <c r="K22" t="s">
        <v>69</v>
      </c>
      <c r="L22" t="s">
        <v>69</v>
      </c>
      <c r="M22" s="4">
        <v>1</v>
      </c>
      <c r="N22" t="s">
        <v>71</v>
      </c>
      <c r="O22" s="4">
        <v>3</v>
      </c>
      <c r="P22" t="s">
        <v>91</v>
      </c>
      <c r="Q22" s="4">
        <v>4</v>
      </c>
      <c r="R22" t="s">
        <v>91</v>
      </c>
      <c r="S22" s="4">
        <v>4</v>
      </c>
      <c r="T22" t="s">
        <v>91</v>
      </c>
      <c r="U22" t="s">
        <v>103</v>
      </c>
      <c r="V22" t="s">
        <v>74</v>
      </c>
      <c r="W22" t="s">
        <v>74</v>
      </c>
      <c r="X22" t="s">
        <v>76</v>
      </c>
      <c r="Y22" t="s">
        <v>70</v>
      </c>
      <c r="Z22" s="4">
        <v>3</v>
      </c>
      <c r="AA22" t="s">
        <v>77</v>
      </c>
      <c r="AB22" s="4">
        <v>110</v>
      </c>
      <c r="AC22" s="4">
        <v>56</v>
      </c>
      <c r="AD22" s="4">
        <v>52</v>
      </c>
      <c r="AE22" s="4">
        <v>168</v>
      </c>
      <c r="AF22" s="4">
        <v>64</v>
      </c>
      <c r="AG22" s="4">
        <v>89</v>
      </c>
      <c r="AH22" s="4">
        <v>96</v>
      </c>
      <c r="AI22" s="4">
        <v>108</v>
      </c>
      <c r="AJ22" s="4">
        <v>53</v>
      </c>
      <c r="AK22" t="s">
        <v>78</v>
      </c>
      <c r="AL22" t="s">
        <v>95</v>
      </c>
      <c r="AM22" t="s">
        <v>80</v>
      </c>
      <c r="AN22" t="s">
        <v>96</v>
      </c>
      <c r="AO22" t="s">
        <v>97</v>
      </c>
      <c r="AP22" t="s">
        <v>85</v>
      </c>
      <c r="AQ22" t="s">
        <v>85</v>
      </c>
      <c r="AR22" t="s">
        <v>85</v>
      </c>
      <c r="AS22" t="s">
        <v>84</v>
      </c>
      <c r="AT22" t="s">
        <v>85</v>
      </c>
      <c r="AU22" t="s">
        <v>85</v>
      </c>
      <c r="AV22" t="s">
        <v>85</v>
      </c>
      <c r="AW22" s="4">
        <v>0</v>
      </c>
      <c r="AX22" s="4">
        <v>0</v>
      </c>
      <c r="AY22" s="4">
        <v>0</v>
      </c>
      <c r="AZ22" s="3">
        <v>1.68</v>
      </c>
      <c r="BA22" s="3">
        <v>2.8223999999999996</v>
      </c>
      <c r="BB22" s="3">
        <v>18.424036281179141</v>
      </c>
      <c r="BC22" t="s">
        <v>100</v>
      </c>
      <c r="BD22" t="s">
        <v>86</v>
      </c>
      <c r="BE22" s="4">
        <v>0</v>
      </c>
      <c r="BF22" t="s">
        <v>87</v>
      </c>
      <c r="BG22" s="4">
        <v>0</v>
      </c>
      <c r="BH22" s="1" t="e">
        <v>#NULL!</v>
      </c>
      <c r="BI22" t="s">
        <v>85</v>
      </c>
      <c r="BJ22" s="4">
        <v>0</v>
      </c>
      <c r="BK22" t="s">
        <v>88</v>
      </c>
    </row>
    <row r="23" spans="1:63" x14ac:dyDescent="0.35">
      <c r="A23" s="4">
        <v>34</v>
      </c>
      <c r="B23" s="4">
        <v>22</v>
      </c>
      <c r="C23" t="s">
        <v>63</v>
      </c>
      <c r="D23" t="s">
        <v>89</v>
      </c>
      <c r="E23" t="s">
        <v>104</v>
      </c>
      <c r="F23" t="s">
        <v>90</v>
      </c>
      <c r="G23" t="s">
        <v>67</v>
      </c>
      <c r="H23" s="2">
        <v>300</v>
      </c>
      <c r="I23" t="s">
        <v>68</v>
      </c>
      <c r="J23" t="s">
        <v>69</v>
      </c>
      <c r="K23" t="s">
        <v>69</v>
      </c>
      <c r="L23" t="s">
        <v>69</v>
      </c>
      <c r="M23" s="4">
        <v>3</v>
      </c>
      <c r="N23" t="s">
        <v>91</v>
      </c>
      <c r="O23" s="4">
        <v>4</v>
      </c>
      <c r="P23" t="s">
        <v>91</v>
      </c>
      <c r="Q23" s="4">
        <v>4</v>
      </c>
      <c r="R23" t="s">
        <v>91</v>
      </c>
      <c r="S23" s="4">
        <v>4</v>
      </c>
      <c r="T23" t="s">
        <v>91</v>
      </c>
      <c r="U23" t="s">
        <v>106</v>
      </c>
      <c r="V23" t="s">
        <v>93</v>
      </c>
      <c r="W23" t="s">
        <v>93</v>
      </c>
      <c r="X23" t="s">
        <v>94</v>
      </c>
      <c r="Y23" t="s">
        <v>69</v>
      </c>
      <c r="Z23" s="4">
        <v>4</v>
      </c>
      <c r="AA23" t="s">
        <v>77</v>
      </c>
      <c r="AB23" s="4">
        <v>131</v>
      </c>
      <c r="AC23" s="4">
        <v>85</v>
      </c>
      <c r="AD23" s="4">
        <v>88</v>
      </c>
      <c r="AE23" s="4">
        <v>165</v>
      </c>
      <c r="AF23" s="4">
        <v>76</v>
      </c>
      <c r="AG23" s="4">
        <v>98</v>
      </c>
      <c r="AH23" s="4">
        <v>87</v>
      </c>
      <c r="AI23" s="4">
        <v>190</v>
      </c>
      <c r="AJ23" s="4">
        <v>53</v>
      </c>
      <c r="AK23" t="s">
        <v>107</v>
      </c>
      <c r="AL23" t="s">
        <v>79</v>
      </c>
      <c r="AM23" t="s">
        <v>108</v>
      </c>
      <c r="AN23" t="s">
        <v>109</v>
      </c>
      <c r="AO23" t="s">
        <v>82</v>
      </c>
      <c r="AP23" t="s">
        <v>85</v>
      </c>
      <c r="AQ23" t="s">
        <v>85</v>
      </c>
      <c r="AR23" t="s">
        <v>85</v>
      </c>
      <c r="AS23" t="s">
        <v>84</v>
      </c>
      <c r="AT23" t="s">
        <v>85</v>
      </c>
      <c r="AU23" t="s">
        <v>85</v>
      </c>
      <c r="AV23" t="s">
        <v>85</v>
      </c>
      <c r="AW23" s="4">
        <v>2</v>
      </c>
      <c r="AX23" s="4">
        <v>1</v>
      </c>
      <c r="AY23" s="4">
        <v>1</v>
      </c>
      <c r="AZ23" s="3">
        <v>1.65</v>
      </c>
      <c r="BA23" s="3">
        <v>2.7224999999999997</v>
      </c>
      <c r="BB23" s="3">
        <v>32.323232323232325</v>
      </c>
      <c r="BC23" t="s">
        <v>110</v>
      </c>
      <c r="BD23" t="s">
        <v>99</v>
      </c>
      <c r="BE23" s="4">
        <v>2</v>
      </c>
      <c r="BF23" t="s">
        <v>87</v>
      </c>
      <c r="BG23" s="1" t="e">
        <v>#NULL!</v>
      </c>
      <c r="BH23" s="4">
        <v>0</v>
      </c>
      <c r="BI23" t="s">
        <v>85</v>
      </c>
      <c r="BJ23" s="4">
        <v>2</v>
      </c>
      <c r="BK23" t="s">
        <v>88</v>
      </c>
    </row>
    <row r="24" spans="1:63" x14ac:dyDescent="0.35">
      <c r="A24" s="4">
        <v>44</v>
      </c>
      <c r="B24" s="4">
        <v>22</v>
      </c>
      <c r="C24" t="s">
        <v>63</v>
      </c>
      <c r="D24" t="s">
        <v>89</v>
      </c>
      <c r="E24" t="s">
        <v>104</v>
      </c>
      <c r="F24" t="s">
        <v>66</v>
      </c>
      <c r="G24" t="s">
        <v>67</v>
      </c>
      <c r="H24" s="2">
        <v>800</v>
      </c>
      <c r="I24" t="s">
        <v>105</v>
      </c>
      <c r="J24" t="s">
        <v>69</v>
      </c>
      <c r="K24" t="s">
        <v>69</v>
      </c>
      <c r="L24" t="s">
        <v>69</v>
      </c>
      <c r="M24" s="4">
        <v>1</v>
      </c>
      <c r="N24" t="s">
        <v>71</v>
      </c>
      <c r="O24" s="4">
        <v>4</v>
      </c>
      <c r="P24" t="s">
        <v>91</v>
      </c>
      <c r="Q24" s="4">
        <v>3</v>
      </c>
      <c r="R24" t="s">
        <v>91</v>
      </c>
      <c r="S24" s="4">
        <v>3</v>
      </c>
      <c r="T24" t="s">
        <v>91</v>
      </c>
      <c r="U24" t="s">
        <v>92</v>
      </c>
      <c r="V24" t="s">
        <v>93</v>
      </c>
      <c r="W24" t="s">
        <v>93</v>
      </c>
      <c r="X24" t="s">
        <v>94</v>
      </c>
      <c r="Y24" t="s">
        <v>69</v>
      </c>
      <c r="Z24" s="4">
        <v>7</v>
      </c>
      <c r="AA24" t="s">
        <v>77</v>
      </c>
      <c r="AB24" s="4">
        <v>120</v>
      </c>
      <c r="AC24" s="4">
        <v>85</v>
      </c>
      <c r="AD24" s="4">
        <v>99</v>
      </c>
      <c r="AE24" s="4">
        <v>172</v>
      </c>
      <c r="AF24" s="4">
        <v>99</v>
      </c>
      <c r="AG24" s="4">
        <v>125</v>
      </c>
      <c r="AH24" s="4">
        <v>109</v>
      </c>
      <c r="AI24" s="4">
        <v>134</v>
      </c>
      <c r="AJ24" s="4">
        <v>52</v>
      </c>
      <c r="AK24" t="s">
        <v>78</v>
      </c>
      <c r="AL24" t="s">
        <v>95</v>
      </c>
      <c r="AM24" t="s">
        <v>108</v>
      </c>
      <c r="AN24" t="s">
        <v>81</v>
      </c>
      <c r="AO24" t="s">
        <v>82</v>
      </c>
      <c r="AP24" t="s">
        <v>85</v>
      </c>
      <c r="AQ24" t="s">
        <v>85</v>
      </c>
      <c r="AR24" t="s">
        <v>85</v>
      </c>
      <c r="AS24" t="s">
        <v>102</v>
      </c>
      <c r="AT24" t="s">
        <v>83</v>
      </c>
      <c r="AU24" t="s">
        <v>83</v>
      </c>
      <c r="AV24" t="s">
        <v>83</v>
      </c>
      <c r="AW24" s="4">
        <v>2</v>
      </c>
      <c r="AX24" s="4">
        <v>1</v>
      </c>
      <c r="AY24" s="4">
        <v>2</v>
      </c>
      <c r="AZ24" s="3">
        <v>1.72</v>
      </c>
      <c r="BA24" s="3">
        <v>2.9583999999999997</v>
      </c>
      <c r="BB24" s="3">
        <v>33.464034613304491</v>
      </c>
      <c r="BC24" t="s">
        <v>110</v>
      </c>
      <c r="BD24" t="s">
        <v>99</v>
      </c>
      <c r="BE24" s="4">
        <v>3</v>
      </c>
      <c r="BF24" t="s">
        <v>111</v>
      </c>
      <c r="BG24" s="1" t="e">
        <v>#NULL!</v>
      </c>
      <c r="BH24" s="4">
        <v>1</v>
      </c>
      <c r="BI24" t="s">
        <v>83</v>
      </c>
      <c r="BJ24" s="4">
        <v>3</v>
      </c>
      <c r="BK24" t="s">
        <v>112</v>
      </c>
    </row>
    <row r="25" spans="1:63" x14ac:dyDescent="0.35">
      <c r="A25" s="4">
        <v>162</v>
      </c>
      <c r="B25" s="4">
        <v>22</v>
      </c>
      <c r="C25" t="s">
        <v>63</v>
      </c>
      <c r="D25" t="s">
        <v>89</v>
      </c>
      <c r="E25" t="s">
        <v>104</v>
      </c>
      <c r="F25" t="s">
        <v>66</v>
      </c>
      <c r="G25" t="s">
        <v>67</v>
      </c>
      <c r="H25" s="2">
        <v>200</v>
      </c>
      <c r="I25" t="s">
        <v>68</v>
      </c>
      <c r="J25" t="s">
        <v>69</v>
      </c>
      <c r="K25" t="s">
        <v>69</v>
      </c>
      <c r="L25" t="s">
        <v>69</v>
      </c>
      <c r="M25" s="4">
        <v>3</v>
      </c>
      <c r="N25" t="s">
        <v>91</v>
      </c>
      <c r="O25" s="4">
        <v>4</v>
      </c>
      <c r="P25" t="s">
        <v>91</v>
      </c>
      <c r="Q25" s="4">
        <v>4</v>
      </c>
      <c r="R25" t="s">
        <v>91</v>
      </c>
      <c r="S25" s="4">
        <v>3</v>
      </c>
      <c r="T25" t="s">
        <v>91</v>
      </c>
      <c r="U25" t="s">
        <v>73</v>
      </c>
      <c r="V25" t="s">
        <v>93</v>
      </c>
      <c r="W25" t="s">
        <v>93</v>
      </c>
      <c r="X25" t="s">
        <v>94</v>
      </c>
      <c r="Y25" t="s">
        <v>69</v>
      </c>
      <c r="Z25" s="4">
        <v>4</v>
      </c>
      <c r="AA25" t="s">
        <v>77</v>
      </c>
      <c r="AB25" s="4">
        <v>106</v>
      </c>
      <c r="AC25" s="4">
        <v>59</v>
      </c>
      <c r="AD25" s="4">
        <v>72</v>
      </c>
      <c r="AE25" s="4">
        <v>165</v>
      </c>
      <c r="AF25" s="4">
        <v>95</v>
      </c>
      <c r="AG25" s="4">
        <v>114</v>
      </c>
      <c r="AH25" s="4">
        <v>91</v>
      </c>
      <c r="AI25" s="4">
        <v>54</v>
      </c>
      <c r="AJ25" s="4">
        <v>89</v>
      </c>
      <c r="AK25" t="s">
        <v>78</v>
      </c>
      <c r="AL25" t="s">
        <v>95</v>
      </c>
      <c r="AM25" t="s">
        <v>80</v>
      </c>
      <c r="AN25" t="s">
        <v>96</v>
      </c>
      <c r="AO25" t="s">
        <v>97</v>
      </c>
      <c r="AP25" t="s">
        <v>85</v>
      </c>
      <c r="AQ25" t="s">
        <v>85</v>
      </c>
      <c r="AR25" t="s">
        <v>85</v>
      </c>
      <c r="AS25" t="s">
        <v>84</v>
      </c>
      <c r="AT25" t="s">
        <v>83</v>
      </c>
      <c r="AU25" t="s">
        <v>83</v>
      </c>
      <c r="AV25" t="s">
        <v>83</v>
      </c>
      <c r="AW25" s="4">
        <v>0</v>
      </c>
      <c r="AX25" s="4">
        <v>0</v>
      </c>
      <c r="AY25" s="4">
        <v>1</v>
      </c>
      <c r="AZ25" s="3">
        <v>1.65</v>
      </c>
      <c r="BA25" s="3">
        <v>2.7224999999999997</v>
      </c>
      <c r="BB25" s="3">
        <v>26.446280991735541</v>
      </c>
      <c r="BC25" t="s">
        <v>98</v>
      </c>
      <c r="BD25" t="s">
        <v>99</v>
      </c>
      <c r="BE25" s="4">
        <v>1</v>
      </c>
      <c r="BF25" t="s">
        <v>87</v>
      </c>
      <c r="BG25" s="1" t="e">
        <v>#NULL!</v>
      </c>
      <c r="BH25" s="4">
        <v>1</v>
      </c>
      <c r="BI25" t="s">
        <v>83</v>
      </c>
      <c r="BJ25" s="4">
        <v>1</v>
      </c>
      <c r="BK25" t="s">
        <v>88</v>
      </c>
    </row>
    <row r="26" spans="1:63" x14ac:dyDescent="0.35">
      <c r="A26" s="4">
        <v>1</v>
      </c>
      <c r="B26" s="4">
        <v>23</v>
      </c>
      <c r="C26" t="s">
        <v>63</v>
      </c>
      <c r="D26" t="s">
        <v>89</v>
      </c>
      <c r="E26" t="s">
        <v>65</v>
      </c>
      <c r="F26" t="s">
        <v>90</v>
      </c>
      <c r="G26" t="s">
        <v>67</v>
      </c>
      <c r="H26" s="2">
        <v>500</v>
      </c>
      <c r="I26" t="s">
        <v>68</v>
      </c>
      <c r="J26" t="s">
        <v>69</v>
      </c>
      <c r="K26" t="s">
        <v>70</v>
      </c>
      <c r="L26" t="s">
        <v>69</v>
      </c>
      <c r="M26" s="4">
        <v>3</v>
      </c>
      <c r="N26" t="s">
        <v>91</v>
      </c>
      <c r="O26" s="4">
        <v>3</v>
      </c>
      <c r="P26" t="s">
        <v>91</v>
      </c>
      <c r="Q26" s="4">
        <v>1</v>
      </c>
      <c r="R26" t="s">
        <v>71</v>
      </c>
      <c r="S26" s="4">
        <v>1</v>
      </c>
      <c r="T26" t="s">
        <v>71</v>
      </c>
      <c r="U26" t="s">
        <v>73</v>
      </c>
      <c r="V26" t="s">
        <v>74</v>
      </c>
      <c r="W26" t="s">
        <v>93</v>
      </c>
      <c r="X26" t="s">
        <v>94</v>
      </c>
      <c r="Y26" t="s">
        <v>70</v>
      </c>
      <c r="Z26" s="4">
        <v>2</v>
      </c>
      <c r="AA26" t="s">
        <v>77</v>
      </c>
      <c r="AB26" s="4">
        <v>117</v>
      </c>
      <c r="AC26" s="4">
        <v>87</v>
      </c>
      <c r="AD26" s="4">
        <v>64</v>
      </c>
      <c r="AE26" s="4">
        <v>167</v>
      </c>
      <c r="AF26" s="4">
        <v>83</v>
      </c>
      <c r="AG26" s="4">
        <v>109</v>
      </c>
      <c r="AH26" s="4">
        <v>92</v>
      </c>
      <c r="AI26" s="4">
        <v>98</v>
      </c>
      <c r="AJ26" s="4">
        <v>33</v>
      </c>
      <c r="AK26" t="s">
        <v>78</v>
      </c>
      <c r="AL26" t="s">
        <v>95</v>
      </c>
      <c r="AM26" t="s">
        <v>108</v>
      </c>
      <c r="AN26" t="s">
        <v>81</v>
      </c>
      <c r="AO26" t="s">
        <v>82</v>
      </c>
      <c r="AP26" t="s">
        <v>83</v>
      </c>
      <c r="AQ26" t="s">
        <v>83</v>
      </c>
      <c r="AR26" t="s">
        <v>83</v>
      </c>
      <c r="AS26" t="s">
        <v>84</v>
      </c>
      <c r="AT26" t="s">
        <v>85</v>
      </c>
      <c r="AU26" t="s">
        <v>83</v>
      </c>
      <c r="AV26" t="s">
        <v>83</v>
      </c>
      <c r="AW26" s="4">
        <v>2</v>
      </c>
      <c r="AX26" s="4">
        <v>1</v>
      </c>
      <c r="AY26" s="4">
        <v>2</v>
      </c>
      <c r="AZ26" s="3">
        <v>1.67</v>
      </c>
      <c r="BA26" s="3">
        <v>2.7888999999999999</v>
      </c>
      <c r="BB26" s="3">
        <v>22.948115744558788</v>
      </c>
      <c r="BC26" t="s">
        <v>85</v>
      </c>
      <c r="BD26" t="s">
        <v>86</v>
      </c>
      <c r="BE26" s="4">
        <v>3</v>
      </c>
      <c r="BF26" t="s">
        <v>111</v>
      </c>
      <c r="BG26" s="1" t="e">
        <v>#NULL!</v>
      </c>
      <c r="BH26" s="4">
        <v>0</v>
      </c>
      <c r="BI26" t="s">
        <v>85</v>
      </c>
      <c r="BJ26" s="4">
        <v>2</v>
      </c>
      <c r="BK26" t="s">
        <v>88</v>
      </c>
    </row>
    <row r="27" spans="1:63" x14ac:dyDescent="0.35">
      <c r="A27" s="4">
        <v>56</v>
      </c>
      <c r="B27" s="4">
        <v>23</v>
      </c>
      <c r="C27" t="s">
        <v>63</v>
      </c>
      <c r="D27" t="s">
        <v>64</v>
      </c>
      <c r="E27" t="s">
        <v>65</v>
      </c>
      <c r="F27" t="s">
        <v>101</v>
      </c>
      <c r="G27" t="s">
        <v>67</v>
      </c>
      <c r="H27" s="2">
        <v>100</v>
      </c>
      <c r="I27" t="s">
        <v>68</v>
      </c>
      <c r="J27" t="s">
        <v>69</v>
      </c>
      <c r="K27" t="s">
        <v>69</v>
      </c>
      <c r="L27" t="s">
        <v>69</v>
      </c>
      <c r="M27" s="4">
        <v>2</v>
      </c>
      <c r="N27" t="s">
        <v>71</v>
      </c>
      <c r="O27" s="4">
        <v>2</v>
      </c>
      <c r="P27" t="s">
        <v>71</v>
      </c>
      <c r="Q27" s="4">
        <v>4</v>
      </c>
      <c r="R27" t="s">
        <v>91</v>
      </c>
      <c r="S27" s="4">
        <v>3</v>
      </c>
      <c r="T27" t="s">
        <v>91</v>
      </c>
      <c r="U27" t="s">
        <v>92</v>
      </c>
      <c r="V27" t="s">
        <v>74</v>
      </c>
      <c r="W27" t="s">
        <v>93</v>
      </c>
      <c r="X27" t="s">
        <v>94</v>
      </c>
      <c r="Y27" t="s">
        <v>69</v>
      </c>
      <c r="Z27" s="4">
        <v>4</v>
      </c>
      <c r="AA27" t="s">
        <v>77</v>
      </c>
      <c r="AB27" s="4">
        <v>111</v>
      </c>
      <c r="AC27" s="4">
        <v>69</v>
      </c>
      <c r="AD27" s="4">
        <v>55</v>
      </c>
      <c r="AE27" s="4">
        <v>170</v>
      </c>
      <c r="AF27" s="4">
        <v>80</v>
      </c>
      <c r="AG27" s="4">
        <v>96</v>
      </c>
      <c r="AH27" s="4">
        <v>95</v>
      </c>
      <c r="AI27" s="4">
        <v>97</v>
      </c>
      <c r="AJ27" s="4">
        <v>40</v>
      </c>
      <c r="AK27" t="s">
        <v>78</v>
      </c>
      <c r="AL27" t="s">
        <v>95</v>
      </c>
      <c r="AM27" t="s">
        <v>80</v>
      </c>
      <c r="AN27" t="s">
        <v>96</v>
      </c>
      <c r="AO27" t="s">
        <v>97</v>
      </c>
      <c r="AP27" t="s">
        <v>83</v>
      </c>
      <c r="AQ27" t="s">
        <v>85</v>
      </c>
      <c r="AR27" t="s">
        <v>85</v>
      </c>
      <c r="AS27" t="s">
        <v>84</v>
      </c>
      <c r="AT27" t="s">
        <v>85</v>
      </c>
      <c r="AU27" t="s">
        <v>83</v>
      </c>
      <c r="AV27" t="s">
        <v>85</v>
      </c>
      <c r="AW27" s="4">
        <v>0</v>
      </c>
      <c r="AX27" s="4">
        <v>0</v>
      </c>
      <c r="AY27" s="4">
        <v>0</v>
      </c>
      <c r="AZ27" s="3">
        <v>1.7</v>
      </c>
      <c r="BA27" s="3">
        <v>2.8899999999999997</v>
      </c>
      <c r="BB27" s="3">
        <v>19.031141868512112</v>
      </c>
      <c r="BC27" t="s">
        <v>85</v>
      </c>
      <c r="BD27" t="s">
        <v>86</v>
      </c>
      <c r="BE27" s="4">
        <v>0</v>
      </c>
      <c r="BF27" t="s">
        <v>87</v>
      </c>
      <c r="BG27" s="4">
        <v>0</v>
      </c>
      <c r="BH27" s="1" t="e">
        <v>#NULL!</v>
      </c>
      <c r="BI27" t="s">
        <v>85</v>
      </c>
      <c r="BJ27" s="4">
        <v>0</v>
      </c>
      <c r="BK27" t="s">
        <v>88</v>
      </c>
    </row>
    <row r="28" spans="1:63" x14ac:dyDescent="0.35">
      <c r="A28" s="4">
        <v>80</v>
      </c>
      <c r="B28" s="4">
        <v>23</v>
      </c>
      <c r="C28" t="s">
        <v>63</v>
      </c>
      <c r="D28" t="s">
        <v>89</v>
      </c>
      <c r="E28" t="s">
        <v>65</v>
      </c>
      <c r="F28" t="s">
        <v>101</v>
      </c>
      <c r="G28" t="s">
        <v>67</v>
      </c>
      <c r="H28" s="2">
        <v>100</v>
      </c>
      <c r="I28" t="s">
        <v>68</v>
      </c>
      <c r="J28" t="s">
        <v>69</v>
      </c>
      <c r="K28" t="s">
        <v>69</v>
      </c>
      <c r="L28" t="s">
        <v>69</v>
      </c>
      <c r="M28" s="4">
        <v>4</v>
      </c>
      <c r="N28" t="s">
        <v>91</v>
      </c>
      <c r="O28" s="4">
        <v>4</v>
      </c>
      <c r="P28" t="s">
        <v>91</v>
      </c>
      <c r="Q28" s="4">
        <v>1</v>
      </c>
      <c r="R28" t="s">
        <v>71</v>
      </c>
      <c r="S28" s="4">
        <v>1</v>
      </c>
      <c r="T28" t="s">
        <v>71</v>
      </c>
      <c r="U28" t="s">
        <v>92</v>
      </c>
      <c r="V28" t="s">
        <v>93</v>
      </c>
      <c r="W28" t="s">
        <v>93</v>
      </c>
      <c r="X28" t="s">
        <v>94</v>
      </c>
      <c r="Y28" t="s">
        <v>69</v>
      </c>
      <c r="Z28" s="4">
        <v>4</v>
      </c>
      <c r="AA28" t="s">
        <v>77</v>
      </c>
      <c r="AB28" s="4">
        <v>118</v>
      </c>
      <c r="AC28" s="4">
        <v>78</v>
      </c>
      <c r="AD28" s="4">
        <v>65</v>
      </c>
      <c r="AE28" s="4">
        <v>162</v>
      </c>
      <c r="AF28" s="4">
        <v>76</v>
      </c>
      <c r="AG28" s="4">
        <v>92</v>
      </c>
      <c r="AH28" s="4">
        <v>89</v>
      </c>
      <c r="AI28" s="4">
        <v>112</v>
      </c>
      <c r="AJ28" s="4">
        <v>51</v>
      </c>
      <c r="AK28" t="s">
        <v>78</v>
      </c>
      <c r="AL28" t="s">
        <v>95</v>
      </c>
      <c r="AM28" t="s">
        <v>80</v>
      </c>
      <c r="AN28" t="s">
        <v>96</v>
      </c>
      <c r="AO28" t="s">
        <v>97</v>
      </c>
      <c r="AP28" t="s">
        <v>85</v>
      </c>
      <c r="AQ28" t="s">
        <v>85</v>
      </c>
      <c r="AR28" t="s">
        <v>85</v>
      </c>
      <c r="AS28" t="s">
        <v>84</v>
      </c>
      <c r="AT28" t="s">
        <v>85</v>
      </c>
      <c r="AU28" t="s">
        <v>85</v>
      </c>
      <c r="AV28" t="s">
        <v>85</v>
      </c>
      <c r="AW28" s="4">
        <v>0</v>
      </c>
      <c r="AX28" s="4">
        <v>0</v>
      </c>
      <c r="AY28" s="4">
        <v>0</v>
      </c>
      <c r="AZ28" s="3">
        <v>1.62</v>
      </c>
      <c r="BA28" s="3">
        <v>2.6244000000000005</v>
      </c>
      <c r="BB28" s="3">
        <v>24.767565919829291</v>
      </c>
      <c r="BC28" t="s">
        <v>85</v>
      </c>
      <c r="BD28" t="s">
        <v>86</v>
      </c>
      <c r="BE28" s="4">
        <v>0</v>
      </c>
      <c r="BF28" t="s">
        <v>87</v>
      </c>
      <c r="BG28" s="1" t="e">
        <v>#NULL!</v>
      </c>
      <c r="BH28" s="4">
        <v>0</v>
      </c>
      <c r="BI28" t="s">
        <v>85</v>
      </c>
      <c r="BJ28" s="4">
        <v>0</v>
      </c>
      <c r="BK28" t="s">
        <v>88</v>
      </c>
    </row>
    <row r="29" spans="1:63" x14ac:dyDescent="0.35">
      <c r="A29" s="4">
        <v>380</v>
      </c>
      <c r="B29" s="4">
        <v>23</v>
      </c>
      <c r="C29" t="s">
        <v>63</v>
      </c>
      <c r="D29" t="s">
        <v>89</v>
      </c>
      <c r="E29" t="s">
        <v>65</v>
      </c>
      <c r="F29" t="s">
        <v>90</v>
      </c>
      <c r="G29" t="s">
        <v>67</v>
      </c>
      <c r="H29" s="2">
        <v>400</v>
      </c>
      <c r="I29" t="s">
        <v>68</v>
      </c>
      <c r="J29" t="s">
        <v>69</v>
      </c>
      <c r="K29" t="s">
        <v>69</v>
      </c>
      <c r="L29" t="s">
        <v>69</v>
      </c>
      <c r="M29" s="4">
        <v>4</v>
      </c>
      <c r="N29" t="s">
        <v>91</v>
      </c>
      <c r="O29" s="4">
        <v>4</v>
      </c>
      <c r="P29" t="s">
        <v>91</v>
      </c>
      <c r="Q29" s="4">
        <v>3</v>
      </c>
      <c r="R29" t="s">
        <v>91</v>
      </c>
      <c r="S29" s="4">
        <v>2</v>
      </c>
      <c r="T29" t="s">
        <v>71</v>
      </c>
      <c r="U29" t="s">
        <v>73</v>
      </c>
      <c r="V29" t="s">
        <v>93</v>
      </c>
      <c r="W29" t="s">
        <v>75</v>
      </c>
      <c r="X29" t="s">
        <v>76</v>
      </c>
      <c r="Y29" t="s">
        <v>69</v>
      </c>
      <c r="Z29" s="4">
        <v>2</v>
      </c>
      <c r="AA29" t="s">
        <v>77</v>
      </c>
      <c r="AB29" s="4">
        <v>122</v>
      </c>
      <c r="AC29" s="4">
        <v>66</v>
      </c>
      <c r="AD29" s="4">
        <v>75</v>
      </c>
      <c r="AE29" s="4">
        <v>172</v>
      </c>
      <c r="AF29" s="4">
        <v>77</v>
      </c>
      <c r="AG29" s="4">
        <v>100</v>
      </c>
      <c r="AH29" s="4">
        <v>97</v>
      </c>
      <c r="AI29" s="4">
        <v>55</v>
      </c>
      <c r="AJ29" s="4">
        <v>63</v>
      </c>
      <c r="AK29" t="s">
        <v>78</v>
      </c>
      <c r="AL29" t="s">
        <v>95</v>
      </c>
      <c r="AM29" t="s">
        <v>80</v>
      </c>
      <c r="AN29" t="s">
        <v>96</v>
      </c>
      <c r="AO29" t="s">
        <v>97</v>
      </c>
      <c r="AP29" t="s">
        <v>85</v>
      </c>
      <c r="AQ29" t="s">
        <v>85</v>
      </c>
      <c r="AR29" t="s">
        <v>85</v>
      </c>
      <c r="AS29" t="s">
        <v>84</v>
      </c>
      <c r="AT29" t="s">
        <v>85</v>
      </c>
      <c r="AU29" t="s">
        <v>85</v>
      </c>
      <c r="AV29" t="s">
        <v>85</v>
      </c>
      <c r="AW29" s="4">
        <v>0</v>
      </c>
      <c r="AX29" s="4">
        <v>0</v>
      </c>
      <c r="AY29" s="4">
        <v>0</v>
      </c>
      <c r="AZ29" s="3">
        <v>1.72</v>
      </c>
      <c r="BA29" s="3">
        <v>2.9583999999999997</v>
      </c>
      <c r="BB29" s="3">
        <v>25.351541373715524</v>
      </c>
      <c r="BC29" t="s">
        <v>98</v>
      </c>
      <c r="BD29" t="s">
        <v>99</v>
      </c>
      <c r="BE29" s="4">
        <v>0</v>
      </c>
      <c r="BF29" t="s">
        <v>87</v>
      </c>
      <c r="BG29" s="1" t="e">
        <v>#NULL!</v>
      </c>
      <c r="BH29" s="4">
        <v>0</v>
      </c>
      <c r="BI29" t="s">
        <v>85</v>
      </c>
      <c r="BJ29" s="4">
        <v>0</v>
      </c>
      <c r="BK29" t="s">
        <v>88</v>
      </c>
    </row>
    <row r="30" spans="1:63" x14ac:dyDescent="0.35">
      <c r="A30" s="4">
        <v>14</v>
      </c>
      <c r="B30" s="4">
        <v>23</v>
      </c>
      <c r="C30" t="s">
        <v>63</v>
      </c>
      <c r="D30" t="s">
        <v>89</v>
      </c>
      <c r="E30" t="s">
        <v>104</v>
      </c>
      <c r="F30" t="s">
        <v>90</v>
      </c>
      <c r="G30" t="s">
        <v>67</v>
      </c>
      <c r="H30" s="2">
        <v>200</v>
      </c>
      <c r="I30" t="s">
        <v>68</v>
      </c>
      <c r="J30" t="s">
        <v>69</v>
      </c>
      <c r="K30" t="s">
        <v>69</v>
      </c>
      <c r="L30" t="s">
        <v>69</v>
      </c>
      <c r="M30" s="4">
        <v>3</v>
      </c>
      <c r="N30" t="s">
        <v>91</v>
      </c>
      <c r="O30" s="4">
        <v>3</v>
      </c>
      <c r="P30" t="s">
        <v>91</v>
      </c>
      <c r="Q30" s="4">
        <v>3</v>
      </c>
      <c r="R30" t="s">
        <v>91</v>
      </c>
      <c r="S30" s="4">
        <v>3</v>
      </c>
      <c r="T30" t="s">
        <v>91</v>
      </c>
      <c r="U30" t="s">
        <v>73</v>
      </c>
      <c r="V30" t="s">
        <v>93</v>
      </c>
      <c r="W30" t="s">
        <v>93</v>
      </c>
      <c r="X30" t="s">
        <v>94</v>
      </c>
      <c r="Y30" t="s">
        <v>69</v>
      </c>
      <c r="Z30" s="4">
        <v>3</v>
      </c>
      <c r="AA30" t="s">
        <v>77</v>
      </c>
      <c r="AB30" s="4">
        <v>120</v>
      </c>
      <c r="AC30" s="4">
        <v>76</v>
      </c>
      <c r="AD30" s="4">
        <v>54</v>
      </c>
      <c r="AE30" s="4">
        <v>151</v>
      </c>
      <c r="AF30" s="4">
        <v>78</v>
      </c>
      <c r="AG30" s="4">
        <v>99</v>
      </c>
      <c r="AH30" s="4">
        <v>99</v>
      </c>
      <c r="AI30" s="4">
        <v>119</v>
      </c>
      <c r="AJ30" s="4">
        <v>51</v>
      </c>
      <c r="AK30" t="s">
        <v>78</v>
      </c>
      <c r="AL30" t="s">
        <v>95</v>
      </c>
      <c r="AM30" t="s">
        <v>80</v>
      </c>
      <c r="AN30" t="s">
        <v>96</v>
      </c>
      <c r="AO30" t="s">
        <v>97</v>
      </c>
      <c r="AP30" t="s">
        <v>85</v>
      </c>
      <c r="AQ30" t="s">
        <v>85</v>
      </c>
      <c r="AR30" t="s">
        <v>85</v>
      </c>
      <c r="AS30" t="s">
        <v>84</v>
      </c>
      <c r="AT30" t="s">
        <v>85</v>
      </c>
      <c r="AU30" t="s">
        <v>85</v>
      </c>
      <c r="AV30" t="s">
        <v>85</v>
      </c>
      <c r="AW30" s="4">
        <v>0</v>
      </c>
      <c r="AX30" s="4">
        <v>0</v>
      </c>
      <c r="AY30" s="4">
        <v>0</v>
      </c>
      <c r="AZ30" s="3">
        <v>1.51</v>
      </c>
      <c r="BA30" s="3">
        <v>2.2801</v>
      </c>
      <c r="BB30" s="3">
        <v>23.683171790710933</v>
      </c>
      <c r="BC30" t="s">
        <v>85</v>
      </c>
      <c r="BD30" t="s">
        <v>86</v>
      </c>
      <c r="BE30" s="4">
        <v>0</v>
      </c>
      <c r="BF30" t="s">
        <v>87</v>
      </c>
      <c r="BG30" s="1" t="e">
        <v>#NULL!</v>
      </c>
      <c r="BH30" s="4">
        <v>0</v>
      </c>
      <c r="BI30" t="s">
        <v>85</v>
      </c>
      <c r="BJ30" s="4">
        <v>0</v>
      </c>
      <c r="BK30" t="s">
        <v>88</v>
      </c>
    </row>
    <row r="31" spans="1:63" x14ac:dyDescent="0.35">
      <c r="A31" s="4">
        <v>315</v>
      </c>
      <c r="B31" s="4">
        <v>23</v>
      </c>
      <c r="C31" t="s">
        <v>63</v>
      </c>
      <c r="D31" t="s">
        <v>89</v>
      </c>
      <c r="E31" t="s">
        <v>65</v>
      </c>
      <c r="F31" t="s">
        <v>66</v>
      </c>
      <c r="G31" t="s">
        <v>67</v>
      </c>
      <c r="H31" s="2">
        <v>200</v>
      </c>
      <c r="I31" t="s">
        <v>68</v>
      </c>
      <c r="J31" t="s">
        <v>69</v>
      </c>
      <c r="K31" t="s">
        <v>69</v>
      </c>
      <c r="L31" t="s">
        <v>69</v>
      </c>
      <c r="M31" s="4">
        <v>3</v>
      </c>
      <c r="N31" t="s">
        <v>91</v>
      </c>
      <c r="O31" s="4">
        <v>4</v>
      </c>
      <c r="P31" t="s">
        <v>91</v>
      </c>
      <c r="Q31" s="4">
        <v>4</v>
      </c>
      <c r="R31" t="s">
        <v>91</v>
      </c>
      <c r="S31" s="4">
        <v>3</v>
      </c>
      <c r="T31" t="s">
        <v>91</v>
      </c>
      <c r="U31" t="s">
        <v>73</v>
      </c>
      <c r="V31" t="s">
        <v>93</v>
      </c>
      <c r="W31" t="s">
        <v>93</v>
      </c>
      <c r="X31" t="s">
        <v>94</v>
      </c>
      <c r="Y31" t="s">
        <v>69</v>
      </c>
      <c r="Z31" s="4">
        <v>4</v>
      </c>
      <c r="AA31" t="s">
        <v>77</v>
      </c>
      <c r="AB31" s="4">
        <v>106</v>
      </c>
      <c r="AC31" s="4">
        <v>59</v>
      </c>
      <c r="AD31" s="4">
        <v>72</v>
      </c>
      <c r="AE31" s="4">
        <v>165</v>
      </c>
      <c r="AF31" s="4">
        <v>95</v>
      </c>
      <c r="AG31" s="4">
        <v>114</v>
      </c>
      <c r="AH31" s="4">
        <v>91</v>
      </c>
      <c r="AI31" s="4">
        <v>54</v>
      </c>
      <c r="AJ31" s="4">
        <v>92</v>
      </c>
      <c r="AK31" t="s">
        <v>78</v>
      </c>
      <c r="AL31" t="s">
        <v>95</v>
      </c>
      <c r="AM31" t="s">
        <v>80</v>
      </c>
      <c r="AN31" t="s">
        <v>96</v>
      </c>
      <c r="AO31" t="s">
        <v>97</v>
      </c>
      <c r="AP31" t="s">
        <v>85</v>
      </c>
      <c r="AQ31" t="s">
        <v>85</v>
      </c>
      <c r="AR31" t="s">
        <v>85</v>
      </c>
      <c r="AS31" t="s">
        <v>84</v>
      </c>
      <c r="AT31" t="s">
        <v>83</v>
      </c>
      <c r="AU31" t="s">
        <v>83</v>
      </c>
      <c r="AV31" t="s">
        <v>83</v>
      </c>
      <c r="AW31" s="4">
        <v>0</v>
      </c>
      <c r="AX31" s="4">
        <v>0</v>
      </c>
      <c r="AY31" s="4">
        <v>1</v>
      </c>
      <c r="AZ31" s="3">
        <v>1.65</v>
      </c>
      <c r="BA31" s="3">
        <v>2.7224999999999997</v>
      </c>
      <c r="BB31" s="3">
        <v>26.446280991735541</v>
      </c>
      <c r="BC31" t="s">
        <v>98</v>
      </c>
      <c r="BD31" t="s">
        <v>99</v>
      </c>
      <c r="BE31" s="4">
        <v>1</v>
      </c>
      <c r="BF31" t="s">
        <v>87</v>
      </c>
      <c r="BG31" s="1" t="e">
        <v>#NULL!</v>
      </c>
      <c r="BH31" s="4">
        <v>1</v>
      </c>
      <c r="BI31" t="s">
        <v>83</v>
      </c>
      <c r="BJ31" s="4">
        <v>1</v>
      </c>
      <c r="BK31" t="s">
        <v>88</v>
      </c>
    </row>
    <row r="32" spans="1:63" x14ac:dyDescent="0.35">
      <c r="A32" s="4">
        <v>327</v>
      </c>
      <c r="B32" s="4">
        <v>23</v>
      </c>
      <c r="C32" t="s">
        <v>63</v>
      </c>
      <c r="D32" t="s">
        <v>64</v>
      </c>
      <c r="E32" t="s">
        <v>104</v>
      </c>
      <c r="F32" t="s">
        <v>90</v>
      </c>
      <c r="G32" t="s">
        <v>67</v>
      </c>
      <c r="H32" s="2">
        <v>650</v>
      </c>
      <c r="I32" t="s">
        <v>105</v>
      </c>
      <c r="J32" t="s">
        <v>69</v>
      </c>
      <c r="K32" t="s">
        <v>69</v>
      </c>
      <c r="L32" t="s">
        <v>69</v>
      </c>
      <c r="M32" s="4">
        <v>2</v>
      </c>
      <c r="N32" t="s">
        <v>71</v>
      </c>
      <c r="O32" s="4">
        <v>2</v>
      </c>
      <c r="P32" t="s">
        <v>71</v>
      </c>
      <c r="Q32" s="4">
        <v>3</v>
      </c>
      <c r="R32" t="s">
        <v>91</v>
      </c>
      <c r="S32" s="4">
        <v>1</v>
      </c>
      <c r="T32" t="s">
        <v>71</v>
      </c>
      <c r="U32" t="s">
        <v>103</v>
      </c>
      <c r="V32" t="s">
        <v>75</v>
      </c>
      <c r="W32" t="s">
        <v>75</v>
      </c>
      <c r="X32" t="s">
        <v>76</v>
      </c>
      <c r="Y32" t="s">
        <v>70</v>
      </c>
      <c r="Z32" s="4">
        <v>2</v>
      </c>
      <c r="AA32" t="s">
        <v>77</v>
      </c>
      <c r="AB32" s="4">
        <v>137</v>
      </c>
      <c r="AC32" s="4">
        <v>81</v>
      </c>
      <c r="AD32" s="4">
        <v>49</v>
      </c>
      <c r="AE32" s="4">
        <v>173</v>
      </c>
      <c r="AF32" s="4">
        <v>72</v>
      </c>
      <c r="AG32" s="4">
        <v>96</v>
      </c>
      <c r="AH32" s="4">
        <v>83</v>
      </c>
      <c r="AI32" s="4">
        <v>60</v>
      </c>
      <c r="AJ32" s="4">
        <v>41</v>
      </c>
      <c r="AK32" t="s">
        <v>78</v>
      </c>
      <c r="AL32" t="s">
        <v>79</v>
      </c>
      <c r="AM32" t="s">
        <v>80</v>
      </c>
      <c r="AN32" t="s">
        <v>81</v>
      </c>
      <c r="AO32" t="s">
        <v>82</v>
      </c>
      <c r="AP32" t="s">
        <v>83</v>
      </c>
      <c r="AQ32" t="s">
        <v>85</v>
      </c>
      <c r="AR32" t="s">
        <v>85</v>
      </c>
      <c r="AS32" t="s">
        <v>84</v>
      </c>
      <c r="AT32" t="s">
        <v>85</v>
      </c>
      <c r="AU32" t="s">
        <v>85</v>
      </c>
      <c r="AV32" t="s">
        <v>85</v>
      </c>
      <c r="AW32" s="4">
        <v>1</v>
      </c>
      <c r="AX32" s="4">
        <v>0</v>
      </c>
      <c r="AY32" s="4">
        <v>0</v>
      </c>
      <c r="AZ32" s="3">
        <v>1.73</v>
      </c>
      <c r="BA32" s="3">
        <v>2.9929000000000001</v>
      </c>
      <c r="BB32" s="3">
        <v>16.372080590731397</v>
      </c>
      <c r="BC32" t="s">
        <v>100</v>
      </c>
      <c r="BD32" t="s">
        <v>86</v>
      </c>
      <c r="BE32" s="4">
        <v>1</v>
      </c>
      <c r="BF32" t="s">
        <v>87</v>
      </c>
      <c r="BG32" s="4">
        <v>0</v>
      </c>
      <c r="BH32" s="1" t="e">
        <v>#NULL!</v>
      </c>
      <c r="BI32" t="s">
        <v>85</v>
      </c>
      <c r="BJ32" s="4">
        <v>1</v>
      </c>
      <c r="BK32" t="s">
        <v>88</v>
      </c>
    </row>
    <row r="33" spans="1:63" x14ac:dyDescent="0.35">
      <c r="A33" s="4">
        <v>352</v>
      </c>
      <c r="B33" s="4">
        <v>23</v>
      </c>
      <c r="C33" t="s">
        <v>63</v>
      </c>
      <c r="D33" t="s">
        <v>89</v>
      </c>
      <c r="E33" t="s">
        <v>104</v>
      </c>
      <c r="F33" t="s">
        <v>90</v>
      </c>
      <c r="G33" t="s">
        <v>67</v>
      </c>
      <c r="H33" s="2">
        <v>300</v>
      </c>
      <c r="I33" t="s">
        <v>68</v>
      </c>
      <c r="J33" t="s">
        <v>69</v>
      </c>
      <c r="K33" t="s">
        <v>69</v>
      </c>
      <c r="L33" t="s">
        <v>69</v>
      </c>
      <c r="M33" s="4">
        <v>3</v>
      </c>
      <c r="N33" t="s">
        <v>91</v>
      </c>
      <c r="O33" s="4">
        <v>4</v>
      </c>
      <c r="P33" t="s">
        <v>91</v>
      </c>
      <c r="Q33" s="4">
        <v>4</v>
      </c>
      <c r="R33" t="s">
        <v>91</v>
      </c>
      <c r="S33" s="4">
        <v>4</v>
      </c>
      <c r="T33" t="s">
        <v>91</v>
      </c>
      <c r="U33" t="s">
        <v>106</v>
      </c>
      <c r="V33" t="s">
        <v>93</v>
      </c>
      <c r="W33" t="s">
        <v>93</v>
      </c>
      <c r="X33" t="s">
        <v>94</v>
      </c>
      <c r="Y33" t="s">
        <v>69</v>
      </c>
      <c r="Z33" s="4">
        <v>4</v>
      </c>
      <c r="AA33" t="s">
        <v>77</v>
      </c>
      <c r="AB33" s="4">
        <v>131</v>
      </c>
      <c r="AC33" s="4">
        <v>85</v>
      </c>
      <c r="AD33" s="4">
        <v>88</v>
      </c>
      <c r="AE33" s="4">
        <v>165</v>
      </c>
      <c r="AF33" s="4">
        <v>76</v>
      </c>
      <c r="AG33" s="4">
        <v>98</v>
      </c>
      <c r="AH33" s="4">
        <v>87</v>
      </c>
      <c r="AI33" s="4">
        <v>190</v>
      </c>
      <c r="AJ33" s="4">
        <v>53</v>
      </c>
      <c r="AK33" t="s">
        <v>107</v>
      </c>
      <c r="AL33" t="s">
        <v>79</v>
      </c>
      <c r="AM33" t="s">
        <v>108</v>
      </c>
      <c r="AN33" t="s">
        <v>109</v>
      </c>
      <c r="AO33" t="s">
        <v>82</v>
      </c>
      <c r="AP33" t="s">
        <v>85</v>
      </c>
      <c r="AQ33" t="s">
        <v>85</v>
      </c>
      <c r="AR33" t="s">
        <v>85</v>
      </c>
      <c r="AS33" t="s">
        <v>84</v>
      </c>
      <c r="AT33" t="s">
        <v>85</v>
      </c>
      <c r="AU33" t="s">
        <v>85</v>
      </c>
      <c r="AV33" t="s">
        <v>85</v>
      </c>
      <c r="AW33" s="4">
        <v>2</v>
      </c>
      <c r="AX33" s="4">
        <v>1</v>
      </c>
      <c r="AY33" s="4">
        <v>1</v>
      </c>
      <c r="AZ33" s="3">
        <v>1.65</v>
      </c>
      <c r="BA33" s="3">
        <v>2.7224999999999997</v>
      </c>
      <c r="BB33" s="3">
        <v>32.323232323232325</v>
      </c>
      <c r="BC33" t="s">
        <v>110</v>
      </c>
      <c r="BD33" t="s">
        <v>99</v>
      </c>
      <c r="BE33" s="4">
        <v>2</v>
      </c>
      <c r="BF33" t="s">
        <v>87</v>
      </c>
      <c r="BG33" s="1" t="e">
        <v>#NULL!</v>
      </c>
      <c r="BH33" s="4">
        <v>0</v>
      </c>
      <c r="BI33" t="s">
        <v>85</v>
      </c>
      <c r="BJ33" s="4">
        <v>2</v>
      </c>
      <c r="BK33" t="s">
        <v>88</v>
      </c>
    </row>
    <row r="34" spans="1:63" x14ac:dyDescent="0.35">
      <c r="A34" s="4">
        <v>353</v>
      </c>
      <c r="B34" s="4">
        <v>23</v>
      </c>
      <c r="C34" t="s">
        <v>63</v>
      </c>
      <c r="D34" t="s">
        <v>89</v>
      </c>
      <c r="E34" t="s">
        <v>65</v>
      </c>
      <c r="F34" t="s">
        <v>66</v>
      </c>
      <c r="G34" t="s">
        <v>67</v>
      </c>
      <c r="H34" s="2">
        <v>800</v>
      </c>
      <c r="I34" t="s">
        <v>105</v>
      </c>
      <c r="J34" t="s">
        <v>69</v>
      </c>
      <c r="K34" t="s">
        <v>69</v>
      </c>
      <c r="L34" t="s">
        <v>69</v>
      </c>
      <c r="M34" s="4">
        <v>1</v>
      </c>
      <c r="N34" t="s">
        <v>71</v>
      </c>
      <c r="O34" s="4">
        <v>4</v>
      </c>
      <c r="P34" t="s">
        <v>91</v>
      </c>
      <c r="Q34" s="4">
        <v>3</v>
      </c>
      <c r="R34" t="s">
        <v>91</v>
      </c>
      <c r="S34" s="4">
        <v>1</v>
      </c>
      <c r="T34" t="s">
        <v>71</v>
      </c>
      <c r="U34" t="s">
        <v>92</v>
      </c>
      <c r="V34" t="s">
        <v>93</v>
      </c>
      <c r="W34" t="s">
        <v>93</v>
      </c>
      <c r="X34" t="s">
        <v>94</v>
      </c>
      <c r="Y34" t="s">
        <v>69</v>
      </c>
      <c r="Z34" s="4">
        <v>7</v>
      </c>
      <c r="AA34" t="s">
        <v>77</v>
      </c>
      <c r="AB34" s="4">
        <v>120</v>
      </c>
      <c r="AC34" s="4">
        <v>85</v>
      </c>
      <c r="AD34" s="4">
        <v>99</v>
      </c>
      <c r="AE34" s="4">
        <v>172</v>
      </c>
      <c r="AF34" s="4">
        <v>99</v>
      </c>
      <c r="AG34" s="4">
        <v>125</v>
      </c>
      <c r="AH34" s="4">
        <v>109</v>
      </c>
      <c r="AI34" s="4">
        <v>134</v>
      </c>
      <c r="AJ34" s="4">
        <v>52</v>
      </c>
      <c r="AK34" t="s">
        <v>78</v>
      </c>
      <c r="AL34" t="s">
        <v>95</v>
      </c>
      <c r="AM34" t="s">
        <v>108</v>
      </c>
      <c r="AN34" t="s">
        <v>81</v>
      </c>
      <c r="AO34" t="s">
        <v>82</v>
      </c>
      <c r="AP34" t="s">
        <v>85</v>
      </c>
      <c r="AQ34" t="s">
        <v>85</v>
      </c>
      <c r="AR34" t="s">
        <v>85</v>
      </c>
      <c r="AS34" t="s">
        <v>102</v>
      </c>
      <c r="AT34" t="s">
        <v>83</v>
      </c>
      <c r="AU34" t="s">
        <v>83</v>
      </c>
      <c r="AV34" t="s">
        <v>83</v>
      </c>
      <c r="AW34" s="4">
        <v>2</v>
      </c>
      <c r="AX34" s="4">
        <v>1</v>
      </c>
      <c r="AY34" s="4">
        <v>2</v>
      </c>
      <c r="AZ34" s="3">
        <v>1.72</v>
      </c>
      <c r="BA34" s="3">
        <v>2.9583999999999997</v>
      </c>
      <c r="BB34" s="3">
        <v>33.464034613304491</v>
      </c>
      <c r="BC34" t="s">
        <v>110</v>
      </c>
      <c r="BD34" t="s">
        <v>99</v>
      </c>
      <c r="BE34" s="4">
        <v>3</v>
      </c>
      <c r="BF34" t="s">
        <v>111</v>
      </c>
      <c r="BG34" s="1" t="e">
        <v>#NULL!</v>
      </c>
      <c r="BH34" s="4">
        <v>1</v>
      </c>
      <c r="BI34" t="s">
        <v>83</v>
      </c>
      <c r="BJ34" s="4">
        <v>3</v>
      </c>
      <c r="BK34" t="s">
        <v>112</v>
      </c>
    </row>
    <row r="35" spans="1:63" x14ac:dyDescent="0.35">
      <c r="A35" s="4">
        <v>10</v>
      </c>
      <c r="B35" s="4">
        <v>24</v>
      </c>
      <c r="C35" t="s">
        <v>63</v>
      </c>
      <c r="D35" t="s">
        <v>89</v>
      </c>
      <c r="E35" t="s">
        <v>65</v>
      </c>
      <c r="F35" t="s">
        <v>90</v>
      </c>
      <c r="G35" t="s">
        <v>67</v>
      </c>
      <c r="H35" s="2">
        <v>100</v>
      </c>
      <c r="I35" t="s">
        <v>68</v>
      </c>
      <c r="J35" t="s">
        <v>69</v>
      </c>
      <c r="K35" t="s">
        <v>70</v>
      </c>
      <c r="L35" t="s">
        <v>69</v>
      </c>
      <c r="M35" s="4">
        <v>2</v>
      </c>
      <c r="N35" t="s">
        <v>71</v>
      </c>
      <c r="O35" s="4">
        <v>3</v>
      </c>
      <c r="P35" t="s">
        <v>91</v>
      </c>
      <c r="Q35" s="4">
        <v>5</v>
      </c>
      <c r="R35" t="s">
        <v>72</v>
      </c>
      <c r="S35" s="4">
        <v>3</v>
      </c>
      <c r="T35" t="s">
        <v>91</v>
      </c>
      <c r="U35" t="s">
        <v>103</v>
      </c>
      <c r="V35" t="s">
        <v>93</v>
      </c>
      <c r="W35" t="s">
        <v>93</v>
      </c>
      <c r="X35" t="s">
        <v>94</v>
      </c>
      <c r="Y35" t="s">
        <v>69</v>
      </c>
      <c r="Z35" s="4">
        <v>4</v>
      </c>
      <c r="AA35" t="s">
        <v>77</v>
      </c>
      <c r="AB35" s="4">
        <v>126</v>
      </c>
      <c r="AC35" s="4">
        <v>66</v>
      </c>
      <c r="AD35" s="4">
        <v>65</v>
      </c>
      <c r="AE35" s="4">
        <v>156</v>
      </c>
      <c r="AF35" s="4">
        <v>96</v>
      </c>
      <c r="AG35" s="4">
        <v>109</v>
      </c>
      <c r="AH35" s="4">
        <v>103</v>
      </c>
      <c r="AI35" s="4">
        <v>96</v>
      </c>
      <c r="AJ35" s="4">
        <v>40</v>
      </c>
      <c r="AK35" t="s">
        <v>78</v>
      </c>
      <c r="AL35" t="s">
        <v>95</v>
      </c>
      <c r="AM35" t="s">
        <v>80</v>
      </c>
      <c r="AN35" t="s">
        <v>96</v>
      </c>
      <c r="AO35" t="s">
        <v>97</v>
      </c>
      <c r="AP35" t="s">
        <v>83</v>
      </c>
      <c r="AQ35" t="s">
        <v>85</v>
      </c>
      <c r="AR35" t="s">
        <v>83</v>
      </c>
      <c r="AS35" t="s">
        <v>102</v>
      </c>
      <c r="AT35" t="s">
        <v>83</v>
      </c>
      <c r="AU35" t="s">
        <v>83</v>
      </c>
      <c r="AV35" t="s">
        <v>83</v>
      </c>
      <c r="AW35" s="4">
        <v>2</v>
      </c>
      <c r="AX35" s="4">
        <v>1</v>
      </c>
      <c r="AY35" s="4">
        <v>2</v>
      </c>
      <c r="AZ35" s="3">
        <v>1.56</v>
      </c>
      <c r="BA35" s="3">
        <v>2.4336000000000002</v>
      </c>
      <c r="BB35" s="3">
        <v>26.709401709401707</v>
      </c>
      <c r="BC35" t="s">
        <v>98</v>
      </c>
      <c r="BD35" t="s">
        <v>99</v>
      </c>
      <c r="BE35" s="4">
        <v>3</v>
      </c>
      <c r="BF35" t="s">
        <v>111</v>
      </c>
      <c r="BG35" s="1" t="e">
        <v>#NULL!</v>
      </c>
      <c r="BH35" s="4">
        <v>1</v>
      </c>
      <c r="BI35" t="s">
        <v>83</v>
      </c>
      <c r="BJ35" s="4">
        <v>3</v>
      </c>
      <c r="BK35" t="s">
        <v>112</v>
      </c>
    </row>
    <row r="36" spans="1:63" x14ac:dyDescent="0.35">
      <c r="A36" s="4">
        <v>66</v>
      </c>
      <c r="B36" s="4">
        <v>24</v>
      </c>
      <c r="C36" t="s">
        <v>63</v>
      </c>
      <c r="D36" t="s">
        <v>89</v>
      </c>
      <c r="E36" t="s">
        <v>65</v>
      </c>
      <c r="F36" t="s">
        <v>90</v>
      </c>
      <c r="G36" t="s">
        <v>67</v>
      </c>
      <c r="H36" s="2">
        <v>400</v>
      </c>
      <c r="I36" t="s">
        <v>68</v>
      </c>
      <c r="J36" t="s">
        <v>69</v>
      </c>
      <c r="K36" t="s">
        <v>69</v>
      </c>
      <c r="L36" t="s">
        <v>69</v>
      </c>
      <c r="M36" s="4">
        <v>4</v>
      </c>
      <c r="N36" t="s">
        <v>91</v>
      </c>
      <c r="O36" s="4">
        <v>4</v>
      </c>
      <c r="P36" t="s">
        <v>91</v>
      </c>
      <c r="Q36" s="4">
        <v>3</v>
      </c>
      <c r="R36" t="s">
        <v>91</v>
      </c>
      <c r="S36" s="4">
        <v>2</v>
      </c>
      <c r="T36" t="s">
        <v>71</v>
      </c>
      <c r="U36" t="s">
        <v>73</v>
      </c>
      <c r="V36" t="s">
        <v>93</v>
      </c>
      <c r="W36" t="s">
        <v>75</v>
      </c>
      <c r="X36" t="s">
        <v>76</v>
      </c>
      <c r="Y36" t="s">
        <v>69</v>
      </c>
      <c r="Z36" s="4">
        <v>2</v>
      </c>
      <c r="AA36" t="s">
        <v>77</v>
      </c>
      <c r="AB36" s="4">
        <v>122</v>
      </c>
      <c r="AC36" s="4">
        <v>66</v>
      </c>
      <c r="AD36" s="4">
        <v>75</v>
      </c>
      <c r="AE36" s="4">
        <v>172</v>
      </c>
      <c r="AF36" s="4">
        <v>77</v>
      </c>
      <c r="AG36" s="4">
        <v>100</v>
      </c>
      <c r="AH36" s="4">
        <v>97</v>
      </c>
      <c r="AI36" s="4">
        <v>55</v>
      </c>
      <c r="AJ36" s="4">
        <v>63</v>
      </c>
      <c r="AK36" t="s">
        <v>78</v>
      </c>
      <c r="AL36" t="s">
        <v>95</v>
      </c>
      <c r="AM36" t="s">
        <v>80</v>
      </c>
      <c r="AN36" t="s">
        <v>96</v>
      </c>
      <c r="AO36" t="s">
        <v>97</v>
      </c>
      <c r="AP36" t="s">
        <v>85</v>
      </c>
      <c r="AQ36" t="s">
        <v>85</v>
      </c>
      <c r="AR36" t="s">
        <v>85</v>
      </c>
      <c r="AS36" t="s">
        <v>84</v>
      </c>
      <c r="AT36" t="s">
        <v>85</v>
      </c>
      <c r="AU36" t="s">
        <v>85</v>
      </c>
      <c r="AV36" t="s">
        <v>85</v>
      </c>
      <c r="AW36" s="4">
        <v>0</v>
      </c>
      <c r="AX36" s="4">
        <v>0</v>
      </c>
      <c r="AY36" s="4">
        <v>0</v>
      </c>
      <c r="AZ36" s="3">
        <v>1.72</v>
      </c>
      <c r="BA36" s="3">
        <v>2.9583999999999997</v>
      </c>
      <c r="BB36" s="3">
        <v>25.351541373715524</v>
      </c>
      <c r="BC36" t="s">
        <v>98</v>
      </c>
      <c r="BD36" t="s">
        <v>99</v>
      </c>
      <c r="BE36" s="4">
        <v>0</v>
      </c>
      <c r="BF36" t="s">
        <v>87</v>
      </c>
      <c r="BG36" s="1" t="e">
        <v>#NULL!</v>
      </c>
      <c r="BH36" s="4">
        <v>0</v>
      </c>
      <c r="BI36" t="s">
        <v>85</v>
      </c>
      <c r="BJ36" s="4">
        <v>0</v>
      </c>
      <c r="BK36" t="s">
        <v>88</v>
      </c>
    </row>
    <row r="37" spans="1:63" x14ac:dyDescent="0.35">
      <c r="A37" s="4">
        <v>350</v>
      </c>
      <c r="B37" s="4">
        <v>24</v>
      </c>
      <c r="C37" t="s">
        <v>63</v>
      </c>
      <c r="D37" t="s">
        <v>89</v>
      </c>
      <c r="E37" t="s">
        <v>65</v>
      </c>
      <c r="F37" t="s">
        <v>90</v>
      </c>
      <c r="G37" t="s">
        <v>67</v>
      </c>
      <c r="H37" s="2">
        <v>200</v>
      </c>
      <c r="I37" t="s">
        <v>68</v>
      </c>
      <c r="J37" t="s">
        <v>69</v>
      </c>
      <c r="K37" t="s">
        <v>69</v>
      </c>
      <c r="L37" t="s">
        <v>69</v>
      </c>
      <c r="M37" s="4">
        <v>3</v>
      </c>
      <c r="N37" t="s">
        <v>91</v>
      </c>
      <c r="O37" s="4">
        <v>3</v>
      </c>
      <c r="P37" t="s">
        <v>91</v>
      </c>
      <c r="Q37" s="4">
        <v>3</v>
      </c>
      <c r="R37" t="s">
        <v>91</v>
      </c>
      <c r="S37" s="4">
        <v>3</v>
      </c>
      <c r="T37" t="s">
        <v>91</v>
      </c>
      <c r="U37" t="s">
        <v>73</v>
      </c>
      <c r="V37" t="s">
        <v>93</v>
      </c>
      <c r="W37" t="s">
        <v>93</v>
      </c>
      <c r="X37" t="s">
        <v>94</v>
      </c>
      <c r="Y37" t="s">
        <v>69</v>
      </c>
      <c r="Z37" s="4">
        <v>3</v>
      </c>
      <c r="AA37" t="s">
        <v>77</v>
      </c>
      <c r="AB37" s="4">
        <v>120</v>
      </c>
      <c r="AC37" s="4">
        <v>76</v>
      </c>
      <c r="AD37" s="4">
        <v>54</v>
      </c>
      <c r="AE37" s="4">
        <v>151</v>
      </c>
      <c r="AF37" s="4">
        <v>78</v>
      </c>
      <c r="AG37" s="4">
        <v>99</v>
      </c>
      <c r="AH37" s="4">
        <v>99</v>
      </c>
      <c r="AI37" s="4">
        <v>119</v>
      </c>
      <c r="AJ37" s="4">
        <v>51</v>
      </c>
      <c r="AK37" t="s">
        <v>78</v>
      </c>
      <c r="AL37" t="s">
        <v>95</v>
      </c>
      <c r="AM37" t="s">
        <v>80</v>
      </c>
      <c r="AN37" t="s">
        <v>96</v>
      </c>
      <c r="AO37" t="s">
        <v>97</v>
      </c>
      <c r="AP37" t="s">
        <v>85</v>
      </c>
      <c r="AQ37" t="s">
        <v>85</v>
      </c>
      <c r="AR37" t="s">
        <v>85</v>
      </c>
      <c r="AS37" t="s">
        <v>84</v>
      </c>
      <c r="AT37" t="s">
        <v>85</v>
      </c>
      <c r="AU37" t="s">
        <v>85</v>
      </c>
      <c r="AV37" t="s">
        <v>85</v>
      </c>
      <c r="AW37" s="4">
        <v>0</v>
      </c>
      <c r="AX37" s="4">
        <v>0</v>
      </c>
      <c r="AY37" s="4">
        <v>0</v>
      </c>
      <c r="AZ37" s="3">
        <v>1.51</v>
      </c>
      <c r="BA37" s="3">
        <v>2.2801</v>
      </c>
      <c r="BB37" s="3">
        <v>23.683171790710933</v>
      </c>
      <c r="BC37" t="s">
        <v>85</v>
      </c>
      <c r="BD37" t="s">
        <v>86</v>
      </c>
      <c r="BE37" s="4">
        <v>0</v>
      </c>
      <c r="BF37" t="s">
        <v>87</v>
      </c>
      <c r="BG37" s="1" t="e">
        <v>#NULL!</v>
      </c>
      <c r="BH37" s="4">
        <v>0</v>
      </c>
      <c r="BI37" t="s">
        <v>85</v>
      </c>
      <c r="BJ37" s="4">
        <v>0</v>
      </c>
      <c r="BK37" t="s">
        <v>88</v>
      </c>
    </row>
    <row r="38" spans="1:63" x14ac:dyDescent="0.35">
      <c r="A38" s="4">
        <v>379</v>
      </c>
      <c r="B38" s="4">
        <v>24</v>
      </c>
      <c r="C38" t="s">
        <v>63</v>
      </c>
      <c r="D38" t="s">
        <v>64</v>
      </c>
      <c r="E38" t="s">
        <v>65</v>
      </c>
      <c r="F38" t="s">
        <v>101</v>
      </c>
      <c r="G38" t="s">
        <v>67</v>
      </c>
      <c r="H38" s="2">
        <v>100</v>
      </c>
      <c r="I38" t="s">
        <v>68</v>
      </c>
      <c r="J38" t="s">
        <v>69</v>
      </c>
      <c r="K38" t="s">
        <v>70</v>
      </c>
      <c r="L38" t="s">
        <v>69</v>
      </c>
      <c r="M38" s="4">
        <v>2</v>
      </c>
      <c r="N38" t="s">
        <v>71</v>
      </c>
      <c r="O38" s="4">
        <v>2</v>
      </c>
      <c r="P38" t="s">
        <v>71</v>
      </c>
      <c r="Q38" s="4">
        <v>4</v>
      </c>
      <c r="R38" t="s">
        <v>91</v>
      </c>
      <c r="S38" s="4">
        <v>3</v>
      </c>
      <c r="T38" t="s">
        <v>91</v>
      </c>
      <c r="U38" t="s">
        <v>92</v>
      </c>
      <c r="V38" t="s">
        <v>74</v>
      </c>
      <c r="W38" t="s">
        <v>93</v>
      </c>
      <c r="X38" t="s">
        <v>94</v>
      </c>
      <c r="Y38" t="s">
        <v>69</v>
      </c>
      <c r="Z38" s="4">
        <v>4</v>
      </c>
      <c r="AA38" t="s">
        <v>77</v>
      </c>
      <c r="AB38" s="4">
        <v>111</v>
      </c>
      <c r="AC38" s="4">
        <v>69</v>
      </c>
      <c r="AD38" s="4">
        <v>55</v>
      </c>
      <c r="AE38" s="4">
        <v>170</v>
      </c>
      <c r="AF38" s="4">
        <v>80</v>
      </c>
      <c r="AG38" s="4">
        <v>96</v>
      </c>
      <c r="AH38" s="4">
        <v>95</v>
      </c>
      <c r="AI38" s="4">
        <v>97</v>
      </c>
      <c r="AJ38" s="4">
        <v>40</v>
      </c>
      <c r="AK38" t="s">
        <v>78</v>
      </c>
      <c r="AL38" t="s">
        <v>95</v>
      </c>
      <c r="AM38" t="s">
        <v>80</v>
      </c>
      <c r="AN38" t="s">
        <v>96</v>
      </c>
      <c r="AO38" t="s">
        <v>97</v>
      </c>
      <c r="AP38" t="s">
        <v>83</v>
      </c>
      <c r="AQ38" t="s">
        <v>85</v>
      </c>
      <c r="AR38" t="s">
        <v>85</v>
      </c>
      <c r="AS38" t="s">
        <v>84</v>
      </c>
      <c r="AT38" t="s">
        <v>85</v>
      </c>
      <c r="AU38" t="s">
        <v>83</v>
      </c>
      <c r="AV38" t="s">
        <v>85</v>
      </c>
      <c r="AW38" s="4">
        <v>0</v>
      </c>
      <c r="AX38" s="4">
        <v>0</v>
      </c>
      <c r="AY38" s="4">
        <v>0</v>
      </c>
      <c r="AZ38" s="3">
        <v>1.7</v>
      </c>
      <c r="BA38" s="3">
        <v>2.8899999999999997</v>
      </c>
      <c r="BB38" s="3">
        <v>19.031141868512112</v>
      </c>
      <c r="BC38" t="s">
        <v>85</v>
      </c>
      <c r="BD38" t="s">
        <v>86</v>
      </c>
      <c r="BE38" s="4">
        <v>0</v>
      </c>
      <c r="BF38" t="s">
        <v>87</v>
      </c>
      <c r="BG38" s="4">
        <v>0</v>
      </c>
      <c r="BH38" s="1" t="e">
        <v>#NULL!</v>
      </c>
      <c r="BI38" t="s">
        <v>85</v>
      </c>
      <c r="BJ38" s="4">
        <v>0</v>
      </c>
      <c r="BK38" t="s">
        <v>88</v>
      </c>
    </row>
    <row r="39" spans="1:63" x14ac:dyDescent="0.35">
      <c r="A39" s="4">
        <v>390</v>
      </c>
      <c r="B39" s="4">
        <v>24</v>
      </c>
      <c r="C39" t="s">
        <v>63</v>
      </c>
      <c r="D39" t="s">
        <v>89</v>
      </c>
      <c r="E39" t="s">
        <v>65</v>
      </c>
      <c r="F39" t="s">
        <v>101</v>
      </c>
      <c r="G39" t="s">
        <v>67</v>
      </c>
      <c r="H39" s="2">
        <v>800</v>
      </c>
      <c r="I39" t="s">
        <v>105</v>
      </c>
      <c r="J39" t="s">
        <v>69</v>
      </c>
      <c r="K39" t="s">
        <v>69</v>
      </c>
      <c r="L39" t="s">
        <v>69</v>
      </c>
      <c r="M39" s="4">
        <v>7</v>
      </c>
      <c r="N39" t="s">
        <v>72</v>
      </c>
      <c r="O39" s="4">
        <v>5</v>
      </c>
      <c r="P39" t="s">
        <v>72</v>
      </c>
      <c r="Q39" s="4">
        <v>7</v>
      </c>
      <c r="R39" t="s">
        <v>72</v>
      </c>
      <c r="S39" s="4">
        <v>5</v>
      </c>
      <c r="T39" t="s">
        <v>72</v>
      </c>
      <c r="U39" t="s">
        <v>92</v>
      </c>
      <c r="V39" t="s">
        <v>93</v>
      </c>
      <c r="W39" t="s">
        <v>93</v>
      </c>
      <c r="X39" t="s">
        <v>94</v>
      </c>
      <c r="Y39" t="s">
        <v>69</v>
      </c>
      <c r="Z39" s="4">
        <v>3</v>
      </c>
      <c r="AA39" t="s">
        <v>77</v>
      </c>
      <c r="AB39" s="4">
        <v>90</v>
      </c>
      <c r="AC39" s="4">
        <v>65</v>
      </c>
      <c r="AD39" s="4">
        <v>75</v>
      </c>
      <c r="AE39" s="4">
        <v>158</v>
      </c>
      <c r="AF39" s="4">
        <v>113</v>
      </c>
      <c r="AG39" s="4">
        <v>133</v>
      </c>
      <c r="AH39" s="4">
        <v>97</v>
      </c>
      <c r="AI39" s="4">
        <v>41</v>
      </c>
      <c r="AJ39" s="4">
        <v>38</v>
      </c>
      <c r="AK39" t="s">
        <v>78</v>
      </c>
      <c r="AL39" t="s">
        <v>95</v>
      </c>
      <c r="AM39" t="s">
        <v>80</v>
      </c>
      <c r="AN39" t="s">
        <v>96</v>
      </c>
      <c r="AO39" t="s">
        <v>97</v>
      </c>
      <c r="AP39" t="s">
        <v>83</v>
      </c>
      <c r="AQ39" t="s">
        <v>83</v>
      </c>
      <c r="AR39" t="s">
        <v>83</v>
      </c>
      <c r="AS39" t="s">
        <v>84</v>
      </c>
      <c r="AT39" t="s">
        <v>83</v>
      </c>
      <c r="AU39" t="s">
        <v>83</v>
      </c>
      <c r="AV39" t="s">
        <v>83</v>
      </c>
      <c r="AW39" s="4">
        <v>1</v>
      </c>
      <c r="AX39" s="4">
        <v>0</v>
      </c>
      <c r="AY39" s="4">
        <v>1</v>
      </c>
      <c r="AZ39" s="3">
        <v>1.58</v>
      </c>
      <c r="BA39" s="3">
        <v>2.4964000000000004</v>
      </c>
      <c r="BB39" s="3">
        <v>30.043262297708697</v>
      </c>
      <c r="BC39" t="s">
        <v>110</v>
      </c>
      <c r="BD39" t="s">
        <v>99</v>
      </c>
      <c r="BE39" s="4">
        <v>2</v>
      </c>
      <c r="BF39" t="s">
        <v>87</v>
      </c>
      <c r="BG39" s="1" t="e">
        <v>#NULL!</v>
      </c>
      <c r="BH39" s="4">
        <v>1</v>
      </c>
      <c r="BI39" t="s">
        <v>83</v>
      </c>
      <c r="BJ39" s="4">
        <v>2</v>
      </c>
      <c r="BK39" t="s">
        <v>88</v>
      </c>
    </row>
    <row r="40" spans="1:63" x14ac:dyDescent="0.35">
      <c r="A40" s="4">
        <v>43</v>
      </c>
      <c r="B40" s="4">
        <v>24</v>
      </c>
      <c r="C40" t="s">
        <v>63</v>
      </c>
      <c r="D40" t="s">
        <v>89</v>
      </c>
      <c r="E40" t="s">
        <v>104</v>
      </c>
      <c r="F40" t="s">
        <v>90</v>
      </c>
      <c r="G40" t="s">
        <v>67</v>
      </c>
      <c r="H40" s="2">
        <v>300</v>
      </c>
      <c r="I40" t="s">
        <v>68</v>
      </c>
      <c r="J40" t="s">
        <v>69</v>
      </c>
      <c r="K40" t="s">
        <v>69</v>
      </c>
      <c r="L40" t="s">
        <v>69</v>
      </c>
      <c r="M40" s="4">
        <v>2</v>
      </c>
      <c r="N40" t="s">
        <v>71</v>
      </c>
      <c r="O40" s="4">
        <v>2</v>
      </c>
      <c r="P40" t="s">
        <v>71</v>
      </c>
      <c r="Q40" s="4">
        <v>3</v>
      </c>
      <c r="R40" t="s">
        <v>91</v>
      </c>
      <c r="S40" s="4">
        <v>2</v>
      </c>
      <c r="T40" t="s">
        <v>71</v>
      </c>
      <c r="U40" t="s">
        <v>73</v>
      </c>
      <c r="V40" t="s">
        <v>93</v>
      </c>
      <c r="W40" t="s">
        <v>93</v>
      </c>
      <c r="X40" t="s">
        <v>94</v>
      </c>
      <c r="Y40" t="s">
        <v>70</v>
      </c>
      <c r="Z40" s="4">
        <v>6</v>
      </c>
      <c r="AA40" t="s">
        <v>77</v>
      </c>
      <c r="AB40" s="4">
        <v>128</v>
      </c>
      <c r="AC40" s="4">
        <v>87</v>
      </c>
      <c r="AD40" s="4">
        <v>104</v>
      </c>
      <c r="AE40" s="4">
        <v>171</v>
      </c>
      <c r="AF40" s="4">
        <v>101</v>
      </c>
      <c r="AG40" s="4">
        <v>132</v>
      </c>
      <c r="AH40" s="4">
        <v>104</v>
      </c>
      <c r="AI40" s="4">
        <v>126</v>
      </c>
      <c r="AJ40" s="4">
        <v>51</v>
      </c>
      <c r="AK40" t="s">
        <v>78</v>
      </c>
      <c r="AL40" t="s">
        <v>95</v>
      </c>
      <c r="AM40" t="s">
        <v>108</v>
      </c>
      <c r="AN40" t="s">
        <v>81</v>
      </c>
      <c r="AO40" t="s">
        <v>82</v>
      </c>
      <c r="AP40" t="s">
        <v>85</v>
      </c>
      <c r="AQ40" t="s">
        <v>85</v>
      </c>
      <c r="AR40" t="s">
        <v>85</v>
      </c>
      <c r="AS40" t="s">
        <v>102</v>
      </c>
      <c r="AT40" t="s">
        <v>83</v>
      </c>
      <c r="AU40" t="s">
        <v>83</v>
      </c>
      <c r="AV40" t="s">
        <v>83</v>
      </c>
      <c r="AW40" s="4">
        <v>2</v>
      </c>
      <c r="AX40" s="4">
        <v>1</v>
      </c>
      <c r="AY40" s="4">
        <v>2</v>
      </c>
      <c r="AZ40" s="3">
        <v>1.71</v>
      </c>
      <c r="BA40" s="3">
        <v>2.9240999999999997</v>
      </c>
      <c r="BB40" s="3">
        <v>35.566499093738251</v>
      </c>
      <c r="BC40" t="s">
        <v>110</v>
      </c>
      <c r="BD40" t="s">
        <v>99</v>
      </c>
      <c r="BE40" s="4">
        <v>3</v>
      </c>
      <c r="BF40" t="s">
        <v>111</v>
      </c>
      <c r="BG40" s="1" t="e">
        <v>#NULL!</v>
      </c>
      <c r="BH40" s="4">
        <v>1</v>
      </c>
      <c r="BI40" t="s">
        <v>83</v>
      </c>
      <c r="BJ40" s="4">
        <v>3</v>
      </c>
      <c r="BK40" t="s">
        <v>112</v>
      </c>
    </row>
    <row r="41" spans="1:63" x14ac:dyDescent="0.35">
      <c r="A41" s="4">
        <v>164</v>
      </c>
      <c r="B41" s="4">
        <v>24</v>
      </c>
      <c r="C41" t="s">
        <v>63</v>
      </c>
      <c r="D41" t="s">
        <v>89</v>
      </c>
      <c r="E41" t="s">
        <v>104</v>
      </c>
      <c r="F41" t="s">
        <v>66</v>
      </c>
      <c r="G41" t="s">
        <v>67</v>
      </c>
      <c r="H41" s="2">
        <v>900</v>
      </c>
      <c r="I41" t="s">
        <v>105</v>
      </c>
      <c r="J41" t="s">
        <v>69</v>
      </c>
      <c r="K41" t="s">
        <v>69</v>
      </c>
      <c r="L41" t="s">
        <v>69</v>
      </c>
      <c r="M41" s="4">
        <v>7</v>
      </c>
      <c r="N41" t="s">
        <v>72</v>
      </c>
      <c r="O41" s="4">
        <v>6</v>
      </c>
      <c r="P41" t="s">
        <v>72</v>
      </c>
      <c r="Q41" s="4">
        <v>7</v>
      </c>
      <c r="R41" t="s">
        <v>72</v>
      </c>
      <c r="S41" s="4">
        <v>5</v>
      </c>
      <c r="T41" t="s">
        <v>72</v>
      </c>
      <c r="U41" t="s">
        <v>73</v>
      </c>
      <c r="V41" t="s">
        <v>93</v>
      </c>
      <c r="W41" t="s">
        <v>93</v>
      </c>
      <c r="X41" t="s">
        <v>94</v>
      </c>
      <c r="Y41" t="s">
        <v>69</v>
      </c>
      <c r="Z41" s="4">
        <v>4</v>
      </c>
      <c r="AA41" t="s">
        <v>77</v>
      </c>
      <c r="AB41" s="4">
        <v>117</v>
      </c>
      <c r="AC41" s="4">
        <v>89</v>
      </c>
      <c r="AD41" s="4">
        <v>65</v>
      </c>
      <c r="AE41" s="4">
        <v>169</v>
      </c>
      <c r="AF41" s="4">
        <v>97</v>
      </c>
      <c r="AG41" s="4">
        <v>98</v>
      </c>
      <c r="AH41" s="4">
        <v>84</v>
      </c>
      <c r="AI41" s="4">
        <v>48</v>
      </c>
      <c r="AJ41" s="4">
        <v>72</v>
      </c>
      <c r="AK41" t="s">
        <v>78</v>
      </c>
      <c r="AL41" t="s">
        <v>95</v>
      </c>
      <c r="AM41" t="s">
        <v>108</v>
      </c>
      <c r="AN41" t="s">
        <v>81</v>
      </c>
      <c r="AO41" t="s">
        <v>82</v>
      </c>
      <c r="AP41" t="s">
        <v>85</v>
      </c>
      <c r="AQ41" t="s">
        <v>85</v>
      </c>
      <c r="AR41" t="s">
        <v>85</v>
      </c>
      <c r="AS41" t="s">
        <v>84</v>
      </c>
      <c r="AT41" t="s">
        <v>83</v>
      </c>
      <c r="AU41" t="s">
        <v>83</v>
      </c>
      <c r="AV41" t="s">
        <v>83</v>
      </c>
      <c r="AW41" s="4">
        <v>1</v>
      </c>
      <c r="AX41" s="4">
        <v>0</v>
      </c>
      <c r="AY41" s="4">
        <v>1</v>
      </c>
      <c r="AZ41" s="3">
        <v>1.69</v>
      </c>
      <c r="BA41" s="3">
        <v>2.8560999999999996</v>
      </c>
      <c r="BB41" s="3">
        <v>22.758306781975424</v>
      </c>
      <c r="BC41" t="s">
        <v>85</v>
      </c>
      <c r="BD41" t="s">
        <v>86</v>
      </c>
      <c r="BE41" s="4">
        <v>2</v>
      </c>
      <c r="BF41" t="s">
        <v>87</v>
      </c>
      <c r="BG41" s="1" t="e">
        <v>#NULL!</v>
      </c>
      <c r="BH41" s="4">
        <v>1</v>
      </c>
      <c r="BI41" t="s">
        <v>83</v>
      </c>
      <c r="BJ41" s="4">
        <v>2</v>
      </c>
      <c r="BK41" t="s">
        <v>88</v>
      </c>
    </row>
    <row r="42" spans="1:63" x14ac:dyDescent="0.35">
      <c r="A42" s="4">
        <v>274</v>
      </c>
      <c r="B42" s="4">
        <v>24</v>
      </c>
      <c r="C42" t="s">
        <v>63</v>
      </c>
      <c r="D42" t="s">
        <v>89</v>
      </c>
      <c r="E42" t="s">
        <v>104</v>
      </c>
      <c r="F42" t="s">
        <v>90</v>
      </c>
      <c r="G42" t="s">
        <v>67</v>
      </c>
      <c r="H42" s="2">
        <v>500</v>
      </c>
      <c r="I42" t="s">
        <v>68</v>
      </c>
      <c r="J42" t="s">
        <v>69</v>
      </c>
      <c r="K42" t="s">
        <v>69</v>
      </c>
      <c r="L42" t="s">
        <v>69</v>
      </c>
      <c r="M42" s="4">
        <v>3</v>
      </c>
      <c r="N42" t="s">
        <v>91</v>
      </c>
      <c r="O42" s="4">
        <v>3</v>
      </c>
      <c r="P42" t="s">
        <v>91</v>
      </c>
      <c r="Q42" s="4">
        <v>1</v>
      </c>
      <c r="R42" t="s">
        <v>71</v>
      </c>
      <c r="S42" s="4">
        <v>1</v>
      </c>
      <c r="T42" t="s">
        <v>71</v>
      </c>
      <c r="U42" t="s">
        <v>73</v>
      </c>
      <c r="V42" t="s">
        <v>74</v>
      </c>
      <c r="W42" t="s">
        <v>93</v>
      </c>
      <c r="X42" t="s">
        <v>94</v>
      </c>
      <c r="Y42" t="s">
        <v>70</v>
      </c>
      <c r="Z42" s="4">
        <v>2</v>
      </c>
      <c r="AA42" t="s">
        <v>77</v>
      </c>
      <c r="AB42" s="4">
        <v>117</v>
      </c>
      <c r="AC42" s="4">
        <v>87</v>
      </c>
      <c r="AD42" s="4">
        <v>64</v>
      </c>
      <c r="AE42" s="4">
        <v>167</v>
      </c>
      <c r="AF42" s="4">
        <v>85</v>
      </c>
      <c r="AG42" s="4">
        <v>109</v>
      </c>
      <c r="AH42" s="4">
        <v>92</v>
      </c>
      <c r="AI42" s="4">
        <v>98</v>
      </c>
      <c r="AJ42" s="4">
        <v>33</v>
      </c>
      <c r="AK42" t="s">
        <v>78</v>
      </c>
      <c r="AL42" t="s">
        <v>95</v>
      </c>
      <c r="AM42" t="s">
        <v>108</v>
      </c>
      <c r="AN42" t="s">
        <v>81</v>
      </c>
      <c r="AO42" t="s">
        <v>82</v>
      </c>
      <c r="AP42" t="s">
        <v>83</v>
      </c>
      <c r="AQ42" t="s">
        <v>83</v>
      </c>
      <c r="AR42" t="s">
        <v>83</v>
      </c>
      <c r="AS42" t="s">
        <v>84</v>
      </c>
      <c r="AT42" t="s">
        <v>85</v>
      </c>
      <c r="AU42" t="s">
        <v>83</v>
      </c>
      <c r="AV42" t="s">
        <v>83</v>
      </c>
      <c r="AW42" s="4">
        <v>2</v>
      </c>
      <c r="AX42" s="4">
        <v>1</v>
      </c>
      <c r="AY42" s="4">
        <v>2</v>
      </c>
      <c r="AZ42" s="3">
        <v>1.67</v>
      </c>
      <c r="BA42" s="3">
        <v>2.7888999999999999</v>
      </c>
      <c r="BB42" s="3">
        <v>22.948115744558788</v>
      </c>
      <c r="BC42" t="s">
        <v>85</v>
      </c>
      <c r="BD42" t="s">
        <v>86</v>
      </c>
      <c r="BE42" s="4">
        <v>3</v>
      </c>
      <c r="BF42" t="s">
        <v>111</v>
      </c>
      <c r="BG42" s="1" t="e">
        <v>#NULL!</v>
      </c>
      <c r="BH42" s="4">
        <v>0</v>
      </c>
      <c r="BI42" t="s">
        <v>85</v>
      </c>
      <c r="BJ42" s="4">
        <v>2</v>
      </c>
      <c r="BK42" t="s">
        <v>88</v>
      </c>
    </row>
    <row r="43" spans="1:63" x14ac:dyDescent="0.35">
      <c r="A43" s="4">
        <v>257</v>
      </c>
      <c r="B43" s="4">
        <v>24</v>
      </c>
      <c r="C43" t="s">
        <v>63</v>
      </c>
      <c r="D43" t="s">
        <v>89</v>
      </c>
      <c r="E43" t="s">
        <v>113</v>
      </c>
      <c r="F43" t="s">
        <v>101</v>
      </c>
      <c r="G43" t="s">
        <v>67</v>
      </c>
      <c r="H43" s="2">
        <v>100</v>
      </c>
      <c r="I43" t="s">
        <v>68</v>
      </c>
      <c r="J43" t="s">
        <v>69</v>
      </c>
      <c r="K43" t="s">
        <v>69</v>
      </c>
      <c r="L43" t="s">
        <v>69</v>
      </c>
      <c r="M43" s="4">
        <v>4</v>
      </c>
      <c r="N43" t="s">
        <v>91</v>
      </c>
      <c r="O43" s="4">
        <v>4</v>
      </c>
      <c r="P43" t="s">
        <v>91</v>
      </c>
      <c r="Q43" s="4">
        <v>1</v>
      </c>
      <c r="R43" t="s">
        <v>71</v>
      </c>
      <c r="S43" s="4">
        <v>1</v>
      </c>
      <c r="T43" t="s">
        <v>71</v>
      </c>
      <c r="U43" t="s">
        <v>92</v>
      </c>
      <c r="V43" t="s">
        <v>93</v>
      </c>
      <c r="W43" t="s">
        <v>93</v>
      </c>
      <c r="X43" t="s">
        <v>94</v>
      </c>
      <c r="Y43" t="s">
        <v>69</v>
      </c>
      <c r="Z43" s="4">
        <v>4</v>
      </c>
      <c r="AA43" t="s">
        <v>77</v>
      </c>
      <c r="AB43" s="4">
        <v>118</v>
      </c>
      <c r="AC43" s="4">
        <v>78</v>
      </c>
      <c r="AD43" s="4">
        <v>65</v>
      </c>
      <c r="AE43" s="4">
        <v>162</v>
      </c>
      <c r="AF43" s="4">
        <v>76</v>
      </c>
      <c r="AG43" s="4">
        <v>92</v>
      </c>
      <c r="AH43" s="4">
        <v>89</v>
      </c>
      <c r="AI43" s="4">
        <v>112</v>
      </c>
      <c r="AJ43" s="4">
        <v>51</v>
      </c>
      <c r="AK43" t="s">
        <v>78</v>
      </c>
      <c r="AL43" t="s">
        <v>95</v>
      </c>
      <c r="AM43" t="s">
        <v>80</v>
      </c>
      <c r="AN43" t="s">
        <v>96</v>
      </c>
      <c r="AO43" t="s">
        <v>97</v>
      </c>
      <c r="AP43" t="s">
        <v>85</v>
      </c>
      <c r="AQ43" t="s">
        <v>85</v>
      </c>
      <c r="AR43" t="s">
        <v>85</v>
      </c>
      <c r="AS43" t="s">
        <v>84</v>
      </c>
      <c r="AT43" t="s">
        <v>85</v>
      </c>
      <c r="AU43" t="s">
        <v>85</v>
      </c>
      <c r="AV43" t="s">
        <v>85</v>
      </c>
      <c r="AW43" s="4">
        <v>0</v>
      </c>
      <c r="AX43" s="4">
        <v>0</v>
      </c>
      <c r="AY43" s="4">
        <v>0</v>
      </c>
      <c r="AZ43" s="3">
        <v>1.62</v>
      </c>
      <c r="BA43" s="3">
        <v>2.6244000000000005</v>
      </c>
      <c r="BB43" s="3">
        <v>24.767565919829291</v>
      </c>
      <c r="BC43" t="s">
        <v>85</v>
      </c>
      <c r="BD43" t="s">
        <v>86</v>
      </c>
      <c r="BE43" s="4">
        <v>0</v>
      </c>
      <c r="BF43" t="s">
        <v>87</v>
      </c>
      <c r="BG43" s="1" t="e">
        <v>#NULL!</v>
      </c>
      <c r="BH43" s="4">
        <v>0</v>
      </c>
      <c r="BI43" t="s">
        <v>85</v>
      </c>
      <c r="BJ43" s="4">
        <v>0</v>
      </c>
      <c r="BK43" t="s">
        <v>88</v>
      </c>
    </row>
    <row r="44" spans="1:63" x14ac:dyDescent="0.35">
      <c r="A44" s="4">
        <v>9</v>
      </c>
      <c r="B44" s="4">
        <v>25</v>
      </c>
      <c r="C44" t="s">
        <v>114</v>
      </c>
      <c r="D44" t="s">
        <v>89</v>
      </c>
      <c r="E44" t="s">
        <v>65</v>
      </c>
      <c r="F44" t="s">
        <v>115</v>
      </c>
      <c r="G44" t="s">
        <v>67</v>
      </c>
      <c r="H44" s="2">
        <v>200</v>
      </c>
      <c r="I44" t="s">
        <v>68</v>
      </c>
      <c r="J44" t="s">
        <v>69</v>
      </c>
      <c r="K44" t="s">
        <v>69</v>
      </c>
      <c r="L44" t="s">
        <v>69</v>
      </c>
      <c r="M44" s="4">
        <v>2</v>
      </c>
      <c r="N44" t="s">
        <v>71</v>
      </c>
      <c r="O44" s="4">
        <v>2</v>
      </c>
      <c r="P44" t="s">
        <v>71</v>
      </c>
      <c r="Q44" s="4">
        <v>2</v>
      </c>
      <c r="R44" t="s">
        <v>71</v>
      </c>
      <c r="S44" s="4">
        <v>1</v>
      </c>
      <c r="T44" t="s">
        <v>71</v>
      </c>
      <c r="U44" t="s">
        <v>73</v>
      </c>
      <c r="V44" t="s">
        <v>93</v>
      </c>
      <c r="W44" t="s">
        <v>75</v>
      </c>
      <c r="X44" t="s">
        <v>76</v>
      </c>
      <c r="Y44" t="s">
        <v>69</v>
      </c>
      <c r="Z44" s="4">
        <v>3</v>
      </c>
      <c r="AA44" t="s">
        <v>77</v>
      </c>
      <c r="AB44" s="4">
        <v>130</v>
      </c>
      <c r="AC44" s="4">
        <v>80</v>
      </c>
      <c r="AD44" s="4">
        <v>81</v>
      </c>
      <c r="AE44" s="4">
        <v>169</v>
      </c>
      <c r="AF44" s="4">
        <v>107</v>
      </c>
      <c r="AG44" s="4">
        <v>118</v>
      </c>
      <c r="AH44" s="4">
        <v>90</v>
      </c>
      <c r="AI44" s="4">
        <v>138</v>
      </c>
      <c r="AJ44" s="4">
        <v>50</v>
      </c>
      <c r="AK44" t="s">
        <v>78</v>
      </c>
      <c r="AL44" t="s">
        <v>79</v>
      </c>
      <c r="AM44" t="s">
        <v>80</v>
      </c>
      <c r="AN44" t="s">
        <v>81</v>
      </c>
      <c r="AO44" t="s">
        <v>82</v>
      </c>
      <c r="AP44" t="s">
        <v>85</v>
      </c>
      <c r="AQ44" t="s">
        <v>85</v>
      </c>
      <c r="AR44" t="s">
        <v>85</v>
      </c>
      <c r="AS44" t="s">
        <v>84</v>
      </c>
      <c r="AT44" t="s">
        <v>83</v>
      </c>
      <c r="AU44" t="s">
        <v>83</v>
      </c>
      <c r="AV44" t="s">
        <v>83</v>
      </c>
      <c r="AW44" s="4">
        <v>1</v>
      </c>
      <c r="AX44" s="4">
        <v>0</v>
      </c>
      <c r="AY44" s="4">
        <v>1</v>
      </c>
      <c r="AZ44" s="3">
        <v>1.69</v>
      </c>
      <c r="BA44" s="3">
        <v>2.8560999999999996</v>
      </c>
      <c r="BB44" s="3">
        <v>28.360351528307834</v>
      </c>
      <c r="BC44" t="s">
        <v>98</v>
      </c>
      <c r="BD44" t="s">
        <v>99</v>
      </c>
      <c r="BE44" s="4">
        <v>2</v>
      </c>
      <c r="BF44" t="s">
        <v>87</v>
      </c>
      <c r="BG44" s="1" t="e">
        <v>#NULL!</v>
      </c>
      <c r="BH44" s="4">
        <v>1</v>
      </c>
      <c r="BI44" t="s">
        <v>83</v>
      </c>
      <c r="BJ44" s="4">
        <v>2</v>
      </c>
      <c r="BK44" t="s">
        <v>88</v>
      </c>
    </row>
    <row r="45" spans="1:63" x14ac:dyDescent="0.35">
      <c r="A45" s="4">
        <v>166</v>
      </c>
      <c r="B45" s="4">
        <v>25</v>
      </c>
      <c r="C45" t="s">
        <v>114</v>
      </c>
      <c r="D45" t="s">
        <v>89</v>
      </c>
      <c r="E45" t="s">
        <v>65</v>
      </c>
      <c r="F45" t="s">
        <v>101</v>
      </c>
      <c r="G45" t="s">
        <v>67</v>
      </c>
      <c r="H45" s="2">
        <v>800</v>
      </c>
      <c r="I45" t="s">
        <v>105</v>
      </c>
      <c r="J45" t="s">
        <v>69</v>
      </c>
      <c r="K45" t="s">
        <v>69</v>
      </c>
      <c r="L45" t="s">
        <v>69</v>
      </c>
      <c r="M45" s="4">
        <v>7</v>
      </c>
      <c r="N45" t="s">
        <v>72</v>
      </c>
      <c r="O45" s="4">
        <v>5</v>
      </c>
      <c r="P45" t="s">
        <v>72</v>
      </c>
      <c r="Q45" s="4">
        <v>7</v>
      </c>
      <c r="R45" t="s">
        <v>72</v>
      </c>
      <c r="S45" s="4">
        <v>5</v>
      </c>
      <c r="T45" t="s">
        <v>72</v>
      </c>
      <c r="U45" t="s">
        <v>92</v>
      </c>
      <c r="V45" t="s">
        <v>93</v>
      </c>
      <c r="W45" t="s">
        <v>93</v>
      </c>
      <c r="X45" t="s">
        <v>94</v>
      </c>
      <c r="Y45" t="s">
        <v>69</v>
      </c>
      <c r="Z45" s="4">
        <v>3</v>
      </c>
      <c r="AA45" t="s">
        <v>77</v>
      </c>
      <c r="AB45" s="4">
        <v>90</v>
      </c>
      <c r="AC45" s="4">
        <v>65</v>
      </c>
      <c r="AD45" s="4">
        <v>75</v>
      </c>
      <c r="AE45" s="4">
        <v>158</v>
      </c>
      <c r="AF45" s="4">
        <v>113</v>
      </c>
      <c r="AG45" s="4">
        <v>133</v>
      </c>
      <c r="AH45" s="4">
        <v>97</v>
      </c>
      <c r="AI45" s="4">
        <v>41</v>
      </c>
      <c r="AJ45" s="4">
        <v>38</v>
      </c>
      <c r="AK45" t="s">
        <v>78</v>
      </c>
      <c r="AL45" t="s">
        <v>95</v>
      </c>
      <c r="AM45" t="s">
        <v>80</v>
      </c>
      <c r="AN45" t="s">
        <v>96</v>
      </c>
      <c r="AO45" t="s">
        <v>97</v>
      </c>
      <c r="AP45" t="s">
        <v>83</v>
      </c>
      <c r="AQ45" t="s">
        <v>83</v>
      </c>
      <c r="AR45" t="s">
        <v>83</v>
      </c>
      <c r="AS45" t="s">
        <v>84</v>
      </c>
      <c r="AT45" t="s">
        <v>83</v>
      </c>
      <c r="AU45" t="s">
        <v>83</v>
      </c>
      <c r="AV45" t="s">
        <v>83</v>
      </c>
      <c r="AW45" s="4">
        <v>1</v>
      </c>
      <c r="AX45" s="4">
        <v>0</v>
      </c>
      <c r="AY45" s="4">
        <v>1</v>
      </c>
      <c r="AZ45" s="3">
        <v>1.58</v>
      </c>
      <c r="BA45" s="3">
        <v>2.4964000000000004</v>
      </c>
      <c r="BB45" s="3">
        <v>30.043262297708697</v>
      </c>
      <c r="BC45" t="s">
        <v>110</v>
      </c>
      <c r="BD45" t="s">
        <v>99</v>
      </c>
      <c r="BE45" s="4">
        <v>2</v>
      </c>
      <c r="BF45" t="s">
        <v>87</v>
      </c>
      <c r="BG45" s="1" t="e">
        <v>#NULL!</v>
      </c>
      <c r="BH45" s="4">
        <v>1</v>
      </c>
      <c r="BI45" t="s">
        <v>83</v>
      </c>
      <c r="BJ45" s="4">
        <v>2</v>
      </c>
      <c r="BK45" t="s">
        <v>88</v>
      </c>
    </row>
    <row r="46" spans="1:63" x14ac:dyDescent="0.35">
      <c r="A46" s="4">
        <v>178</v>
      </c>
      <c r="B46" s="4">
        <v>25</v>
      </c>
      <c r="C46" t="s">
        <v>114</v>
      </c>
      <c r="D46" t="s">
        <v>89</v>
      </c>
      <c r="E46" t="s">
        <v>65</v>
      </c>
      <c r="F46" t="s">
        <v>90</v>
      </c>
      <c r="G46" t="s">
        <v>67</v>
      </c>
      <c r="H46" s="2">
        <v>100</v>
      </c>
      <c r="I46" t="s">
        <v>68</v>
      </c>
      <c r="J46" t="s">
        <v>69</v>
      </c>
      <c r="K46" t="s">
        <v>69</v>
      </c>
      <c r="L46" t="s">
        <v>69</v>
      </c>
      <c r="M46" s="4">
        <v>6</v>
      </c>
      <c r="N46" t="s">
        <v>72</v>
      </c>
      <c r="O46" s="4">
        <v>6</v>
      </c>
      <c r="P46" t="s">
        <v>72</v>
      </c>
      <c r="Q46" s="4">
        <v>6</v>
      </c>
      <c r="R46" t="s">
        <v>72</v>
      </c>
      <c r="S46" s="4">
        <v>5</v>
      </c>
      <c r="T46" t="s">
        <v>72</v>
      </c>
      <c r="U46" t="s">
        <v>92</v>
      </c>
      <c r="V46" t="s">
        <v>93</v>
      </c>
      <c r="W46" t="s">
        <v>93</v>
      </c>
      <c r="X46" t="s">
        <v>94</v>
      </c>
      <c r="Y46" t="s">
        <v>70</v>
      </c>
      <c r="Z46" s="4">
        <v>2</v>
      </c>
      <c r="AA46" t="s">
        <v>77</v>
      </c>
      <c r="AB46" s="4">
        <v>150</v>
      </c>
      <c r="AC46" s="4">
        <v>90</v>
      </c>
      <c r="AD46" s="4">
        <v>71</v>
      </c>
      <c r="AE46" s="4">
        <v>164</v>
      </c>
      <c r="AF46" s="4">
        <v>79</v>
      </c>
      <c r="AG46" s="4">
        <v>106</v>
      </c>
      <c r="AH46" s="4">
        <v>95</v>
      </c>
      <c r="AI46" s="4">
        <v>74</v>
      </c>
      <c r="AJ46" s="4">
        <v>52</v>
      </c>
      <c r="AK46" t="s">
        <v>78</v>
      </c>
      <c r="AL46" t="s">
        <v>79</v>
      </c>
      <c r="AM46" t="s">
        <v>108</v>
      </c>
      <c r="AN46" t="s">
        <v>109</v>
      </c>
      <c r="AO46" t="s">
        <v>82</v>
      </c>
      <c r="AP46" t="s">
        <v>85</v>
      </c>
      <c r="AQ46" t="s">
        <v>85</v>
      </c>
      <c r="AR46" t="s">
        <v>85</v>
      </c>
      <c r="AS46" t="s">
        <v>84</v>
      </c>
      <c r="AT46" t="s">
        <v>85</v>
      </c>
      <c r="AU46" t="s">
        <v>85</v>
      </c>
      <c r="AV46" t="s">
        <v>85</v>
      </c>
      <c r="AW46" s="4">
        <v>1</v>
      </c>
      <c r="AX46" s="4">
        <v>0</v>
      </c>
      <c r="AY46" s="4">
        <v>0</v>
      </c>
      <c r="AZ46" s="3">
        <v>1.64</v>
      </c>
      <c r="BA46" s="3">
        <v>2.6895999999999995</v>
      </c>
      <c r="BB46" s="3">
        <v>26.397977394408095</v>
      </c>
      <c r="BC46" t="s">
        <v>98</v>
      </c>
      <c r="BD46" t="s">
        <v>99</v>
      </c>
      <c r="BE46" s="4">
        <v>1</v>
      </c>
      <c r="BF46" t="s">
        <v>87</v>
      </c>
      <c r="BG46" s="1" t="e">
        <v>#NULL!</v>
      </c>
      <c r="BH46" s="4">
        <v>0</v>
      </c>
      <c r="BI46" t="s">
        <v>85</v>
      </c>
      <c r="BJ46" s="4">
        <v>1</v>
      </c>
      <c r="BK46" t="s">
        <v>88</v>
      </c>
    </row>
    <row r="47" spans="1:63" x14ac:dyDescent="0.35">
      <c r="A47" s="4">
        <v>250</v>
      </c>
      <c r="B47" s="4">
        <v>25</v>
      </c>
      <c r="C47" t="s">
        <v>114</v>
      </c>
      <c r="D47" t="s">
        <v>89</v>
      </c>
      <c r="E47" t="s">
        <v>65</v>
      </c>
      <c r="F47" t="s">
        <v>90</v>
      </c>
      <c r="G47" t="s">
        <v>67</v>
      </c>
      <c r="H47" s="2">
        <v>100</v>
      </c>
      <c r="I47" t="s">
        <v>68</v>
      </c>
      <c r="J47" t="s">
        <v>69</v>
      </c>
      <c r="K47" t="s">
        <v>69</v>
      </c>
      <c r="L47" t="s">
        <v>69</v>
      </c>
      <c r="M47" s="4">
        <v>2</v>
      </c>
      <c r="N47" t="s">
        <v>71</v>
      </c>
      <c r="O47" s="4">
        <v>3</v>
      </c>
      <c r="P47" t="s">
        <v>91</v>
      </c>
      <c r="Q47" s="4">
        <v>5</v>
      </c>
      <c r="R47" t="s">
        <v>72</v>
      </c>
      <c r="S47" s="4">
        <v>3</v>
      </c>
      <c r="T47" t="s">
        <v>91</v>
      </c>
      <c r="U47" t="s">
        <v>103</v>
      </c>
      <c r="V47" t="s">
        <v>93</v>
      </c>
      <c r="W47" t="s">
        <v>93</v>
      </c>
      <c r="X47" t="s">
        <v>94</v>
      </c>
      <c r="Y47" t="s">
        <v>69</v>
      </c>
      <c r="Z47" s="4">
        <v>4</v>
      </c>
      <c r="AA47" t="s">
        <v>77</v>
      </c>
      <c r="AB47" s="4">
        <v>126</v>
      </c>
      <c r="AC47" s="4">
        <v>66</v>
      </c>
      <c r="AD47" s="4">
        <v>65</v>
      </c>
      <c r="AE47" s="4">
        <v>156</v>
      </c>
      <c r="AF47" s="4">
        <v>96</v>
      </c>
      <c r="AG47" s="4">
        <v>109</v>
      </c>
      <c r="AH47" s="4">
        <v>103</v>
      </c>
      <c r="AI47" s="4">
        <v>96</v>
      </c>
      <c r="AJ47" s="4">
        <v>40</v>
      </c>
      <c r="AK47" t="s">
        <v>78</v>
      </c>
      <c r="AL47" t="s">
        <v>95</v>
      </c>
      <c r="AM47" t="s">
        <v>80</v>
      </c>
      <c r="AN47" t="s">
        <v>96</v>
      </c>
      <c r="AO47" t="s">
        <v>97</v>
      </c>
      <c r="AP47" t="s">
        <v>83</v>
      </c>
      <c r="AQ47" t="s">
        <v>85</v>
      </c>
      <c r="AR47" t="s">
        <v>83</v>
      </c>
      <c r="AS47" t="s">
        <v>102</v>
      </c>
      <c r="AT47" t="s">
        <v>83</v>
      </c>
      <c r="AU47" t="s">
        <v>83</v>
      </c>
      <c r="AV47" t="s">
        <v>83</v>
      </c>
      <c r="AW47" s="4">
        <v>2</v>
      </c>
      <c r="AX47" s="4">
        <v>1</v>
      </c>
      <c r="AY47" s="4">
        <v>2</v>
      </c>
      <c r="AZ47" s="3">
        <v>1.56</v>
      </c>
      <c r="BA47" s="3">
        <v>2.4336000000000002</v>
      </c>
      <c r="BB47" s="3">
        <v>26.709401709401707</v>
      </c>
      <c r="BC47" t="s">
        <v>98</v>
      </c>
      <c r="BD47" t="s">
        <v>99</v>
      </c>
      <c r="BE47" s="4">
        <v>3</v>
      </c>
      <c r="BF47" t="s">
        <v>111</v>
      </c>
      <c r="BG47" s="1" t="e">
        <v>#NULL!</v>
      </c>
      <c r="BH47" s="4">
        <v>1</v>
      </c>
      <c r="BI47" t="s">
        <v>83</v>
      </c>
      <c r="BJ47" s="4">
        <v>3</v>
      </c>
      <c r="BK47" t="s">
        <v>112</v>
      </c>
    </row>
    <row r="48" spans="1:63" x14ac:dyDescent="0.35">
      <c r="A48" s="4">
        <v>328</v>
      </c>
      <c r="B48" s="4">
        <v>25</v>
      </c>
      <c r="C48" t="s">
        <v>114</v>
      </c>
      <c r="D48" t="s">
        <v>89</v>
      </c>
      <c r="E48" t="s">
        <v>65</v>
      </c>
      <c r="F48" t="s">
        <v>90</v>
      </c>
      <c r="G48" t="s">
        <v>67</v>
      </c>
      <c r="H48" s="2">
        <v>300</v>
      </c>
      <c r="I48" t="s">
        <v>68</v>
      </c>
      <c r="J48" t="s">
        <v>69</v>
      </c>
      <c r="K48" t="s">
        <v>69</v>
      </c>
      <c r="L48" t="s">
        <v>69</v>
      </c>
      <c r="M48" s="4">
        <v>2</v>
      </c>
      <c r="N48" t="s">
        <v>71</v>
      </c>
      <c r="O48" s="4">
        <v>2</v>
      </c>
      <c r="P48" t="s">
        <v>71</v>
      </c>
      <c r="Q48" s="4">
        <v>3</v>
      </c>
      <c r="R48" t="s">
        <v>91</v>
      </c>
      <c r="S48" s="4">
        <v>2</v>
      </c>
      <c r="T48" t="s">
        <v>71</v>
      </c>
      <c r="U48" t="s">
        <v>73</v>
      </c>
      <c r="V48" t="s">
        <v>93</v>
      </c>
      <c r="W48" t="s">
        <v>93</v>
      </c>
      <c r="X48" t="s">
        <v>94</v>
      </c>
      <c r="Y48" t="s">
        <v>69</v>
      </c>
      <c r="Z48" s="4">
        <v>6</v>
      </c>
      <c r="AA48" t="s">
        <v>77</v>
      </c>
      <c r="AB48" s="4">
        <v>128</v>
      </c>
      <c r="AC48" s="4">
        <v>87</v>
      </c>
      <c r="AD48" s="4">
        <v>104</v>
      </c>
      <c r="AE48" s="4">
        <v>171</v>
      </c>
      <c r="AF48" s="4">
        <v>101</v>
      </c>
      <c r="AG48" s="4">
        <v>132</v>
      </c>
      <c r="AH48" s="4">
        <v>104</v>
      </c>
      <c r="AI48" s="4">
        <v>126</v>
      </c>
      <c r="AJ48" s="4">
        <v>51</v>
      </c>
      <c r="AK48" t="s">
        <v>78</v>
      </c>
      <c r="AL48" t="s">
        <v>95</v>
      </c>
      <c r="AM48" t="s">
        <v>108</v>
      </c>
      <c r="AN48" t="s">
        <v>81</v>
      </c>
      <c r="AO48" t="s">
        <v>82</v>
      </c>
      <c r="AP48" t="s">
        <v>85</v>
      </c>
      <c r="AQ48" t="s">
        <v>85</v>
      </c>
      <c r="AR48" t="s">
        <v>85</v>
      </c>
      <c r="AS48" t="s">
        <v>102</v>
      </c>
      <c r="AT48" t="s">
        <v>83</v>
      </c>
      <c r="AU48" t="s">
        <v>83</v>
      </c>
      <c r="AV48" t="s">
        <v>83</v>
      </c>
      <c r="AW48" s="4">
        <v>2</v>
      </c>
      <c r="AX48" s="4">
        <v>1</v>
      </c>
      <c r="AY48" s="4">
        <v>2</v>
      </c>
      <c r="AZ48" s="3">
        <v>1.71</v>
      </c>
      <c r="BA48" s="3">
        <v>2.9240999999999997</v>
      </c>
      <c r="BB48" s="3">
        <v>35.566499093738251</v>
      </c>
      <c r="BC48" t="s">
        <v>110</v>
      </c>
      <c r="BD48" t="s">
        <v>99</v>
      </c>
      <c r="BE48" s="4">
        <v>3</v>
      </c>
      <c r="BF48" t="s">
        <v>111</v>
      </c>
      <c r="BG48" s="1" t="e">
        <v>#NULL!</v>
      </c>
      <c r="BH48" s="4">
        <v>1</v>
      </c>
      <c r="BI48" t="s">
        <v>83</v>
      </c>
      <c r="BJ48" s="4">
        <v>3</v>
      </c>
      <c r="BK48" t="s">
        <v>112</v>
      </c>
    </row>
    <row r="49" spans="1:63" x14ac:dyDescent="0.35">
      <c r="A49" s="4">
        <v>111</v>
      </c>
      <c r="B49" s="4">
        <v>25</v>
      </c>
      <c r="C49" t="s">
        <v>114</v>
      </c>
      <c r="D49" t="s">
        <v>64</v>
      </c>
      <c r="E49" t="s">
        <v>104</v>
      </c>
      <c r="F49" t="s">
        <v>90</v>
      </c>
      <c r="G49" t="s">
        <v>67</v>
      </c>
      <c r="H49" s="2">
        <v>150</v>
      </c>
      <c r="I49" t="s">
        <v>68</v>
      </c>
      <c r="J49" t="s">
        <v>70</v>
      </c>
      <c r="K49" t="s">
        <v>69</v>
      </c>
      <c r="L49" t="s">
        <v>69</v>
      </c>
      <c r="M49" s="4">
        <v>2</v>
      </c>
      <c r="N49" t="s">
        <v>71</v>
      </c>
      <c r="O49" s="4">
        <v>5</v>
      </c>
      <c r="P49" t="s">
        <v>72</v>
      </c>
      <c r="Q49" s="4">
        <v>2</v>
      </c>
      <c r="R49" t="s">
        <v>71</v>
      </c>
      <c r="S49" s="4">
        <v>5</v>
      </c>
      <c r="T49" t="s">
        <v>72</v>
      </c>
      <c r="U49" t="s">
        <v>103</v>
      </c>
      <c r="V49" t="s">
        <v>93</v>
      </c>
      <c r="W49" t="s">
        <v>93</v>
      </c>
      <c r="X49" t="s">
        <v>94</v>
      </c>
      <c r="Y49" t="s">
        <v>69</v>
      </c>
      <c r="Z49" s="4">
        <v>2</v>
      </c>
      <c r="AA49" t="s">
        <v>77</v>
      </c>
      <c r="AB49" s="4">
        <v>137</v>
      </c>
      <c r="AC49" s="4">
        <v>67</v>
      </c>
      <c r="AD49" s="4">
        <v>53</v>
      </c>
      <c r="AE49" s="4">
        <v>174</v>
      </c>
      <c r="AF49" s="4">
        <v>78</v>
      </c>
      <c r="AG49" s="4">
        <v>89</v>
      </c>
      <c r="AH49" s="4">
        <v>72</v>
      </c>
      <c r="AI49" s="4">
        <v>98</v>
      </c>
      <c r="AJ49" s="4">
        <v>55</v>
      </c>
      <c r="AK49" t="s">
        <v>78</v>
      </c>
      <c r="AL49" t="s">
        <v>79</v>
      </c>
      <c r="AM49" t="s">
        <v>80</v>
      </c>
      <c r="AN49" t="s">
        <v>81</v>
      </c>
      <c r="AO49" t="s">
        <v>82</v>
      </c>
      <c r="AP49" t="s">
        <v>85</v>
      </c>
      <c r="AQ49" t="s">
        <v>85</v>
      </c>
      <c r="AR49" t="s">
        <v>85</v>
      </c>
      <c r="AS49" t="s">
        <v>84</v>
      </c>
      <c r="AT49" t="s">
        <v>85</v>
      </c>
      <c r="AU49" t="s">
        <v>85</v>
      </c>
      <c r="AV49" t="s">
        <v>85</v>
      </c>
      <c r="AW49" s="4">
        <v>1</v>
      </c>
      <c r="AX49" s="4">
        <v>0</v>
      </c>
      <c r="AY49" s="4">
        <v>0</v>
      </c>
      <c r="AZ49" s="3">
        <v>1.74</v>
      </c>
      <c r="BA49" s="3">
        <v>3.0276000000000001</v>
      </c>
      <c r="BB49" s="3">
        <v>17.505615008587661</v>
      </c>
      <c r="BC49" t="s">
        <v>100</v>
      </c>
      <c r="BD49" t="s">
        <v>86</v>
      </c>
      <c r="BE49" s="4">
        <v>1</v>
      </c>
      <c r="BF49" t="s">
        <v>87</v>
      </c>
      <c r="BG49" s="4">
        <v>0</v>
      </c>
      <c r="BH49" s="1" t="e">
        <v>#NULL!</v>
      </c>
      <c r="BI49" t="s">
        <v>85</v>
      </c>
      <c r="BJ49" s="4">
        <v>1</v>
      </c>
      <c r="BK49" t="s">
        <v>88</v>
      </c>
    </row>
    <row r="50" spans="1:63" x14ac:dyDescent="0.35">
      <c r="A50" s="4">
        <v>114</v>
      </c>
      <c r="B50" s="4">
        <v>25</v>
      </c>
      <c r="C50" t="s">
        <v>114</v>
      </c>
      <c r="D50" t="s">
        <v>89</v>
      </c>
      <c r="E50" t="s">
        <v>104</v>
      </c>
      <c r="F50" t="s">
        <v>66</v>
      </c>
      <c r="G50" t="s">
        <v>67</v>
      </c>
      <c r="H50" s="2">
        <v>200</v>
      </c>
      <c r="I50" t="s">
        <v>68</v>
      </c>
      <c r="J50" t="s">
        <v>69</v>
      </c>
      <c r="K50" t="s">
        <v>69</v>
      </c>
      <c r="L50" t="s">
        <v>69</v>
      </c>
      <c r="M50" s="4">
        <v>1</v>
      </c>
      <c r="N50" t="s">
        <v>71</v>
      </c>
      <c r="O50" s="4">
        <v>3</v>
      </c>
      <c r="P50" t="s">
        <v>91</v>
      </c>
      <c r="Q50" s="4">
        <v>1</v>
      </c>
      <c r="R50" t="s">
        <v>71</v>
      </c>
      <c r="S50" s="4">
        <v>2</v>
      </c>
      <c r="T50" t="s">
        <v>71</v>
      </c>
      <c r="U50" t="s">
        <v>103</v>
      </c>
      <c r="V50" t="s">
        <v>93</v>
      </c>
      <c r="W50" t="s">
        <v>93</v>
      </c>
      <c r="X50" t="s">
        <v>94</v>
      </c>
      <c r="Y50" t="s">
        <v>69</v>
      </c>
      <c r="Z50" s="4">
        <v>5</v>
      </c>
      <c r="AA50" t="s">
        <v>77</v>
      </c>
      <c r="AB50" s="4">
        <v>118</v>
      </c>
      <c r="AC50" s="4">
        <v>60</v>
      </c>
      <c r="AD50" s="4">
        <v>52</v>
      </c>
      <c r="AE50" s="4">
        <v>160</v>
      </c>
      <c r="AF50" s="4">
        <v>76</v>
      </c>
      <c r="AG50" s="4">
        <v>98</v>
      </c>
      <c r="AH50" s="4">
        <v>96</v>
      </c>
      <c r="AI50" s="4">
        <v>70</v>
      </c>
      <c r="AJ50" s="4">
        <v>52</v>
      </c>
      <c r="AK50" t="s">
        <v>78</v>
      </c>
      <c r="AL50" t="s">
        <v>95</v>
      </c>
      <c r="AM50" t="s">
        <v>80</v>
      </c>
      <c r="AN50" t="s">
        <v>96</v>
      </c>
      <c r="AO50" t="s">
        <v>97</v>
      </c>
      <c r="AP50" t="s">
        <v>85</v>
      </c>
      <c r="AQ50" t="s">
        <v>85</v>
      </c>
      <c r="AR50" t="s">
        <v>85</v>
      </c>
      <c r="AS50" t="s">
        <v>84</v>
      </c>
      <c r="AT50" t="s">
        <v>85</v>
      </c>
      <c r="AU50" t="s">
        <v>85</v>
      </c>
      <c r="AV50" t="s">
        <v>85</v>
      </c>
      <c r="AW50" s="4">
        <v>0</v>
      </c>
      <c r="AX50" s="4">
        <v>0</v>
      </c>
      <c r="AY50" s="4">
        <v>0</v>
      </c>
      <c r="AZ50" s="3">
        <v>1.6</v>
      </c>
      <c r="BA50" s="3">
        <v>2.5600000000000005</v>
      </c>
      <c r="BB50" s="3">
        <v>20.312499999999996</v>
      </c>
      <c r="BC50" t="s">
        <v>85</v>
      </c>
      <c r="BD50" t="s">
        <v>86</v>
      </c>
      <c r="BE50" s="4">
        <v>0</v>
      </c>
      <c r="BF50" t="s">
        <v>87</v>
      </c>
      <c r="BG50" s="1" t="e">
        <v>#NULL!</v>
      </c>
      <c r="BH50" s="4">
        <v>0</v>
      </c>
      <c r="BI50" t="s">
        <v>85</v>
      </c>
      <c r="BJ50" s="4">
        <v>0</v>
      </c>
      <c r="BK50" t="s">
        <v>88</v>
      </c>
    </row>
    <row r="51" spans="1:63" x14ac:dyDescent="0.35">
      <c r="A51" s="4">
        <v>131</v>
      </c>
      <c r="B51" s="4">
        <v>25</v>
      </c>
      <c r="C51" t="s">
        <v>114</v>
      </c>
      <c r="D51" t="s">
        <v>89</v>
      </c>
      <c r="E51" t="s">
        <v>104</v>
      </c>
      <c r="F51" t="s">
        <v>90</v>
      </c>
      <c r="G51" t="s">
        <v>67</v>
      </c>
      <c r="H51" s="2">
        <v>500</v>
      </c>
      <c r="I51" t="s">
        <v>68</v>
      </c>
      <c r="J51" t="s">
        <v>69</v>
      </c>
      <c r="K51" t="s">
        <v>69</v>
      </c>
      <c r="L51" t="s">
        <v>69</v>
      </c>
      <c r="M51" s="4">
        <v>5</v>
      </c>
      <c r="N51" t="s">
        <v>72</v>
      </c>
      <c r="O51" s="4">
        <v>5</v>
      </c>
      <c r="P51" t="s">
        <v>72</v>
      </c>
      <c r="Q51" s="4">
        <v>5</v>
      </c>
      <c r="R51" t="s">
        <v>72</v>
      </c>
      <c r="S51" s="4">
        <v>5</v>
      </c>
      <c r="T51" t="s">
        <v>72</v>
      </c>
      <c r="U51" t="s">
        <v>92</v>
      </c>
      <c r="V51" t="s">
        <v>93</v>
      </c>
      <c r="W51" t="s">
        <v>93</v>
      </c>
      <c r="X51" t="s">
        <v>94</v>
      </c>
      <c r="Y51" t="s">
        <v>69</v>
      </c>
      <c r="Z51" s="4">
        <v>2</v>
      </c>
      <c r="AA51" t="s">
        <v>77</v>
      </c>
      <c r="AB51" s="4">
        <v>123</v>
      </c>
      <c r="AC51" s="4">
        <v>79</v>
      </c>
      <c r="AD51" s="4">
        <v>59</v>
      </c>
      <c r="AE51" s="4">
        <v>162</v>
      </c>
      <c r="AF51" s="4">
        <v>78</v>
      </c>
      <c r="AG51" s="4">
        <v>95</v>
      </c>
      <c r="AH51" s="4">
        <v>95</v>
      </c>
      <c r="AI51" s="4">
        <v>83</v>
      </c>
      <c r="AJ51" s="4">
        <v>27</v>
      </c>
      <c r="AK51" t="s">
        <v>78</v>
      </c>
      <c r="AL51" t="s">
        <v>95</v>
      </c>
      <c r="AM51" t="s">
        <v>80</v>
      </c>
      <c r="AN51" t="s">
        <v>96</v>
      </c>
      <c r="AO51" t="s">
        <v>97</v>
      </c>
      <c r="AP51" t="s">
        <v>83</v>
      </c>
      <c r="AQ51" t="s">
        <v>83</v>
      </c>
      <c r="AR51" t="s">
        <v>83</v>
      </c>
      <c r="AS51" t="s">
        <v>84</v>
      </c>
      <c r="AT51" t="s">
        <v>85</v>
      </c>
      <c r="AU51" t="s">
        <v>85</v>
      </c>
      <c r="AV51" t="s">
        <v>85</v>
      </c>
      <c r="AW51" s="4">
        <v>1</v>
      </c>
      <c r="AX51" s="4">
        <v>0</v>
      </c>
      <c r="AY51" s="4">
        <v>0</v>
      </c>
      <c r="AZ51" s="3">
        <v>1.62</v>
      </c>
      <c r="BA51" s="3">
        <v>2.6244000000000005</v>
      </c>
      <c r="BB51" s="3">
        <v>22.481329065691202</v>
      </c>
      <c r="BC51" t="s">
        <v>85</v>
      </c>
      <c r="BD51" t="s">
        <v>86</v>
      </c>
      <c r="BE51" s="4">
        <v>1</v>
      </c>
      <c r="BF51" t="s">
        <v>87</v>
      </c>
      <c r="BG51" s="1" t="e">
        <v>#NULL!</v>
      </c>
      <c r="BH51" s="4">
        <v>0</v>
      </c>
      <c r="BI51" t="s">
        <v>85</v>
      </c>
      <c r="BJ51" s="4">
        <v>1</v>
      </c>
      <c r="BK51" t="s">
        <v>88</v>
      </c>
    </row>
    <row r="52" spans="1:63" x14ac:dyDescent="0.35">
      <c r="A52" s="4">
        <v>172</v>
      </c>
      <c r="B52" s="4">
        <v>25</v>
      </c>
      <c r="C52" t="s">
        <v>114</v>
      </c>
      <c r="D52" t="s">
        <v>89</v>
      </c>
      <c r="E52" t="s">
        <v>104</v>
      </c>
      <c r="F52" t="s">
        <v>101</v>
      </c>
      <c r="G52" t="s">
        <v>67</v>
      </c>
      <c r="H52" s="2">
        <v>700</v>
      </c>
      <c r="I52" t="s">
        <v>105</v>
      </c>
      <c r="J52" t="s">
        <v>69</v>
      </c>
      <c r="K52" t="s">
        <v>69</v>
      </c>
      <c r="L52" t="s">
        <v>69</v>
      </c>
      <c r="M52" s="4">
        <v>5</v>
      </c>
      <c r="N52" t="s">
        <v>72</v>
      </c>
      <c r="O52" s="4">
        <v>5</v>
      </c>
      <c r="P52" t="s">
        <v>72</v>
      </c>
      <c r="Q52" s="4">
        <v>3</v>
      </c>
      <c r="R52" t="s">
        <v>91</v>
      </c>
      <c r="S52" s="4">
        <v>3</v>
      </c>
      <c r="T52" t="s">
        <v>91</v>
      </c>
      <c r="U52" t="s">
        <v>73</v>
      </c>
      <c r="V52" t="s">
        <v>93</v>
      </c>
      <c r="W52" t="s">
        <v>93</v>
      </c>
      <c r="X52" t="s">
        <v>94</v>
      </c>
      <c r="Y52" t="s">
        <v>69</v>
      </c>
      <c r="Z52" s="4">
        <v>2</v>
      </c>
      <c r="AA52" t="s">
        <v>77</v>
      </c>
      <c r="AB52" s="4">
        <v>97</v>
      </c>
      <c r="AC52" s="4">
        <v>58</v>
      </c>
      <c r="AD52" s="4">
        <v>53</v>
      </c>
      <c r="AE52" s="4">
        <v>161</v>
      </c>
      <c r="AF52" s="4">
        <v>76</v>
      </c>
      <c r="AG52" s="4">
        <v>97</v>
      </c>
      <c r="AH52" s="4">
        <v>88</v>
      </c>
      <c r="AI52" s="4">
        <v>55</v>
      </c>
      <c r="AJ52" s="4">
        <v>44</v>
      </c>
      <c r="AK52" t="s">
        <v>78</v>
      </c>
      <c r="AL52" t="s">
        <v>95</v>
      </c>
      <c r="AM52" t="s">
        <v>80</v>
      </c>
      <c r="AN52" t="s">
        <v>96</v>
      </c>
      <c r="AO52" t="s">
        <v>97</v>
      </c>
      <c r="AP52" t="s">
        <v>83</v>
      </c>
      <c r="AQ52" t="s">
        <v>85</v>
      </c>
      <c r="AR52" t="s">
        <v>83</v>
      </c>
      <c r="AS52" t="s">
        <v>84</v>
      </c>
      <c r="AT52" t="s">
        <v>85</v>
      </c>
      <c r="AU52" t="s">
        <v>85</v>
      </c>
      <c r="AV52" t="s">
        <v>85</v>
      </c>
      <c r="AW52" s="4">
        <v>1</v>
      </c>
      <c r="AX52" s="4">
        <v>0</v>
      </c>
      <c r="AY52" s="4">
        <v>0</v>
      </c>
      <c r="AZ52" s="3">
        <v>1.61</v>
      </c>
      <c r="BA52" s="3">
        <v>2.5921000000000003</v>
      </c>
      <c r="BB52" s="3">
        <v>20.446742023841672</v>
      </c>
      <c r="BC52" t="s">
        <v>85</v>
      </c>
      <c r="BD52" t="s">
        <v>86</v>
      </c>
      <c r="BE52" s="4">
        <v>1</v>
      </c>
      <c r="BF52" t="s">
        <v>87</v>
      </c>
      <c r="BG52" s="1" t="e">
        <v>#NULL!</v>
      </c>
      <c r="BH52" s="4">
        <v>0</v>
      </c>
      <c r="BI52" t="s">
        <v>85</v>
      </c>
      <c r="BJ52" s="4">
        <v>1</v>
      </c>
      <c r="BK52" t="s">
        <v>88</v>
      </c>
    </row>
    <row r="53" spans="1:63" x14ac:dyDescent="0.35">
      <c r="A53" s="4">
        <v>188</v>
      </c>
      <c r="B53" s="4">
        <v>25</v>
      </c>
      <c r="C53" t="s">
        <v>114</v>
      </c>
      <c r="D53" t="s">
        <v>89</v>
      </c>
      <c r="E53" t="s">
        <v>104</v>
      </c>
      <c r="F53" t="s">
        <v>66</v>
      </c>
      <c r="G53" t="s">
        <v>67</v>
      </c>
      <c r="H53" s="2">
        <v>300</v>
      </c>
      <c r="I53" t="s">
        <v>68</v>
      </c>
      <c r="J53" t="s">
        <v>69</v>
      </c>
      <c r="K53" t="s">
        <v>69</v>
      </c>
      <c r="L53" t="s">
        <v>69</v>
      </c>
      <c r="M53" s="4">
        <v>4</v>
      </c>
      <c r="N53" t="s">
        <v>91</v>
      </c>
      <c r="O53" s="4">
        <v>2</v>
      </c>
      <c r="P53" t="s">
        <v>71</v>
      </c>
      <c r="Q53" s="4">
        <v>5</v>
      </c>
      <c r="R53" t="s">
        <v>72</v>
      </c>
      <c r="S53" s="4">
        <v>1</v>
      </c>
      <c r="T53" t="s">
        <v>71</v>
      </c>
      <c r="U53" t="s">
        <v>73</v>
      </c>
      <c r="V53" t="s">
        <v>74</v>
      </c>
      <c r="W53" t="s">
        <v>93</v>
      </c>
      <c r="X53" t="s">
        <v>94</v>
      </c>
      <c r="Y53" t="s">
        <v>69</v>
      </c>
      <c r="Z53" s="4">
        <v>1</v>
      </c>
      <c r="AA53" t="s">
        <v>77</v>
      </c>
      <c r="AB53" s="4">
        <v>106</v>
      </c>
      <c r="AC53" s="4">
        <v>58</v>
      </c>
      <c r="AD53" s="4">
        <v>66</v>
      </c>
      <c r="AE53" s="4">
        <v>159</v>
      </c>
      <c r="AF53" s="4">
        <v>76</v>
      </c>
      <c r="AG53" s="4">
        <v>100</v>
      </c>
      <c r="AH53" s="4">
        <v>87</v>
      </c>
      <c r="AI53" s="4">
        <v>82</v>
      </c>
      <c r="AJ53" s="4">
        <v>54</v>
      </c>
      <c r="AK53" t="s">
        <v>78</v>
      </c>
      <c r="AL53" t="s">
        <v>95</v>
      </c>
      <c r="AM53" t="s">
        <v>80</v>
      </c>
      <c r="AN53" t="s">
        <v>96</v>
      </c>
      <c r="AO53" t="s">
        <v>97</v>
      </c>
      <c r="AP53" t="s">
        <v>85</v>
      </c>
      <c r="AQ53" t="s">
        <v>85</v>
      </c>
      <c r="AR53" t="s">
        <v>85</v>
      </c>
      <c r="AS53" t="s">
        <v>84</v>
      </c>
      <c r="AT53" t="s">
        <v>85</v>
      </c>
      <c r="AU53" t="s">
        <v>85</v>
      </c>
      <c r="AV53" t="s">
        <v>85</v>
      </c>
      <c r="AW53" s="4">
        <v>0</v>
      </c>
      <c r="AX53" s="4">
        <v>0</v>
      </c>
      <c r="AY53" s="4">
        <v>0</v>
      </c>
      <c r="AZ53" s="3">
        <v>1.59</v>
      </c>
      <c r="BA53" s="3">
        <v>2.5281000000000002</v>
      </c>
      <c r="BB53" s="3">
        <v>26.106562240417702</v>
      </c>
      <c r="BC53" t="s">
        <v>98</v>
      </c>
      <c r="BD53" t="s">
        <v>99</v>
      </c>
      <c r="BE53" s="4">
        <v>0</v>
      </c>
      <c r="BF53" t="s">
        <v>87</v>
      </c>
      <c r="BG53" s="1" t="e">
        <v>#NULL!</v>
      </c>
      <c r="BH53" s="4">
        <v>0</v>
      </c>
      <c r="BI53" t="s">
        <v>85</v>
      </c>
      <c r="BJ53" s="4">
        <v>0</v>
      </c>
      <c r="BK53" t="s">
        <v>88</v>
      </c>
    </row>
    <row r="54" spans="1:63" x14ac:dyDescent="0.35">
      <c r="A54" s="4">
        <v>365</v>
      </c>
      <c r="B54" s="4">
        <v>25</v>
      </c>
      <c r="C54" t="s">
        <v>114</v>
      </c>
      <c r="D54" t="s">
        <v>89</v>
      </c>
      <c r="E54" t="s">
        <v>104</v>
      </c>
      <c r="F54" t="s">
        <v>66</v>
      </c>
      <c r="G54" t="s">
        <v>67</v>
      </c>
      <c r="H54" s="2">
        <v>900</v>
      </c>
      <c r="I54" t="s">
        <v>105</v>
      </c>
      <c r="J54" t="s">
        <v>69</v>
      </c>
      <c r="K54" t="s">
        <v>69</v>
      </c>
      <c r="L54" t="s">
        <v>69</v>
      </c>
      <c r="M54" s="4">
        <v>7</v>
      </c>
      <c r="N54" t="s">
        <v>72</v>
      </c>
      <c r="O54" s="4">
        <v>6</v>
      </c>
      <c r="P54" t="s">
        <v>72</v>
      </c>
      <c r="Q54" s="4">
        <v>7</v>
      </c>
      <c r="R54" t="s">
        <v>72</v>
      </c>
      <c r="S54" s="4">
        <v>5</v>
      </c>
      <c r="T54" t="s">
        <v>72</v>
      </c>
      <c r="U54" t="s">
        <v>73</v>
      </c>
      <c r="V54" t="s">
        <v>93</v>
      </c>
      <c r="W54" t="s">
        <v>93</v>
      </c>
      <c r="X54" t="s">
        <v>94</v>
      </c>
      <c r="Y54" t="s">
        <v>69</v>
      </c>
      <c r="Z54" s="4">
        <v>4</v>
      </c>
      <c r="AA54" t="s">
        <v>77</v>
      </c>
      <c r="AB54" s="4">
        <v>117</v>
      </c>
      <c r="AC54" s="4">
        <v>89</v>
      </c>
      <c r="AD54" s="4">
        <v>65</v>
      </c>
      <c r="AE54" s="4">
        <v>169</v>
      </c>
      <c r="AF54" s="4">
        <v>97</v>
      </c>
      <c r="AG54" s="4">
        <v>98</v>
      </c>
      <c r="AH54" s="4">
        <v>84</v>
      </c>
      <c r="AI54" s="4">
        <v>48</v>
      </c>
      <c r="AJ54" s="4">
        <v>72</v>
      </c>
      <c r="AK54" t="s">
        <v>78</v>
      </c>
      <c r="AL54" t="s">
        <v>95</v>
      </c>
      <c r="AM54" t="s">
        <v>108</v>
      </c>
      <c r="AN54" t="s">
        <v>81</v>
      </c>
      <c r="AO54" t="s">
        <v>82</v>
      </c>
      <c r="AP54" t="s">
        <v>85</v>
      </c>
      <c r="AQ54" t="s">
        <v>85</v>
      </c>
      <c r="AR54" t="s">
        <v>85</v>
      </c>
      <c r="AS54" t="s">
        <v>84</v>
      </c>
      <c r="AT54" t="s">
        <v>83</v>
      </c>
      <c r="AU54" t="s">
        <v>83</v>
      </c>
      <c r="AV54" t="s">
        <v>83</v>
      </c>
      <c r="AW54" s="4">
        <v>1</v>
      </c>
      <c r="AX54" s="4">
        <v>0</v>
      </c>
      <c r="AY54" s="4">
        <v>1</v>
      </c>
      <c r="AZ54" s="3">
        <v>1.69</v>
      </c>
      <c r="BA54" s="3">
        <v>2.8560999999999996</v>
      </c>
      <c r="BB54" s="3">
        <v>22.758306781975424</v>
      </c>
      <c r="BC54" t="s">
        <v>85</v>
      </c>
      <c r="BD54" t="s">
        <v>86</v>
      </c>
      <c r="BE54" s="4">
        <v>2</v>
      </c>
      <c r="BF54" t="s">
        <v>87</v>
      </c>
      <c r="BG54" s="1" t="e">
        <v>#NULL!</v>
      </c>
      <c r="BH54" s="4">
        <v>1</v>
      </c>
      <c r="BI54" t="s">
        <v>83</v>
      </c>
      <c r="BJ54" s="4">
        <v>2</v>
      </c>
      <c r="BK54" t="s">
        <v>88</v>
      </c>
    </row>
    <row r="55" spans="1:63" x14ac:dyDescent="0.35">
      <c r="A55" s="4">
        <v>410</v>
      </c>
      <c r="B55" s="4">
        <v>25</v>
      </c>
      <c r="C55" t="s">
        <v>114</v>
      </c>
      <c r="D55" t="s">
        <v>89</v>
      </c>
      <c r="E55" t="s">
        <v>104</v>
      </c>
      <c r="F55" t="s">
        <v>66</v>
      </c>
      <c r="G55" t="s">
        <v>67</v>
      </c>
      <c r="H55" s="2">
        <v>750</v>
      </c>
      <c r="I55" t="s">
        <v>105</v>
      </c>
      <c r="J55" t="s">
        <v>69</v>
      </c>
      <c r="K55" t="s">
        <v>69</v>
      </c>
      <c r="L55" t="s">
        <v>69</v>
      </c>
      <c r="M55" s="4">
        <v>1</v>
      </c>
      <c r="N55" t="s">
        <v>71</v>
      </c>
      <c r="O55" s="4">
        <v>2</v>
      </c>
      <c r="P55" t="s">
        <v>71</v>
      </c>
      <c r="Q55" s="4">
        <v>2</v>
      </c>
      <c r="R55" t="s">
        <v>71</v>
      </c>
      <c r="S55" s="4">
        <v>1</v>
      </c>
      <c r="T55" t="s">
        <v>71</v>
      </c>
      <c r="U55" t="s">
        <v>103</v>
      </c>
      <c r="V55" t="s">
        <v>93</v>
      </c>
      <c r="W55" t="s">
        <v>74</v>
      </c>
      <c r="X55" t="s">
        <v>76</v>
      </c>
      <c r="Y55" t="s">
        <v>69</v>
      </c>
      <c r="Z55" s="4">
        <v>1</v>
      </c>
      <c r="AA55" t="s">
        <v>77</v>
      </c>
      <c r="AB55" s="4">
        <v>123</v>
      </c>
      <c r="AC55" s="4">
        <v>71</v>
      </c>
      <c r="AD55" s="4">
        <v>65</v>
      </c>
      <c r="AE55" s="4">
        <v>162</v>
      </c>
      <c r="AF55" s="4">
        <v>96</v>
      </c>
      <c r="AG55" s="4">
        <v>106</v>
      </c>
      <c r="AH55" s="4">
        <v>91</v>
      </c>
      <c r="AI55" s="4">
        <v>64</v>
      </c>
      <c r="AJ55" s="4">
        <v>38</v>
      </c>
      <c r="AK55" t="s">
        <v>78</v>
      </c>
      <c r="AL55" t="s">
        <v>95</v>
      </c>
      <c r="AM55" t="s">
        <v>80</v>
      </c>
      <c r="AN55" t="s">
        <v>96</v>
      </c>
      <c r="AO55" t="s">
        <v>97</v>
      </c>
      <c r="AP55" t="s">
        <v>83</v>
      </c>
      <c r="AQ55" t="s">
        <v>83</v>
      </c>
      <c r="AR55" t="s">
        <v>83</v>
      </c>
      <c r="AS55" t="s">
        <v>84</v>
      </c>
      <c r="AT55" t="s">
        <v>83</v>
      </c>
      <c r="AU55" t="s">
        <v>83</v>
      </c>
      <c r="AV55" t="s">
        <v>83</v>
      </c>
      <c r="AW55" s="4">
        <v>1</v>
      </c>
      <c r="AX55" s="4">
        <v>0</v>
      </c>
      <c r="AY55" s="4">
        <v>1</v>
      </c>
      <c r="AZ55" s="3">
        <v>1.62</v>
      </c>
      <c r="BA55" s="3">
        <v>2.6244000000000005</v>
      </c>
      <c r="BB55" s="3">
        <v>24.767565919829291</v>
      </c>
      <c r="BC55" t="s">
        <v>85</v>
      </c>
      <c r="BD55" t="s">
        <v>86</v>
      </c>
      <c r="BE55" s="4">
        <v>2</v>
      </c>
      <c r="BF55" t="s">
        <v>87</v>
      </c>
      <c r="BG55" s="1" t="e">
        <v>#NULL!</v>
      </c>
      <c r="BH55" s="4">
        <v>1</v>
      </c>
      <c r="BI55" t="s">
        <v>83</v>
      </c>
      <c r="BJ55" s="4">
        <v>2</v>
      </c>
      <c r="BK55" t="s">
        <v>88</v>
      </c>
    </row>
    <row r="56" spans="1:63" x14ac:dyDescent="0.35">
      <c r="A56" s="4">
        <v>414</v>
      </c>
      <c r="B56" s="4">
        <v>25</v>
      </c>
      <c r="C56" t="s">
        <v>114</v>
      </c>
      <c r="D56" t="s">
        <v>89</v>
      </c>
      <c r="E56" t="s">
        <v>104</v>
      </c>
      <c r="F56" t="s">
        <v>66</v>
      </c>
      <c r="G56" t="s">
        <v>67</v>
      </c>
      <c r="H56" s="2">
        <v>700</v>
      </c>
      <c r="I56" t="s">
        <v>105</v>
      </c>
      <c r="J56" t="s">
        <v>69</v>
      </c>
      <c r="K56" t="s">
        <v>69</v>
      </c>
      <c r="L56" t="s">
        <v>69</v>
      </c>
      <c r="M56" s="4">
        <v>1</v>
      </c>
      <c r="N56" t="s">
        <v>71</v>
      </c>
      <c r="O56" s="4">
        <v>3</v>
      </c>
      <c r="P56" t="s">
        <v>91</v>
      </c>
      <c r="Q56" s="4">
        <v>1</v>
      </c>
      <c r="R56" t="s">
        <v>71</v>
      </c>
      <c r="S56" s="4">
        <v>2</v>
      </c>
      <c r="T56" t="s">
        <v>71</v>
      </c>
      <c r="U56" t="s">
        <v>92</v>
      </c>
      <c r="V56" t="s">
        <v>93</v>
      </c>
      <c r="W56" t="s">
        <v>93</v>
      </c>
      <c r="X56" t="s">
        <v>94</v>
      </c>
      <c r="Y56" t="s">
        <v>69</v>
      </c>
      <c r="Z56" s="4">
        <v>7</v>
      </c>
      <c r="AA56" t="s">
        <v>77</v>
      </c>
      <c r="AB56" s="4">
        <v>111</v>
      </c>
      <c r="AC56" s="4">
        <v>68</v>
      </c>
      <c r="AD56" s="4">
        <v>53</v>
      </c>
      <c r="AE56" s="4">
        <v>163</v>
      </c>
      <c r="AF56" s="4">
        <v>66</v>
      </c>
      <c r="AG56" s="4">
        <v>82</v>
      </c>
      <c r="AH56" s="4">
        <v>75</v>
      </c>
      <c r="AI56" s="4">
        <v>55</v>
      </c>
      <c r="AJ56" s="4">
        <v>62</v>
      </c>
      <c r="AK56" t="s">
        <v>78</v>
      </c>
      <c r="AL56" t="s">
        <v>95</v>
      </c>
      <c r="AM56" t="s">
        <v>80</v>
      </c>
      <c r="AN56" t="s">
        <v>96</v>
      </c>
      <c r="AO56" t="s">
        <v>97</v>
      </c>
      <c r="AP56" t="s">
        <v>85</v>
      </c>
      <c r="AQ56" t="s">
        <v>85</v>
      </c>
      <c r="AR56" t="s">
        <v>85</v>
      </c>
      <c r="AS56" t="s">
        <v>84</v>
      </c>
      <c r="AT56" t="s">
        <v>85</v>
      </c>
      <c r="AU56" t="s">
        <v>85</v>
      </c>
      <c r="AV56" t="s">
        <v>85</v>
      </c>
      <c r="AW56" s="4">
        <v>0</v>
      </c>
      <c r="AX56" s="4">
        <v>0</v>
      </c>
      <c r="AY56" s="4">
        <v>0</v>
      </c>
      <c r="AZ56" s="3">
        <v>1.63</v>
      </c>
      <c r="BA56" s="3">
        <v>2.6568999999999998</v>
      </c>
      <c r="BB56" s="3">
        <v>19.948059768903612</v>
      </c>
      <c r="BC56" t="s">
        <v>85</v>
      </c>
      <c r="BD56" t="s">
        <v>86</v>
      </c>
      <c r="BE56" s="4">
        <v>0</v>
      </c>
      <c r="BF56" t="s">
        <v>87</v>
      </c>
      <c r="BG56" s="1" t="e">
        <v>#NULL!</v>
      </c>
      <c r="BH56" s="4">
        <v>0</v>
      </c>
      <c r="BI56" t="s">
        <v>85</v>
      </c>
      <c r="BJ56" s="4">
        <v>0</v>
      </c>
      <c r="BK56" t="s">
        <v>88</v>
      </c>
    </row>
    <row r="57" spans="1:63" x14ac:dyDescent="0.35">
      <c r="A57" s="4">
        <v>459</v>
      </c>
      <c r="B57" s="4">
        <v>25</v>
      </c>
      <c r="C57" t="s">
        <v>114</v>
      </c>
      <c r="D57" t="s">
        <v>64</v>
      </c>
      <c r="E57" t="s">
        <v>104</v>
      </c>
      <c r="F57" t="s">
        <v>90</v>
      </c>
      <c r="G57" t="s">
        <v>67</v>
      </c>
      <c r="H57" s="2">
        <v>400</v>
      </c>
      <c r="I57" t="s">
        <v>68</v>
      </c>
      <c r="J57" t="s">
        <v>69</v>
      </c>
      <c r="K57" t="s">
        <v>69</v>
      </c>
      <c r="L57" t="s">
        <v>69</v>
      </c>
      <c r="M57" s="4">
        <v>1</v>
      </c>
      <c r="N57" t="s">
        <v>71</v>
      </c>
      <c r="O57" s="4">
        <v>2</v>
      </c>
      <c r="P57" t="s">
        <v>71</v>
      </c>
      <c r="Q57" s="4">
        <v>2</v>
      </c>
      <c r="R57" t="s">
        <v>71</v>
      </c>
      <c r="S57" s="4">
        <v>1</v>
      </c>
      <c r="T57" t="s">
        <v>71</v>
      </c>
      <c r="U57" t="s">
        <v>92</v>
      </c>
      <c r="V57" t="s">
        <v>93</v>
      </c>
      <c r="W57" t="s">
        <v>75</v>
      </c>
      <c r="X57" t="s">
        <v>76</v>
      </c>
      <c r="Y57" t="s">
        <v>69</v>
      </c>
      <c r="Z57" s="4">
        <v>4</v>
      </c>
      <c r="AA57" t="s">
        <v>77</v>
      </c>
      <c r="AB57" s="4">
        <v>141</v>
      </c>
      <c r="AC57" s="4">
        <v>71</v>
      </c>
      <c r="AD57" s="4">
        <v>66</v>
      </c>
      <c r="AE57" s="4">
        <v>188</v>
      </c>
      <c r="AF57" s="4">
        <v>79</v>
      </c>
      <c r="AG57" s="4">
        <v>94</v>
      </c>
      <c r="AH57" s="4">
        <v>84</v>
      </c>
      <c r="AI57" s="4">
        <v>99</v>
      </c>
      <c r="AJ57" s="4">
        <v>51</v>
      </c>
      <c r="AK57" t="s">
        <v>78</v>
      </c>
      <c r="AL57" t="s">
        <v>79</v>
      </c>
      <c r="AM57" t="s">
        <v>80</v>
      </c>
      <c r="AN57" t="s">
        <v>81</v>
      </c>
      <c r="AO57" t="s">
        <v>82</v>
      </c>
      <c r="AP57" t="s">
        <v>85</v>
      </c>
      <c r="AQ57" t="s">
        <v>85</v>
      </c>
      <c r="AR57" t="s">
        <v>85</v>
      </c>
      <c r="AS57" t="s">
        <v>84</v>
      </c>
      <c r="AT57" t="s">
        <v>85</v>
      </c>
      <c r="AU57" t="s">
        <v>85</v>
      </c>
      <c r="AV57" t="s">
        <v>85</v>
      </c>
      <c r="AW57" s="4">
        <v>1</v>
      </c>
      <c r="AX57" s="4">
        <v>0</v>
      </c>
      <c r="AY57" s="4">
        <v>0</v>
      </c>
      <c r="AZ57" s="3">
        <v>1.88</v>
      </c>
      <c r="BA57" s="3">
        <v>3.5343999999999998</v>
      </c>
      <c r="BB57" s="3">
        <v>18.673607967406067</v>
      </c>
      <c r="BC57" t="s">
        <v>85</v>
      </c>
      <c r="BD57" t="s">
        <v>86</v>
      </c>
      <c r="BE57" s="4">
        <v>1</v>
      </c>
      <c r="BF57" t="s">
        <v>87</v>
      </c>
      <c r="BG57" s="4">
        <v>0</v>
      </c>
      <c r="BH57" s="1" t="e">
        <v>#NULL!</v>
      </c>
      <c r="BI57" t="s">
        <v>85</v>
      </c>
      <c r="BJ57" s="4">
        <v>1</v>
      </c>
      <c r="BK57" t="s">
        <v>88</v>
      </c>
    </row>
    <row r="58" spans="1:63" x14ac:dyDescent="0.35">
      <c r="A58" s="4">
        <v>22</v>
      </c>
      <c r="B58" s="4">
        <v>25</v>
      </c>
      <c r="C58" t="s">
        <v>114</v>
      </c>
      <c r="D58" t="s">
        <v>89</v>
      </c>
      <c r="E58" t="s">
        <v>104</v>
      </c>
      <c r="F58" t="s">
        <v>115</v>
      </c>
      <c r="G58" t="s">
        <v>67</v>
      </c>
      <c r="H58" s="2">
        <v>300</v>
      </c>
      <c r="I58" t="s">
        <v>68</v>
      </c>
      <c r="J58" t="s">
        <v>69</v>
      </c>
      <c r="K58" t="s">
        <v>69</v>
      </c>
      <c r="L58" t="s">
        <v>69</v>
      </c>
      <c r="M58" s="4">
        <v>2</v>
      </c>
      <c r="N58" t="s">
        <v>71</v>
      </c>
      <c r="O58" s="4">
        <v>4</v>
      </c>
      <c r="P58" t="s">
        <v>91</v>
      </c>
      <c r="Q58" s="4">
        <v>7</v>
      </c>
      <c r="R58" t="s">
        <v>72</v>
      </c>
      <c r="S58" s="4">
        <v>7</v>
      </c>
      <c r="T58" t="s">
        <v>72</v>
      </c>
      <c r="U58" t="s">
        <v>92</v>
      </c>
      <c r="V58" t="s">
        <v>74</v>
      </c>
      <c r="W58" t="s">
        <v>93</v>
      </c>
      <c r="X58" t="s">
        <v>94</v>
      </c>
      <c r="Y58" t="s">
        <v>69</v>
      </c>
      <c r="Z58" s="4">
        <v>1</v>
      </c>
      <c r="AA58" t="s">
        <v>77</v>
      </c>
      <c r="AB58" s="4">
        <v>95</v>
      </c>
      <c r="AC58" s="4">
        <v>56</v>
      </c>
      <c r="AD58" s="4">
        <v>52</v>
      </c>
      <c r="AE58" s="4">
        <v>153</v>
      </c>
      <c r="AF58" s="4">
        <v>103</v>
      </c>
      <c r="AG58" s="4">
        <v>122</v>
      </c>
      <c r="AH58" s="4">
        <v>98</v>
      </c>
      <c r="AI58" s="4">
        <v>133</v>
      </c>
      <c r="AJ58" s="4">
        <v>54</v>
      </c>
      <c r="AK58" t="s">
        <v>78</v>
      </c>
      <c r="AL58" t="s">
        <v>95</v>
      </c>
      <c r="AM58" t="s">
        <v>80</v>
      </c>
      <c r="AN58" t="s">
        <v>96</v>
      </c>
      <c r="AO58" t="s">
        <v>97</v>
      </c>
      <c r="AP58" t="s">
        <v>85</v>
      </c>
      <c r="AQ58" t="s">
        <v>85</v>
      </c>
      <c r="AR58" t="s">
        <v>85</v>
      </c>
      <c r="AS58" t="s">
        <v>84</v>
      </c>
      <c r="AT58" t="s">
        <v>83</v>
      </c>
      <c r="AU58" t="s">
        <v>83</v>
      </c>
      <c r="AV58" t="s">
        <v>83</v>
      </c>
      <c r="AW58" s="4">
        <v>0</v>
      </c>
      <c r="AX58" s="4">
        <v>0</v>
      </c>
      <c r="AY58" s="4">
        <v>1</v>
      </c>
      <c r="AZ58" s="3">
        <v>1.53</v>
      </c>
      <c r="BA58" s="3">
        <v>2.3409</v>
      </c>
      <c r="BB58" s="3">
        <v>22.213678499722331</v>
      </c>
      <c r="BC58" t="s">
        <v>85</v>
      </c>
      <c r="BD58" t="s">
        <v>86</v>
      </c>
      <c r="BE58" s="4">
        <v>1</v>
      </c>
      <c r="BF58" t="s">
        <v>87</v>
      </c>
      <c r="BG58" s="1" t="e">
        <v>#NULL!</v>
      </c>
      <c r="BH58" s="4">
        <v>1</v>
      </c>
      <c r="BI58" t="s">
        <v>83</v>
      </c>
      <c r="BJ58" s="4">
        <v>1</v>
      </c>
      <c r="BK58" t="s">
        <v>88</v>
      </c>
    </row>
    <row r="59" spans="1:63" x14ac:dyDescent="0.35">
      <c r="A59" s="4">
        <v>287</v>
      </c>
      <c r="B59" s="4">
        <v>26</v>
      </c>
      <c r="C59" t="s">
        <v>114</v>
      </c>
      <c r="D59" t="s">
        <v>89</v>
      </c>
      <c r="E59" t="s">
        <v>65</v>
      </c>
      <c r="F59" t="s">
        <v>90</v>
      </c>
      <c r="G59" t="s">
        <v>67</v>
      </c>
      <c r="H59" s="2">
        <v>500</v>
      </c>
      <c r="I59" t="s">
        <v>68</v>
      </c>
      <c r="J59" t="s">
        <v>69</v>
      </c>
      <c r="K59" t="s">
        <v>69</v>
      </c>
      <c r="L59" t="s">
        <v>69</v>
      </c>
      <c r="M59" s="4">
        <v>5</v>
      </c>
      <c r="N59" t="s">
        <v>72</v>
      </c>
      <c r="O59" s="4">
        <v>5</v>
      </c>
      <c r="P59" t="s">
        <v>72</v>
      </c>
      <c r="Q59" s="4">
        <v>5</v>
      </c>
      <c r="R59" t="s">
        <v>72</v>
      </c>
      <c r="S59" s="4">
        <v>5</v>
      </c>
      <c r="T59" t="s">
        <v>72</v>
      </c>
      <c r="U59" t="s">
        <v>92</v>
      </c>
      <c r="V59" t="s">
        <v>93</v>
      </c>
      <c r="W59" t="s">
        <v>93</v>
      </c>
      <c r="X59" t="s">
        <v>94</v>
      </c>
      <c r="Y59" t="s">
        <v>69</v>
      </c>
      <c r="Z59" s="4">
        <v>2</v>
      </c>
      <c r="AA59" t="s">
        <v>77</v>
      </c>
      <c r="AB59" s="4">
        <v>123</v>
      </c>
      <c r="AC59" s="4">
        <v>79</v>
      </c>
      <c r="AD59" s="4">
        <v>59</v>
      </c>
      <c r="AE59" s="4">
        <v>162</v>
      </c>
      <c r="AF59" s="4">
        <v>78</v>
      </c>
      <c r="AG59" s="4">
        <v>95</v>
      </c>
      <c r="AH59" s="4">
        <v>95</v>
      </c>
      <c r="AI59" s="4">
        <v>83</v>
      </c>
      <c r="AJ59" s="4">
        <v>27</v>
      </c>
      <c r="AK59" t="s">
        <v>78</v>
      </c>
      <c r="AL59" t="s">
        <v>95</v>
      </c>
      <c r="AM59" t="s">
        <v>80</v>
      </c>
      <c r="AN59" t="s">
        <v>96</v>
      </c>
      <c r="AO59" t="s">
        <v>97</v>
      </c>
      <c r="AP59" t="s">
        <v>83</v>
      </c>
      <c r="AQ59" t="s">
        <v>83</v>
      </c>
      <c r="AR59" t="s">
        <v>83</v>
      </c>
      <c r="AS59" t="s">
        <v>84</v>
      </c>
      <c r="AT59" t="s">
        <v>85</v>
      </c>
      <c r="AU59" t="s">
        <v>85</v>
      </c>
      <c r="AV59" t="s">
        <v>85</v>
      </c>
      <c r="AW59" s="4">
        <v>1</v>
      </c>
      <c r="AX59" s="4">
        <v>0</v>
      </c>
      <c r="AY59" s="4">
        <v>0</v>
      </c>
      <c r="AZ59" s="3">
        <v>1.62</v>
      </c>
      <c r="BA59" s="3">
        <v>2.6244000000000005</v>
      </c>
      <c r="BB59" s="3">
        <v>22.481329065691202</v>
      </c>
      <c r="BC59" t="s">
        <v>85</v>
      </c>
      <c r="BD59" t="s">
        <v>86</v>
      </c>
      <c r="BE59" s="4">
        <v>1</v>
      </c>
      <c r="BF59" t="s">
        <v>87</v>
      </c>
      <c r="BG59" s="1" t="e">
        <v>#NULL!</v>
      </c>
      <c r="BH59" s="4">
        <v>0</v>
      </c>
      <c r="BI59" t="s">
        <v>85</v>
      </c>
      <c r="BJ59" s="4">
        <v>1</v>
      </c>
      <c r="BK59" t="s">
        <v>88</v>
      </c>
    </row>
    <row r="60" spans="1:63" x14ac:dyDescent="0.35">
      <c r="A60" s="4">
        <v>406</v>
      </c>
      <c r="B60" s="4">
        <v>26</v>
      </c>
      <c r="C60" t="s">
        <v>114</v>
      </c>
      <c r="D60" t="s">
        <v>64</v>
      </c>
      <c r="E60" t="s">
        <v>65</v>
      </c>
      <c r="F60" t="s">
        <v>101</v>
      </c>
      <c r="G60" t="s">
        <v>67</v>
      </c>
      <c r="H60" s="2">
        <v>400</v>
      </c>
      <c r="I60" t="s">
        <v>68</v>
      </c>
      <c r="J60" t="s">
        <v>69</v>
      </c>
      <c r="K60" t="s">
        <v>69</v>
      </c>
      <c r="L60" t="s">
        <v>69</v>
      </c>
      <c r="M60" s="4">
        <v>2</v>
      </c>
      <c r="N60" t="s">
        <v>71</v>
      </c>
      <c r="O60" s="4">
        <v>2</v>
      </c>
      <c r="P60" t="s">
        <v>71</v>
      </c>
      <c r="Q60" s="4">
        <v>4</v>
      </c>
      <c r="R60" t="s">
        <v>91</v>
      </c>
      <c r="S60" s="4">
        <v>5</v>
      </c>
      <c r="T60" t="s">
        <v>72</v>
      </c>
      <c r="U60" t="s">
        <v>92</v>
      </c>
      <c r="V60" t="s">
        <v>93</v>
      </c>
      <c r="W60" t="s">
        <v>93</v>
      </c>
      <c r="X60" t="s">
        <v>94</v>
      </c>
      <c r="Y60" t="s">
        <v>69</v>
      </c>
      <c r="Z60" s="4">
        <v>5</v>
      </c>
      <c r="AA60" t="s">
        <v>77</v>
      </c>
      <c r="AB60" s="4">
        <v>118</v>
      </c>
      <c r="AC60" s="4">
        <v>78</v>
      </c>
      <c r="AD60" s="4">
        <v>80</v>
      </c>
      <c r="AE60" s="4">
        <v>174</v>
      </c>
      <c r="AF60" s="4">
        <v>94</v>
      </c>
      <c r="AG60" s="4">
        <v>115</v>
      </c>
      <c r="AH60" s="4">
        <v>111</v>
      </c>
      <c r="AI60" s="4">
        <v>130</v>
      </c>
      <c r="AJ60" s="4">
        <v>41</v>
      </c>
      <c r="AK60" t="s">
        <v>78</v>
      </c>
      <c r="AL60" t="s">
        <v>95</v>
      </c>
      <c r="AM60" t="s">
        <v>80</v>
      </c>
      <c r="AN60" t="s">
        <v>96</v>
      </c>
      <c r="AO60" t="s">
        <v>97</v>
      </c>
      <c r="AP60" t="s">
        <v>83</v>
      </c>
      <c r="AQ60" t="s">
        <v>85</v>
      </c>
      <c r="AR60" t="s">
        <v>85</v>
      </c>
      <c r="AS60" t="s">
        <v>102</v>
      </c>
      <c r="AT60" t="s">
        <v>83</v>
      </c>
      <c r="AU60" t="s">
        <v>83</v>
      </c>
      <c r="AV60" t="s">
        <v>83</v>
      </c>
      <c r="AW60" s="4">
        <v>1</v>
      </c>
      <c r="AX60" s="4">
        <v>0</v>
      </c>
      <c r="AY60" s="4">
        <v>1</v>
      </c>
      <c r="AZ60" s="3">
        <v>1.74</v>
      </c>
      <c r="BA60" s="3">
        <v>3.0276000000000001</v>
      </c>
      <c r="BB60" s="3">
        <v>26.423569824283259</v>
      </c>
      <c r="BC60" t="s">
        <v>98</v>
      </c>
      <c r="BD60" t="s">
        <v>99</v>
      </c>
      <c r="BE60" s="4">
        <v>2</v>
      </c>
      <c r="BF60" t="s">
        <v>87</v>
      </c>
      <c r="BG60" s="4">
        <v>0</v>
      </c>
      <c r="BH60" s="1" t="e">
        <v>#NULL!</v>
      </c>
      <c r="BI60" t="s">
        <v>85</v>
      </c>
      <c r="BJ60" s="4">
        <v>1</v>
      </c>
      <c r="BK60" t="s">
        <v>88</v>
      </c>
    </row>
    <row r="61" spans="1:63" x14ac:dyDescent="0.35">
      <c r="A61" s="4">
        <v>483</v>
      </c>
      <c r="B61" s="4">
        <v>26</v>
      </c>
      <c r="C61" t="s">
        <v>114</v>
      </c>
      <c r="D61" t="s">
        <v>64</v>
      </c>
      <c r="E61" t="s">
        <v>65</v>
      </c>
      <c r="F61" t="s">
        <v>101</v>
      </c>
      <c r="G61" t="s">
        <v>67</v>
      </c>
      <c r="H61" s="2">
        <v>400</v>
      </c>
      <c r="I61" t="s">
        <v>68</v>
      </c>
      <c r="J61" t="s">
        <v>69</v>
      </c>
      <c r="K61" t="s">
        <v>70</v>
      </c>
      <c r="L61" t="s">
        <v>69</v>
      </c>
      <c r="M61" s="4">
        <v>2</v>
      </c>
      <c r="N61" t="s">
        <v>71</v>
      </c>
      <c r="O61" s="4">
        <v>2</v>
      </c>
      <c r="P61" t="s">
        <v>71</v>
      </c>
      <c r="Q61" s="4">
        <v>4</v>
      </c>
      <c r="R61" t="s">
        <v>91</v>
      </c>
      <c r="S61" s="4">
        <v>5</v>
      </c>
      <c r="T61" t="s">
        <v>72</v>
      </c>
      <c r="U61" t="s">
        <v>92</v>
      </c>
      <c r="V61" t="s">
        <v>93</v>
      </c>
      <c r="W61" t="s">
        <v>93</v>
      </c>
      <c r="X61" t="s">
        <v>94</v>
      </c>
      <c r="Y61" t="s">
        <v>69</v>
      </c>
      <c r="Z61" s="4">
        <v>5</v>
      </c>
      <c r="AA61" t="s">
        <v>77</v>
      </c>
      <c r="AB61" s="4">
        <v>118</v>
      </c>
      <c r="AC61" s="4">
        <v>78</v>
      </c>
      <c r="AD61" s="4">
        <v>80</v>
      </c>
      <c r="AE61" s="4">
        <v>174</v>
      </c>
      <c r="AF61" s="4">
        <v>94</v>
      </c>
      <c r="AG61" s="4">
        <v>115</v>
      </c>
      <c r="AH61" s="4">
        <v>111</v>
      </c>
      <c r="AI61" s="4">
        <v>130</v>
      </c>
      <c r="AJ61" s="4">
        <v>41</v>
      </c>
      <c r="AK61" t="s">
        <v>78</v>
      </c>
      <c r="AL61" t="s">
        <v>95</v>
      </c>
      <c r="AM61" t="s">
        <v>80</v>
      </c>
      <c r="AN61" t="s">
        <v>96</v>
      </c>
      <c r="AO61" t="s">
        <v>97</v>
      </c>
      <c r="AP61" t="s">
        <v>83</v>
      </c>
      <c r="AQ61" t="s">
        <v>85</v>
      </c>
      <c r="AR61" t="s">
        <v>85</v>
      </c>
      <c r="AS61" t="s">
        <v>102</v>
      </c>
      <c r="AT61" t="s">
        <v>83</v>
      </c>
      <c r="AU61" t="s">
        <v>83</v>
      </c>
      <c r="AV61" t="s">
        <v>83</v>
      </c>
      <c r="AW61" s="4">
        <v>1</v>
      </c>
      <c r="AX61" s="4">
        <v>0</v>
      </c>
      <c r="AY61" s="4">
        <v>1</v>
      </c>
      <c r="AZ61" s="3">
        <v>1.74</v>
      </c>
      <c r="BA61" s="3">
        <v>3.0276000000000001</v>
      </c>
      <c r="BB61" s="3">
        <v>26.423569824283259</v>
      </c>
      <c r="BC61" t="s">
        <v>98</v>
      </c>
      <c r="BD61" t="s">
        <v>99</v>
      </c>
      <c r="BE61" s="4">
        <v>2</v>
      </c>
      <c r="BF61" t="s">
        <v>87</v>
      </c>
      <c r="BG61" s="4">
        <v>0</v>
      </c>
      <c r="BH61" s="1" t="e">
        <v>#NULL!</v>
      </c>
      <c r="BI61" t="s">
        <v>85</v>
      </c>
      <c r="BJ61" s="4">
        <v>1</v>
      </c>
      <c r="BK61" t="s">
        <v>88</v>
      </c>
    </row>
    <row r="62" spans="1:63" x14ac:dyDescent="0.35">
      <c r="A62" s="4">
        <v>89</v>
      </c>
      <c r="B62" s="4">
        <v>26</v>
      </c>
      <c r="C62" t="s">
        <v>114</v>
      </c>
      <c r="D62" t="s">
        <v>64</v>
      </c>
      <c r="E62" t="s">
        <v>104</v>
      </c>
      <c r="F62" t="s">
        <v>90</v>
      </c>
      <c r="G62" t="s">
        <v>67</v>
      </c>
      <c r="H62" s="2">
        <v>400</v>
      </c>
      <c r="I62" t="s">
        <v>68</v>
      </c>
      <c r="J62" t="s">
        <v>69</v>
      </c>
      <c r="K62" t="s">
        <v>70</v>
      </c>
      <c r="L62" t="s">
        <v>69</v>
      </c>
      <c r="M62" s="4">
        <v>1</v>
      </c>
      <c r="N62" t="s">
        <v>71</v>
      </c>
      <c r="O62" s="4">
        <v>2</v>
      </c>
      <c r="P62" t="s">
        <v>71</v>
      </c>
      <c r="Q62" s="4">
        <v>2</v>
      </c>
      <c r="R62" t="s">
        <v>71</v>
      </c>
      <c r="S62" s="4">
        <v>1</v>
      </c>
      <c r="T62" t="s">
        <v>71</v>
      </c>
      <c r="U62" t="s">
        <v>92</v>
      </c>
      <c r="V62" t="s">
        <v>93</v>
      </c>
      <c r="W62" t="s">
        <v>75</v>
      </c>
      <c r="X62" t="s">
        <v>76</v>
      </c>
      <c r="Y62" t="s">
        <v>69</v>
      </c>
      <c r="Z62" s="4">
        <v>4</v>
      </c>
      <c r="AA62" t="s">
        <v>77</v>
      </c>
      <c r="AB62" s="4">
        <v>141</v>
      </c>
      <c r="AC62" s="4">
        <v>71</v>
      </c>
      <c r="AD62" s="4">
        <v>66</v>
      </c>
      <c r="AE62" s="4">
        <v>188</v>
      </c>
      <c r="AF62" s="4">
        <v>79</v>
      </c>
      <c r="AG62" s="4">
        <v>94</v>
      </c>
      <c r="AH62" s="4">
        <v>84</v>
      </c>
      <c r="AI62" s="4">
        <v>99</v>
      </c>
      <c r="AJ62" s="4">
        <v>51</v>
      </c>
      <c r="AK62" t="s">
        <v>78</v>
      </c>
      <c r="AL62" t="s">
        <v>79</v>
      </c>
      <c r="AM62" t="s">
        <v>80</v>
      </c>
      <c r="AN62" t="s">
        <v>81</v>
      </c>
      <c r="AO62" t="s">
        <v>82</v>
      </c>
      <c r="AP62" t="s">
        <v>85</v>
      </c>
      <c r="AQ62" t="s">
        <v>85</v>
      </c>
      <c r="AR62" t="s">
        <v>85</v>
      </c>
      <c r="AS62" t="s">
        <v>84</v>
      </c>
      <c r="AT62" t="s">
        <v>85</v>
      </c>
      <c r="AU62" t="s">
        <v>85</v>
      </c>
      <c r="AV62" t="s">
        <v>85</v>
      </c>
      <c r="AW62" s="4">
        <v>1</v>
      </c>
      <c r="AX62" s="4">
        <v>0</v>
      </c>
      <c r="AY62" s="4">
        <v>0</v>
      </c>
      <c r="AZ62" s="3">
        <v>1.88</v>
      </c>
      <c r="BA62" s="3">
        <v>3.5343999999999998</v>
      </c>
      <c r="BB62" s="3">
        <v>18.673607967406067</v>
      </c>
      <c r="BC62" t="s">
        <v>85</v>
      </c>
      <c r="BD62" t="s">
        <v>86</v>
      </c>
      <c r="BE62" s="4">
        <v>1</v>
      </c>
      <c r="BF62" t="s">
        <v>87</v>
      </c>
      <c r="BG62" s="4">
        <v>0</v>
      </c>
      <c r="BH62" s="1" t="e">
        <v>#NULL!</v>
      </c>
      <c r="BI62" t="s">
        <v>85</v>
      </c>
      <c r="BJ62" s="4">
        <v>1</v>
      </c>
      <c r="BK62" t="s">
        <v>88</v>
      </c>
    </row>
    <row r="63" spans="1:63" x14ac:dyDescent="0.35">
      <c r="A63" s="4">
        <v>115</v>
      </c>
      <c r="B63" s="4">
        <v>26</v>
      </c>
      <c r="C63" t="s">
        <v>114</v>
      </c>
      <c r="D63" t="s">
        <v>89</v>
      </c>
      <c r="E63" t="s">
        <v>104</v>
      </c>
      <c r="F63" t="s">
        <v>66</v>
      </c>
      <c r="G63" t="s">
        <v>67</v>
      </c>
      <c r="H63" s="2">
        <v>750</v>
      </c>
      <c r="I63" t="s">
        <v>105</v>
      </c>
      <c r="J63" t="s">
        <v>69</v>
      </c>
      <c r="K63" t="s">
        <v>69</v>
      </c>
      <c r="L63" t="s">
        <v>69</v>
      </c>
      <c r="M63" s="4">
        <v>1</v>
      </c>
      <c r="N63" t="s">
        <v>71</v>
      </c>
      <c r="O63" s="4">
        <v>2</v>
      </c>
      <c r="P63" t="s">
        <v>71</v>
      </c>
      <c r="Q63" s="4">
        <v>2</v>
      </c>
      <c r="R63" t="s">
        <v>71</v>
      </c>
      <c r="S63" s="4">
        <v>1</v>
      </c>
      <c r="T63" t="s">
        <v>71</v>
      </c>
      <c r="U63" t="s">
        <v>103</v>
      </c>
      <c r="V63" t="s">
        <v>93</v>
      </c>
      <c r="W63" t="s">
        <v>74</v>
      </c>
      <c r="X63" t="s">
        <v>76</v>
      </c>
      <c r="Y63" t="s">
        <v>69</v>
      </c>
      <c r="Z63" s="4">
        <v>1</v>
      </c>
      <c r="AA63" t="s">
        <v>77</v>
      </c>
      <c r="AB63" s="4">
        <v>123</v>
      </c>
      <c r="AC63" s="4">
        <v>71</v>
      </c>
      <c r="AD63" s="4">
        <v>65</v>
      </c>
      <c r="AE63" s="4">
        <v>162</v>
      </c>
      <c r="AF63" s="4">
        <v>96</v>
      </c>
      <c r="AG63" s="4">
        <v>106</v>
      </c>
      <c r="AH63" s="4">
        <v>91</v>
      </c>
      <c r="AI63" s="4">
        <v>64</v>
      </c>
      <c r="AJ63" s="4">
        <v>38</v>
      </c>
      <c r="AK63" t="s">
        <v>78</v>
      </c>
      <c r="AL63" t="s">
        <v>95</v>
      </c>
      <c r="AM63" t="s">
        <v>80</v>
      </c>
      <c r="AN63" t="s">
        <v>96</v>
      </c>
      <c r="AO63" t="s">
        <v>97</v>
      </c>
      <c r="AP63" t="s">
        <v>83</v>
      </c>
      <c r="AQ63" t="s">
        <v>83</v>
      </c>
      <c r="AR63" t="s">
        <v>83</v>
      </c>
      <c r="AS63" t="s">
        <v>84</v>
      </c>
      <c r="AT63" t="s">
        <v>83</v>
      </c>
      <c r="AU63" t="s">
        <v>83</v>
      </c>
      <c r="AV63" t="s">
        <v>83</v>
      </c>
      <c r="AW63" s="4">
        <v>1</v>
      </c>
      <c r="AX63" s="4">
        <v>0</v>
      </c>
      <c r="AY63" s="4">
        <v>1</v>
      </c>
      <c r="AZ63" s="3">
        <v>1.62</v>
      </c>
      <c r="BA63" s="3">
        <v>2.6244000000000005</v>
      </c>
      <c r="BB63" s="3">
        <v>24.767565919829291</v>
      </c>
      <c r="BC63" t="s">
        <v>85</v>
      </c>
      <c r="BD63" t="s">
        <v>86</v>
      </c>
      <c r="BE63" s="4">
        <v>2</v>
      </c>
      <c r="BF63" t="s">
        <v>87</v>
      </c>
      <c r="BG63" s="1" t="e">
        <v>#NULL!</v>
      </c>
      <c r="BH63" s="4">
        <v>1</v>
      </c>
      <c r="BI63" t="s">
        <v>83</v>
      </c>
      <c r="BJ63" s="4">
        <v>2</v>
      </c>
      <c r="BK63" t="s">
        <v>88</v>
      </c>
    </row>
    <row r="64" spans="1:63" x14ac:dyDescent="0.35">
      <c r="A64" s="4">
        <v>155</v>
      </c>
      <c r="B64" s="4">
        <v>26</v>
      </c>
      <c r="C64" t="s">
        <v>114</v>
      </c>
      <c r="D64" t="s">
        <v>89</v>
      </c>
      <c r="E64" t="s">
        <v>104</v>
      </c>
      <c r="F64" t="s">
        <v>66</v>
      </c>
      <c r="G64" t="s">
        <v>67</v>
      </c>
      <c r="H64" s="2">
        <v>700</v>
      </c>
      <c r="I64" t="s">
        <v>105</v>
      </c>
      <c r="J64" t="s">
        <v>69</v>
      </c>
      <c r="K64" t="s">
        <v>69</v>
      </c>
      <c r="L64" t="s">
        <v>69</v>
      </c>
      <c r="M64" s="4">
        <v>1</v>
      </c>
      <c r="N64" t="s">
        <v>71</v>
      </c>
      <c r="O64" s="4">
        <v>3</v>
      </c>
      <c r="P64" t="s">
        <v>91</v>
      </c>
      <c r="Q64" s="4">
        <v>1</v>
      </c>
      <c r="R64" t="s">
        <v>71</v>
      </c>
      <c r="S64" s="4">
        <v>2</v>
      </c>
      <c r="T64" t="s">
        <v>71</v>
      </c>
      <c r="U64" t="s">
        <v>92</v>
      </c>
      <c r="V64" t="s">
        <v>93</v>
      </c>
      <c r="W64" t="s">
        <v>93</v>
      </c>
      <c r="X64" t="s">
        <v>94</v>
      </c>
      <c r="Y64" t="s">
        <v>69</v>
      </c>
      <c r="Z64" s="4">
        <v>7</v>
      </c>
      <c r="AA64" t="s">
        <v>77</v>
      </c>
      <c r="AB64" s="4">
        <v>111</v>
      </c>
      <c r="AC64" s="4">
        <v>68</v>
      </c>
      <c r="AD64" s="4">
        <v>53</v>
      </c>
      <c r="AE64" s="4">
        <v>163</v>
      </c>
      <c r="AF64" s="4">
        <v>66</v>
      </c>
      <c r="AG64" s="4">
        <v>82</v>
      </c>
      <c r="AH64" s="4">
        <v>75</v>
      </c>
      <c r="AI64" s="4">
        <v>55</v>
      </c>
      <c r="AJ64" s="4">
        <v>62</v>
      </c>
      <c r="AK64" t="s">
        <v>78</v>
      </c>
      <c r="AL64" t="s">
        <v>95</v>
      </c>
      <c r="AM64" t="s">
        <v>80</v>
      </c>
      <c r="AN64" t="s">
        <v>96</v>
      </c>
      <c r="AO64" t="s">
        <v>97</v>
      </c>
      <c r="AP64" t="s">
        <v>85</v>
      </c>
      <c r="AQ64" t="s">
        <v>85</v>
      </c>
      <c r="AR64" t="s">
        <v>85</v>
      </c>
      <c r="AS64" t="s">
        <v>84</v>
      </c>
      <c r="AT64" t="s">
        <v>85</v>
      </c>
      <c r="AU64" t="s">
        <v>85</v>
      </c>
      <c r="AV64" t="s">
        <v>85</v>
      </c>
      <c r="AW64" s="4">
        <v>0</v>
      </c>
      <c r="AX64" s="4">
        <v>0</v>
      </c>
      <c r="AY64" s="4">
        <v>0</v>
      </c>
      <c r="AZ64" s="3">
        <v>1.63</v>
      </c>
      <c r="BA64" s="3">
        <v>2.6568999999999998</v>
      </c>
      <c r="BB64" s="3">
        <v>19.948059768903612</v>
      </c>
      <c r="BC64" t="s">
        <v>85</v>
      </c>
      <c r="BD64" t="s">
        <v>86</v>
      </c>
      <c r="BE64" s="4">
        <v>0</v>
      </c>
      <c r="BF64" t="s">
        <v>87</v>
      </c>
      <c r="BG64" s="1" t="e">
        <v>#NULL!</v>
      </c>
      <c r="BH64" s="4">
        <v>0</v>
      </c>
      <c r="BI64" t="s">
        <v>85</v>
      </c>
      <c r="BJ64" s="4">
        <v>0</v>
      </c>
      <c r="BK64" t="s">
        <v>88</v>
      </c>
    </row>
    <row r="65" spans="1:63" x14ac:dyDescent="0.35">
      <c r="A65" s="4">
        <v>285</v>
      </c>
      <c r="B65" s="4">
        <v>26</v>
      </c>
      <c r="C65" t="s">
        <v>114</v>
      </c>
      <c r="D65" t="s">
        <v>64</v>
      </c>
      <c r="E65" t="s">
        <v>104</v>
      </c>
      <c r="F65" t="s">
        <v>90</v>
      </c>
      <c r="G65" t="s">
        <v>67</v>
      </c>
      <c r="H65" s="2">
        <v>150</v>
      </c>
      <c r="I65" t="s">
        <v>68</v>
      </c>
      <c r="J65" t="s">
        <v>70</v>
      </c>
      <c r="K65" t="s">
        <v>69</v>
      </c>
      <c r="L65" t="s">
        <v>69</v>
      </c>
      <c r="M65" s="4">
        <v>2</v>
      </c>
      <c r="N65" t="s">
        <v>71</v>
      </c>
      <c r="O65" s="4">
        <v>5</v>
      </c>
      <c r="P65" t="s">
        <v>72</v>
      </c>
      <c r="Q65" s="4">
        <v>2</v>
      </c>
      <c r="R65" t="s">
        <v>71</v>
      </c>
      <c r="S65" s="4">
        <v>5</v>
      </c>
      <c r="T65" t="s">
        <v>72</v>
      </c>
      <c r="U65" t="s">
        <v>103</v>
      </c>
      <c r="V65" t="s">
        <v>93</v>
      </c>
      <c r="W65" t="s">
        <v>93</v>
      </c>
      <c r="X65" t="s">
        <v>94</v>
      </c>
      <c r="Y65" t="s">
        <v>69</v>
      </c>
      <c r="Z65" s="4">
        <v>2</v>
      </c>
      <c r="AA65" t="s">
        <v>77</v>
      </c>
      <c r="AB65" s="4">
        <v>137</v>
      </c>
      <c r="AC65" s="4">
        <v>67</v>
      </c>
      <c r="AD65" s="4">
        <v>53</v>
      </c>
      <c r="AE65" s="4">
        <v>174</v>
      </c>
      <c r="AF65" s="4">
        <v>78</v>
      </c>
      <c r="AG65" s="4">
        <v>89</v>
      </c>
      <c r="AH65" s="4">
        <v>72</v>
      </c>
      <c r="AI65" s="4">
        <v>98</v>
      </c>
      <c r="AJ65" s="4">
        <v>55</v>
      </c>
      <c r="AK65" t="s">
        <v>78</v>
      </c>
      <c r="AL65" t="s">
        <v>79</v>
      </c>
      <c r="AM65" t="s">
        <v>80</v>
      </c>
      <c r="AN65" t="s">
        <v>81</v>
      </c>
      <c r="AO65" t="s">
        <v>82</v>
      </c>
      <c r="AP65" t="s">
        <v>85</v>
      </c>
      <c r="AQ65" t="s">
        <v>85</v>
      </c>
      <c r="AR65" t="s">
        <v>85</v>
      </c>
      <c r="AS65" t="s">
        <v>84</v>
      </c>
      <c r="AT65" t="s">
        <v>85</v>
      </c>
      <c r="AU65" t="s">
        <v>85</v>
      </c>
      <c r="AV65" t="s">
        <v>85</v>
      </c>
      <c r="AW65" s="4">
        <v>1</v>
      </c>
      <c r="AX65" s="4">
        <v>0</v>
      </c>
      <c r="AY65" s="4">
        <v>0</v>
      </c>
      <c r="AZ65" s="3">
        <v>1.74</v>
      </c>
      <c r="BA65" s="3">
        <v>3.0276000000000001</v>
      </c>
      <c r="BB65" s="3">
        <v>17.505615008587661</v>
      </c>
      <c r="BC65" t="s">
        <v>100</v>
      </c>
      <c r="BD65" t="s">
        <v>86</v>
      </c>
      <c r="BE65" s="4">
        <v>1</v>
      </c>
      <c r="BF65" t="s">
        <v>87</v>
      </c>
      <c r="BG65" s="4">
        <v>0</v>
      </c>
      <c r="BH65" s="1" t="e">
        <v>#NULL!</v>
      </c>
      <c r="BI65" t="s">
        <v>85</v>
      </c>
      <c r="BJ65" s="4">
        <v>1</v>
      </c>
      <c r="BK65" t="s">
        <v>88</v>
      </c>
    </row>
    <row r="66" spans="1:63" x14ac:dyDescent="0.35">
      <c r="A66" s="4">
        <v>301</v>
      </c>
      <c r="B66" s="4">
        <v>26</v>
      </c>
      <c r="C66" t="s">
        <v>114</v>
      </c>
      <c r="D66" t="s">
        <v>89</v>
      </c>
      <c r="E66" t="s">
        <v>104</v>
      </c>
      <c r="F66" t="s">
        <v>115</v>
      </c>
      <c r="G66" t="s">
        <v>67</v>
      </c>
      <c r="H66" s="2">
        <v>300</v>
      </c>
      <c r="I66" t="s">
        <v>68</v>
      </c>
      <c r="J66" t="s">
        <v>69</v>
      </c>
      <c r="K66" t="s">
        <v>69</v>
      </c>
      <c r="L66" t="s">
        <v>69</v>
      </c>
      <c r="M66" s="4">
        <v>2</v>
      </c>
      <c r="N66" t="s">
        <v>71</v>
      </c>
      <c r="O66" s="4">
        <v>4</v>
      </c>
      <c r="P66" t="s">
        <v>91</v>
      </c>
      <c r="Q66" s="4">
        <v>7</v>
      </c>
      <c r="R66" t="s">
        <v>72</v>
      </c>
      <c r="S66" s="4">
        <v>7</v>
      </c>
      <c r="T66" t="s">
        <v>72</v>
      </c>
      <c r="U66" t="s">
        <v>92</v>
      </c>
      <c r="V66" t="s">
        <v>74</v>
      </c>
      <c r="W66" t="s">
        <v>93</v>
      </c>
      <c r="X66" t="s">
        <v>94</v>
      </c>
      <c r="Y66" t="s">
        <v>69</v>
      </c>
      <c r="Z66" s="4">
        <v>1</v>
      </c>
      <c r="AA66" t="s">
        <v>77</v>
      </c>
      <c r="AB66" s="4">
        <v>95</v>
      </c>
      <c r="AC66" s="4">
        <v>56</v>
      </c>
      <c r="AD66" s="4">
        <v>52</v>
      </c>
      <c r="AE66" s="4">
        <v>153</v>
      </c>
      <c r="AF66" s="4">
        <v>103</v>
      </c>
      <c r="AG66" s="4">
        <v>122</v>
      </c>
      <c r="AH66" s="4">
        <v>98</v>
      </c>
      <c r="AI66" s="4">
        <v>133</v>
      </c>
      <c r="AJ66" s="4">
        <v>54</v>
      </c>
      <c r="AK66" t="s">
        <v>78</v>
      </c>
      <c r="AL66" t="s">
        <v>95</v>
      </c>
      <c r="AM66" t="s">
        <v>80</v>
      </c>
      <c r="AN66" t="s">
        <v>96</v>
      </c>
      <c r="AO66" t="s">
        <v>97</v>
      </c>
      <c r="AP66" t="s">
        <v>85</v>
      </c>
      <c r="AQ66" t="s">
        <v>85</v>
      </c>
      <c r="AR66" t="s">
        <v>85</v>
      </c>
      <c r="AS66" t="s">
        <v>84</v>
      </c>
      <c r="AT66" t="s">
        <v>83</v>
      </c>
      <c r="AU66" t="s">
        <v>83</v>
      </c>
      <c r="AV66" t="s">
        <v>83</v>
      </c>
      <c r="AW66" s="4">
        <v>0</v>
      </c>
      <c r="AX66" s="4">
        <v>0</v>
      </c>
      <c r="AY66" s="4">
        <v>1</v>
      </c>
      <c r="AZ66" s="3">
        <v>1.53</v>
      </c>
      <c r="BA66" s="3">
        <v>2.3409</v>
      </c>
      <c r="BB66" s="3">
        <v>22.213678499722331</v>
      </c>
      <c r="BC66" t="s">
        <v>85</v>
      </c>
      <c r="BD66" t="s">
        <v>86</v>
      </c>
      <c r="BE66" s="4">
        <v>1</v>
      </c>
      <c r="BF66" t="s">
        <v>87</v>
      </c>
      <c r="BG66" s="1" t="e">
        <v>#NULL!</v>
      </c>
      <c r="BH66" s="4">
        <v>1</v>
      </c>
      <c r="BI66" t="s">
        <v>83</v>
      </c>
      <c r="BJ66" s="4">
        <v>1</v>
      </c>
      <c r="BK66" t="s">
        <v>88</v>
      </c>
    </row>
    <row r="67" spans="1:63" x14ac:dyDescent="0.35">
      <c r="A67" s="4">
        <v>316</v>
      </c>
      <c r="B67" s="4">
        <v>26</v>
      </c>
      <c r="C67" t="s">
        <v>114</v>
      </c>
      <c r="D67" t="s">
        <v>89</v>
      </c>
      <c r="E67" t="s">
        <v>104</v>
      </c>
      <c r="F67" t="s">
        <v>101</v>
      </c>
      <c r="G67" t="s">
        <v>67</v>
      </c>
      <c r="H67" s="2">
        <v>700</v>
      </c>
      <c r="I67" t="s">
        <v>105</v>
      </c>
      <c r="J67" t="s">
        <v>69</v>
      </c>
      <c r="K67" t="s">
        <v>69</v>
      </c>
      <c r="L67" t="s">
        <v>69</v>
      </c>
      <c r="M67" s="4">
        <v>5</v>
      </c>
      <c r="N67" t="s">
        <v>72</v>
      </c>
      <c r="O67" s="4">
        <v>5</v>
      </c>
      <c r="P67" t="s">
        <v>72</v>
      </c>
      <c r="Q67" s="4">
        <v>3</v>
      </c>
      <c r="R67" t="s">
        <v>91</v>
      </c>
      <c r="S67" s="4">
        <v>2</v>
      </c>
      <c r="T67" t="s">
        <v>71</v>
      </c>
      <c r="U67" t="s">
        <v>73</v>
      </c>
      <c r="V67" t="s">
        <v>93</v>
      </c>
      <c r="W67" t="s">
        <v>93</v>
      </c>
      <c r="X67" t="s">
        <v>94</v>
      </c>
      <c r="Y67" t="s">
        <v>69</v>
      </c>
      <c r="Z67" s="4">
        <v>2</v>
      </c>
      <c r="AA67" t="s">
        <v>77</v>
      </c>
      <c r="AB67" s="4">
        <v>97</v>
      </c>
      <c r="AC67" s="4">
        <v>58</v>
      </c>
      <c r="AD67" s="4">
        <v>53</v>
      </c>
      <c r="AE67" s="4">
        <v>161</v>
      </c>
      <c r="AF67" s="4">
        <v>76</v>
      </c>
      <c r="AG67" s="4">
        <v>97</v>
      </c>
      <c r="AH67" s="4">
        <v>88</v>
      </c>
      <c r="AI67" s="4">
        <v>55</v>
      </c>
      <c r="AJ67" s="4">
        <v>44</v>
      </c>
      <c r="AK67" t="s">
        <v>78</v>
      </c>
      <c r="AL67" t="s">
        <v>95</v>
      </c>
      <c r="AM67" t="s">
        <v>80</v>
      </c>
      <c r="AN67" t="s">
        <v>96</v>
      </c>
      <c r="AO67" t="s">
        <v>97</v>
      </c>
      <c r="AP67" t="s">
        <v>83</v>
      </c>
      <c r="AQ67" t="s">
        <v>85</v>
      </c>
      <c r="AR67" t="s">
        <v>83</v>
      </c>
      <c r="AS67" t="s">
        <v>84</v>
      </c>
      <c r="AT67" t="s">
        <v>85</v>
      </c>
      <c r="AU67" t="s">
        <v>85</v>
      </c>
      <c r="AV67" t="s">
        <v>85</v>
      </c>
      <c r="AW67" s="4">
        <v>1</v>
      </c>
      <c r="AX67" s="4">
        <v>0</v>
      </c>
      <c r="AY67" s="4">
        <v>0</v>
      </c>
      <c r="AZ67" s="3">
        <v>1.61</v>
      </c>
      <c r="BA67" s="3">
        <v>2.5921000000000003</v>
      </c>
      <c r="BB67" s="3">
        <v>20.446742023841672</v>
      </c>
      <c r="BC67" t="s">
        <v>85</v>
      </c>
      <c r="BD67" t="s">
        <v>86</v>
      </c>
      <c r="BE67" s="4">
        <v>1</v>
      </c>
      <c r="BF67" t="s">
        <v>87</v>
      </c>
      <c r="BG67" s="1" t="e">
        <v>#NULL!</v>
      </c>
      <c r="BH67" s="4">
        <v>0</v>
      </c>
      <c r="BI67" t="s">
        <v>85</v>
      </c>
      <c r="BJ67" s="4">
        <v>1</v>
      </c>
      <c r="BK67" t="s">
        <v>88</v>
      </c>
    </row>
    <row r="68" spans="1:63" x14ac:dyDescent="0.35">
      <c r="A68" s="4">
        <v>360</v>
      </c>
      <c r="B68" s="4">
        <v>26</v>
      </c>
      <c r="C68" t="s">
        <v>114</v>
      </c>
      <c r="D68" t="s">
        <v>89</v>
      </c>
      <c r="E68" t="s">
        <v>104</v>
      </c>
      <c r="F68" t="s">
        <v>66</v>
      </c>
      <c r="G68" t="s">
        <v>67</v>
      </c>
      <c r="H68" s="2">
        <v>200</v>
      </c>
      <c r="I68" t="s">
        <v>68</v>
      </c>
      <c r="J68" t="s">
        <v>69</v>
      </c>
      <c r="K68" t="s">
        <v>69</v>
      </c>
      <c r="L68" t="s">
        <v>69</v>
      </c>
      <c r="M68" s="4">
        <v>1</v>
      </c>
      <c r="N68" t="s">
        <v>71</v>
      </c>
      <c r="O68" s="4">
        <v>3</v>
      </c>
      <c r="P68" t="s">
        <v>91</v>
      </c>
      <c r="Q68" s="4">
        <v>1</v>
      </c>
      <c r="R68" t="s">
        <v>71</v>
      </c>
      <c r="S68" s="4">
        <v>2</v>
      </c>
      <c r="T68" t="s">
        <v>71</v>
      </c>
      <c r="U68" t="s">
        <v>103</v>
      </c>
      <c r="V68" t="s">
        <v>93</v>
      </c>
      <c r="W68" t="s">
        <v>93</v>
      </c>
      <c r="X68" t="s">
        <v>94</v>
      </c>
      <c r="Y68" t="s">
        <v>69</v>
      </c>
      <c r="Z68" s="4">
        <v>5</v>
      </c>
      <c r="AA68" t="s">
        <v>77</v>
      </c>
      <c r="AB68" s="4">
        <v>118</v>
      </c>
      <c r="AC68" s="4">
        <v>60</v>
      </c>
      <c r="AD68" s="4">
        <v>52</v>
      </c>
      <c r="AE68" s="4">
        <v>160</v>
      </c>
      <c r="AF68" s="4">
        <v>76</v>
      </c>
      <c r="AG68" s="4">
        <v>98</v>
      </c>
      <c r="AH68" s="4">
        <v>96</v>
      </c>
      <c r="AI68" s="4">
        <v>70</v>
      </c>
      <c r="AJ68" s="4">
        <v>52</v>
      </c>
      <c r="AK68" t="s">
        <v>78</v>
      </c>
      <c r="AL68" t="s">
        <v>95</v>
      </c>
      <c r="AM68" t="s">
        <v>80</v>
      </c>
      <c r="AN68" t="s">
        <v>96</v>
      </c>
      <c r="AO68" t="s">
        <v>97</v>
      </c>
      <c r="AP68" t="s">
        <v>85</v>
      </c>
      <c r="AQ68" t="s">
        <v>85</v>
      </c>
      <c r="AR68" t="s">
        <v>85</v>
      </c>
      <c r="AS68" t="s">
        <v>84</v>
      </c>
      <c r="AT68" t="s">
        <v>85</v>
      </c>
      <c r="AU68" t="s">
        <v>85</v>
      </c>
      <c r="AV68" t="s">
        <v>85</v>
      </c>
      <c r="AW68" s="4">
        <v>0</v>
      </c>
      <c r="AX68" s="4">
        <v>0</v>
      </c>
      <c r="AY68" s="4">
        <v>0</v>
      </c>
      <c r="AZ68" s="3">
        <v>1.6</v>
      </c>
      <c r="BA68" s="3">
        <v>2.5600000000000005</v>
      </c>
      <c r="BB68" s="3">
        <v>20.312499999999996</v>
      </c>
      <c r="BC68" t="s">
        <v>85</v>
      </c>
      <c r="BD68" t="s">
        <v>86</v>
      </c>
      <c r="BE68" s="4">
        <v>0</v>
      </c>
      <c r="BF68" t="s">
        <v>87</v>
      </c>
      <c r="BG68" s="1" t="e">
        <v>#NULL!</v>
      </c>
      <c r="BH68" s="4">
        <v>0</v>
      </c>
      <c r="BI68" t="s">
        <v>85</v>
      </c>
      <c r="BJ68" s="4">
        <v>0</v>
      </c>
      <c r="BK68" t="s">
        <v>88</v>
      </c>
    </row>
    <row r="69" spans="1:63" x14ac:dyDescent="0.35">
      <c r="A69" s="4">
        <v>449</v>
      </c>
      <c r="B69" s="4">
        <v>26</v>
      </c>
      <c r="C69" t="s">
        <v>114</v>
      </c>
      <c r="D69" t="s">
        <v>64</v>
      </c>
      <c r="E69" t="s">
        <v>104</v>
      </c>
      <c r="F69" t="s">
        <v>101</v>
      </c>
      <c r="G69" t="s">
        <v>67</v>
      </c>
      <c r="H69" s="2">
        <v>350</v>
      </c>
      <c r="I69" t="s">
        <v>68</v>
      </c>
      <c r="J69" t="s">
        <v>69</v>
      </c>
      <c r="K69" t="s">
        <v>69</v>
      </c>
      <c r="L69" t="s">
        <v>69</v>
      </c>
      <c r="M69" s="4">
        <v>3</v>
      </c>
      <c r="N69" t="s">
        <v>91</v>
      </c>
      <c r="O69" s="4">
        <v>3</v>
      </c>
      <c r="P69" t="s">
        <v>91</v>
      </c>
      <c r="Q69" s="4">
        <v>2</v>
      </c>
      <c r="R69" t="s">
        <v>71</v>
      </c>
      <c r="S69" s="4">
        <v>2</v>
      </c>
      <c r="T69" t="s">
        <v>71</v>
      </c>
      <c r="U69" t="s">
        <v>73</v>
      </c>
      <c r="V69" t="s">
        <v>75</v>
      </c>
      <c r="W69" t="s">
        <v>75</v>
      </c>
      <c r="X69" t="s">
        <v>76</v>
      </c>
      <c r="Y69" t="s">
        <v>70</v>
      </c>
      <c r="Z69" s="4">
        <v>2</v>
      </c>
      <c r="AA69" t="s">
        <v>77</v>
      </c>
      <c r="AB69" s="4">
        <v>133</v>
      </c>
      <c r="AC69" s="4">
        <v>79</v>
      </c>
      <c r="AD69" s="4">
        <v>77</v>
      </c>
      <c r="AE69" s="4">
        <v>178</v>
      </c>
      <c r="AF69" s="4">
        <v>84</v>
      </c>
      <c r="AG69" s="4">
        <v>107</v>
      </c>
      <c r="AH69" s="4">
        <v>80</v>
      </c>
      <c r="AI69" s="4">
        <v>126</v>
      </c>
      <c r="AJ69" s="4">
        <v>53</v>
      </c>
      <c r="AK69" t="s">
        <v>78</v>
      </c>
      <c r="AL69" t="s">
        <v>79</v>
      </c>
      <c r="AM69" t="s">
        <v>80</v>
      </c>
      <c r="AN69" t="s">
        <v>81</v>
      </c>
      <c r="AO69" t="s">
        <v>82</v>
      </c>
      <c r="AP69" t="s">
        <v>85</v>
      </c>
      <c r="AQ69" t="s">
        <v>85</v>
      </c>
      <c r="AR69" t="s">
        <v>85</v>
      </c>
      <c r="AS69" t="s">
        <v>84</v>
      </c>
      <c r="AT69" t="s">
        <v>85</v>
      </c>
      <c r="AU69" t="s">
        <v>83</v>
      </c>
      <c r="AV69" t="s">
        <v>85</v>
      </c>
      <c r="AW69" s="4">
        <v>1</v>
      </c>
      <c r="AX69" s="4">
        <v>0</v>
      </c>
      <c r="AY69" s="4">
        <v>0</v>
      </c>
      <c r="AZ69" s="3">
        <v>1.78</v>
      </c>
      <c r="BA69" s="3">
        <v>3.1684000000000001</v>
      </c>
      <c r="BB69" s="3">
        <v>24.302487059714682</v>
      </c>
      <c r="BC69" t="s">
        <v>85</v>
      </c>
      <c r="BD69" t="s">
        <v>86</v>
      </c>
      <c r="BE69" s="4">
        <v>1</v>
      </c>
      <c r="BF69" t="s">
        <v>87</v>
      </c>
      <c r="BG69" s="4">
        <v>0</v>
      </c>
      <c r="BH69" s="1" t="e">
        <v>#NULL!</v>
      </c>
      <c r="BI69" t="s">
        <v>85</v>
      </c>
      <c r="BJ69" s="4">
        <v>1</v>
      </c>
      <c r="BK69" t="s">
        <v>88</v>
      </c>
    </row>
    <row r="70" spans="1:63" x14ac:dyDescent="0.35">
      <c r="A70" s="4">
        <v>75</v>
      </c>
      <c r="B70" s="4">
        <v>27</v>
      </c>
      <c r="C70" t="s">
        <v>114</v>
      </c>
      <c r="D70" t="s">
        <v>64</v>
      </c>
      <c r="E70" t="s">
        <v>65</v>
      </c>
      <c r="F70" t="s">
        <v>101</v>
      </c>
      <c r="G70" t="s">
        <v>67</v>
      </c>
      <c r="H70" s="2">
        <v>400</v>
      </c>
      <c r="I70" t="s">
        <v>68</v>
      </c>
      <c r="J70" t="s">
        <v>69</v>
      </c>
      <c r="K70" t="s">
        <v>70</v>
      </c>
      <c r="L70" t="s">
        <v>69</v>
      </c>
      <c r="M70" s="4">
        <v>2</v>
      </c>
      <c r="N70" t="s">
        <v>71</v>
      </c>
      <c r="O70" s="4">
        <v>2</v>
      </c>
      <c r="P70" t="s">
        <v>71</v>
      </c>
      <c r="Q70" s="4">
        <v>4</v>
      </c>
      <c r="R70" t="s">
        <v>91</v>
      </c>
      <c r="S70" s="4">
        <v>5</v>
      </c>
      <c r="T70" t="s">
        <v>72</v>
      </c>
      <c r="U70" t="s">
        <v>92</v>
      </c>
      <c r="V70" t="s">
        <v>93</v>
      </c>
      <c r="W70" t="s">
        <v>93</v>
      </c>
      <c r="X70" t="s">
        <v>94</v>
      </c>
      <c r="Y70" t="s">
        <v>69</v>
      </c>
      <c r="Z70" s="4">
        <v>5</v>
      </c>
      <c r="AA70" t="s">
        <v>77</v>
      </c>
      <c r="AB70" s="4">
        <v>118</v>
      </c>
      <c r="AC70" s="4">
        <v>78</v>
      </c>
      <c r="AD70" s="4">
        <v>80</v>
      </c>
      <c r="AE70" s="4">
        <v>174</v>
      </c>
      <c r="AF70" s="4">
        <v>94</v>
      </c>
      <c r="AG70" s="4">
        <v>115</v>
      </c>
      <c r="AH70" s="4">
        <v>111</v>
      </c>
      <c r="AI70" s="4">
        <v>130</v>
      </c>
      <c r="AJ70" s="4">
        <v>41</v>
      </c>
      <c r="AK70" t="s">
        <v>78</v>
      </c>
      <c r="AL70" t="s">
        <v>95</v>
      </c>
      <c r="AM70" t="s">
        <v>80</v>
      </c>
      <c r="AN70" t="s">
        <v>96</v>
      </c>
      <c r="AO70" t="s">
        <v>97</v>
      </c>
      <c r="AP70" t="s">
        <v>83</v>
      </c>
      <c r="AQ70" t="s">
        <v>85</v>
      </c>
      <c r="AR70" t="s">
        <v>85</v>
      </c>
      <c r="AS70" t="s">
        <v>102</v>
      </c>
      <c r="AT70" t="s">
        <v>83</v>
      </c>
      <c r="AU70" t="s">
        <v>83</v>
      </c>
      <c r="AV70" t="s">
        <v>83</v>
      </c>
      <c r="AW70" s="4">
        <v>1</v>
      </c>
      <c r="AX70" s="4">
        <v>0</v>
      </c>
      <c r="AY70" s="4">
        <v>1</v>
      </c>
      <c r="AZ70" s="3">
        <v>1.74</v>
      </c>
      <c r="BA70" s="3">
        <v>3.0276000000000001</v>
      </c>
      <c r="BB70" s="3">
        <v>26.423569824283259</v>
      </c>
      <c r="BC70" t="s">
        <v>98</v>
      </c>
      <c r="BD70" t="s">
        <v>99</v>
      </c>
      <c r="BE70" s="4">
        <v>2</v>
      </c>
      <c r="BF70" t="s">
        <v>87</v>
      </c>
      <c r="BG70" s="4">
        <v>0</v>
      </c>
      <c r="BH70" s="1" t="e">
        <v>#NULL!</v>
      </c>
      <c r="BI70" t="s">
        <v>85</v>
      </c>
      <c r="BJ70" s="4">
        <v>1</v>
      </c>
      <c r="BK70" t="s">
        <v>88</v>
      </c>
    </row>
    <row r="71" spans="1:63" x14ac:dyDescent="0.35">
      <c r="A71" s="4">
        <v>18</v>
      </c>
      <c r="B71" s="4">
        <v>27</v>
      </c>
      <c r="C71" t="s">
        <v>114</v>
      </c>
      <c r="D71" t="s">
        <v>64</v>
      </c>
      <c r="E71" t="s">
        <v>104</v>
      </c>
      <c r="F71" t="s">
        <v>101</v>
      </c>
      <c r="G71" t="s">
        <v>67</v>
      </c>
      <c r="H71" s="2">
        <v>350</v>
      </c>
      <c r="I71" t="s">
        <v>68</v>
      </c>
      <c r="J71" t="s">
        <v>69</v>
      </c>
      <c r="K71" t="s">
        <v>70</v>
      </c>
      <c r="L71" t="s">
        <v>69</v>
      </c>
      <c r="M71" s="4">
        <v>3</v>
      </c>
      <c r="N71" t="s">
        <v>91</v>
      </c>
      <c r="O71" s="4">
        <v>3</v>
      </c>
      <c r="P71" t="s">
        <v>91</v>
      </c>
      <c r="Q71" s="4">
        <v>2</v>
      </c>
      <c r="R71" t="s">
        <v>71</v>
      </c>
      <c r="S71" s="4">
        <v>3</v>
      </c>
      <c r="T71" t="s">
        <v>91</v>
      </c>
      <c r="U71" t="s">
        <v>73</v>
      </c>
      <c r="V71" t="s">
        <v>75</v>
      </c>
      <c r="W71" t="s">
        <v>75</v>
      </c>
      <c r="X71" t="s">
        <v>76</v>
      </c>
      <c r="Y71" t="s">
        <v>70</v>
      </c>
      <c r="Z71" s="4">
        <v>2</v>
      </c>
      <c r="AA71" t="s">
        <v>77</v>
      </c>
      <c r="AB71" s="4">
        <v>133</v>
      </c>
      <c r="AC71" s="4">
        <v>79</v>
      </c>
      <c r="AD71" s="4">
        <v>77</v>
      </c>
      <c r="AE71" s="4">
        <v>178</v>
      </c>
      <c r="AF71" s="4">
        <v>84</v>
      </c>
      <c r="AG71" s="4">
        <v>107</v>
      </c>
      <c r="AH71" s="4">
        <v>80</v>
      </c>
      <c r="AI71" s="4">
        <v>126</v>
      </c>
      <c r="AJ71" s="4">
        <v>53</v>
      </c>
      <c r="AK71" t="s">
        <v>78</v>
      </c>
      <c r="AL71" t="s">
        <v>79</v>
      </c>
      <c r="AM71" t="s">
        <v>80</v>
      </c>
      <c r="AN71" t="s">
        <v>81</v>
      </c>
      <c r="AO71" t="s">
        <v>82</v>
      </c>
      <c r="AP71" t="s">
        <v>85</v>
      </c>
      <c r="AQ71" t="s">
        <v>85</v>
      </c>
      <c r="AR71" t="s">
        <v>85</v>
      </c>
      <c r="AS71" t="s">
        <v>84</v>
      </c>
      <c r="AT71" t="s">
        <v>85</v>
      </c>
      <c r="AU71" t="s">
        <v>83</v>
      </c>
      <c r="AV71" t="s">
        <v>85</v>
      </c>
      <c r="AW71" s="4">
        <v>1</v>
      </c>
      <c r="AX71" s="4">
        <v>0</v>
      </c>
      <c r="AY71" s="4">
        <v>0</v>
      </c>
      <c r="AZ71" s="3">
        <v>1.78</v>
      </c>
      <c r="BA71" s="3">
        <v>3.1684000000000001</v>
      </c>
      <c r="BB71" s="3">
        <v>24.302487059714682</v>
      </c>
      <c r="BC71" t="s">
        <v>85</v>
      </c>
      <c r="BD71" t="s">
        <v>86</v>
      </c>
      <c r="BE71" s="4">
        <v>1</v>
      </c>
      <c r="BF71" t="s">
        <v>87</v>
      </c>
      <c r="BG71" s="4">
        <v>0</v>
      </c>
      <c r="BH71" s="1" t="e">
        <v>#NULL!</v>
      </c>
      <c r="BI71" t="s">
        <v>85</v>
      </c>
      <c r="BJ71" s="4">
        <v>1</v>
      </c>
      <c r="BK71" t="s">
        <v>88</v>
      </c>
    </row>
    <row r="72" spans="1:63" x14ac:dyDescent="0.35">
      <c r="A72" s="4">
        <v>101</v>
      </c>
      <c r="B72" s="4">
        <v>27</v>
      </c>
      <c r="C72" t="s">
        <v>114</v>
      </c>
      <c r="D72" t="s">
        <v>64</v>
      </c>
      <c r="E72" t="s">
        <v>104</v>
      </c>
      <c r="F72" t="s">
        <v>101</v>
      </c>
      <c r="G72" t="s">
        <v>67</v>
      </c>
      <c r="H72" s="2">
        <v>650</v>
      </c>
      <c r="I72" t="s">
        <v>105</v>
      </c>
      <c r="J72" t="s">
        <v>69</v>
      </c>
      <c r="K72" t="s">
        <v>69</v>
      </c>
      <c r="L72" t="s">
        <v>69</v>
      </c>
      <c r="M72" s="4">
        <v>3</v>
      </c>
      <c r="N72" t="s">
        <v>91</v>
      </c>
      <c r="O72" s="4">
        <v>3</v>
      </c>
      <c r="P72" t="s">
        <v>91</v>
      </c>
      <c r="Q72" s="4">
        <v>3</v>
      </c>
      <c r="R72" t="s">
        <v>91</v>
      </c>
      <c r="S72" s="4">
        <v>3</v>
      </c>
      <c r="T72" t="s">
        <v>91</v>
      </c>
      <c r="U72" t="s">
        <v>103</v>
      </c>
      <c r="V72" t="s">
        <v>74</v>
      </c>
      <c r="W72" t="s">
        <v>75</v>
      </c>
      <c r="X72" t="s">
        <v>76</v>
      </c>
      <c r="Y72" t="s">
        <v>69</v>
      </c>
      <c r="Z72" s="4">
        <v>1</v>
      </c>
      <c r="AA72" t="s">
        <v>77</v>
      </c>
      <c r="AB72" s="4">
        <v>123</v>
      </c>
      <c r="AC72" s="4">
        <v>82</v>
      </c>
      <c r="AD72" s="4">
        <v>47</v>
      </c>
      <c r="AE72" s="4">
        <v>170</v>
      </c>
      <c r="AF72" s="4">
        <v>69</v>
      </c>
      <c r="AG72" s="4">
        <v>84</v>
      </c>
      <c r="AH72" s="4">
        <v>94</v>
      </c>
      <c r="AI72" s="4">
        <v>65</v>
      </c>
      <c r="AJ72" s="4">
        <v>54</v>
      </c>
      <c r="AK72" t="s">
        <v>78</v>
      </c>
      <c r="AL72" t="s">
        <v>95</v>
      </c>
      <c r="AM72" t="s">
        <v>80</v>
      </c>
      <c r="AN72" t="s">
        <v>96</v>
      </c>
      <c r="AO72" t="s">
        <v>97</v>
      </c>
      <c r="AP72" t="s">
        <v>85</v>
      </c>
      <c r="AQ72" t="s">
        <v>85</v>
      </c>
      <c r="AR72" t="s">
        <v>85</v>
      </c>
      <c r="AS72" t="s">
        <v>84</v>
      </c>
      <c r="AT72" t="s">
        <v>85</v>
      </c>
      <c r="AU72" t="s">
        <v>85</v>
      </c>
      <c r="AV72" t="s">
        <v>85</v>
      </c>
      <c r="AW72" s="4">
        <v>0</v>
      </c>
      <c r="AX72" s="4">
        <v>0</v>
      </c>
      <c r="AY72" s="4">
        <v>0</v>
      </c>
      <c r="AZ72" s="3">
        <v>1.7</v>
      </c>
      <c r="BA72" s="3">
        <v>2.8899999999999997</v>
      </c>
      <c r="BB72" s="3">
        <v>16.262975778546714</v>
      </c>
      <c r="BC72" t="s">
        <v>100</v>
      </c>
      <c r="BD72" t="s">
        <v>86</v>
      </c>
      <c r="BE72" s="4">
        <v>0</v>
      </c>
      <c r="BF72" t="s">
        <v>87</v>
      </c>
      <c r="BG72" s="4">
        <v>0</v>
      </c>
      <c r="BH72" s="1" t="e">
        <v>#NULL!</v>
      </c>
      <c r="BI72" t="s">
        <v>85</v>
      </c>
      <c r="BJ72" s="4">
        <v>0</v>
      </c>
      <c r="BK72" t="s">
        <v>88</v>
      </c>
    </row>
    <row r="73" spans="1:63" x14ac:dyDescent="0.35">
      <c r="A73" s="4">
        <v>138</v>
      </c>
      <c r="B73" s="4">
        <v>27</v>
      </c>
      <c r="C73" t="s">
        <v>114</v>
      </c>
      <c r="D73" t="s">
        <v>89</v>
      </c>
      <c r="E73" t="s">
        <v>104</v>
      </c>
      <c r="F73" t="s">
        <v>101</v>
      </c>
      <c r="G73" t="s">
        <v>67</v>
      </c>
      <c r="H73" s="2">
        <v>500</v>
      </c>
      <c r="I73" t="s">
        <v>68</v>
      </c>
      <c r="J73" t="s">
        <v>69</v>
      </c>
      <c r="K73" t="s">
        <v>69</v>
      </c>
      <c r="L73" t="s">
        <v>69</v>
      </c>
      <c r="M73" s="4">
        <v>3</v>
      </c>
      <c r="N73" t="s">
        <v>91</v>
      </c>
      <c r="O73" s="4">
        <v>4</v>
      </c>
      <c r="P73" t="s">
        <v>91</v>
      </c>
      <c r="Q73" s="4">
        <v>4</v>
      </c>
      <c r="R73" t="s">
        <v>91</v>
      </c>
      <c r="S73" s="4">
        <v>4</v>
      </c>
      <c r="T73" t="s">
        <v>91</v>
      </c>
      <c r="U73" t="s">
        <v>73</v>
      </c>
      <c r="V73" t="s">
        <v>93</v>
      </c>
      <c r="W73" t="s">
        <v>93</v>
      </c>
      <c r="X73" t="s">
        <v>94</v>
      </c>
      <c r="Y73" t="s">
        <v>69</v>
      </c>
      <c r="Z73" s="4">
        <v>1</v>
      </c>
      <c r="AA73" t="s">
        <v>77</v>
      </c>
      <c r="AB73" s="4">
        <v>118</v>
      </c>
      <c r="AC73" s="4">
        <v>70</v>
      </c>
      <c r="AD73" s="4">
        <v>77</v>
      </c>
      <c r="AE73" s="4">
        <v>165</v>
      </c>
      <c r="AF73" s="4">
        <v>101</v>
      </c>
      <c r="AG73" s="4">
        <v>118</v>
      </c>
      <c r="AH73" s="4">
        <v>91</v>
      </c>
      <c r="AI73" s="4">
        <v>81</v>
      </c>
      <c r="AJ73" s="4">
        <v>89</v>
      </c>
      <c r="AK73" t="s">
        <v>78</v>
      </c>
      <c r="AL73" t="s">
        <v>95</v>
      </c>
      <c r="AM73" t="s">
        <v>80</v>
      </c>
      <c r="AN73" t="s">
        <v>96</v>
      </c>
      <c r="AO73" t="s">
        <v>97</v>
      </c>
      <c r="AP73" t="s">
        <v>85</v>
      </c>
      <c r="AQ73" t="s">
        <v>85</v>
      </c>
      <c r="AR73" t="s">
        <v>85</v>
      </c>
      <c r="AS73" t="s">
        <v>84</v>
      </c>
      <c r="AT73" t="s">
        <v>83</v>
      </c>
      <c r="AU73" t="s">
        <v>83</v>
      </c>
      <c r="AV73" t="s">
        <v>83</v>
      </c>
      <c r="AW73" s="4">
        <v>0</v>
      </c>
      <c r="AX73" s="4">
        <v>0</v>
      </c>
      <c r="AY73" s="4">
        <v>1</v>
      </c>
      <c r="AZ73" s="3">
        <v>1.65</v>
      </c>
      <c r="BA73" s="3">
        <v>2.7224999999999997</v>
      </c>
      <c r="BB73" s="3">
        <v>28.282828282828287</v>
      </c>
      <c r="BC73" t="s">
        <v>98</v>
      </c>
      <c r="BD73" t="s">
        <v>99</v>
      </c>
      <c r="BE73" s="4">
        <v>1</v>
      </c>
      <c r="BF73" t="s">
        <v>87</v>
      </c>
      <c r="BG73" s="1" t="e">
        <v>#NULL!</v>
      </c>
      <c r="BH73" s="4">
        <v>1</v>
      </c>
      <c r="BI73" t="s">
        <v>83</v>
      </c>
      <c r="BJ73" s="4">
        <v>1</v>
      </c>
      <c r="BK73" t="s">
        <v>88</v>
      </c>
    </row>
    <row r="74" spans="1:63" x14ac:dyDescent="0.35">
      <c r="A74" s="4">
        <v>140</v>
      </c>
      <c r="B74" s="4">
        <v>27</v>
      </c>
      <c r="C74" t="s">
        <v>114</v>
      </c>
      <c r="D74" t="s">
        <v>64</v>
      </c>
      <c r="E74" t="s">
        <v>104</v>
      </c>
      <c r="F74" t="s">
        <v>101</v>
      </c>
      <c r="G74" t="s">
        <v>67</v>
      </c>
      <c r="H74" s="2">
        <v>600</v>
      </c>
      <c r="I74" t="s">
        <v>105</v>
      </c>
      <c r="J74" t="s">
        <v>69</v>
      </c>
      <c r="K74" t="s">
        <v>69</v>
      </c>
      <c r="L74" t="s">
        <v>69</v>
      </c>
      <c r="M74" s="4">
        <v>5</v>
      </c>
      <c r="N74" t="s">
        <v>72</v>
      </c>
      <c r="O74" s="4">
        <v>5</v>
      </c>
      <c r="P74" t="s">
        <v>72</v>
      </c>
      <c r="Q74" s="4">
        <v>4</v>
      </c>
      <c r="R74" t="s">
        <v>91</v>
      </c>
      <c r="S74" s="4">
        <v>3</v>
      </c>
      <c r="T74" t="s">
        <v>91</v>
      </c>
      <c r="U74" t="s">
        <v>92</v>
      </c>
      <c r="V74" t="s">
        <v>93</v>
      </c>
      <c r="W74" t="s">
        <v>93</v>
      </c>
      <c r="X74" t="s">
        <v>94</v>
      </c>
      <c r="Y74" t="s">
        <v>69</v>
      </c>
      <c r="Z74" s="4">
        <v>3</v>
      </c>
      <c r="AA74" t="s">
        <v>77</v>
      </c>
      <c r="AB74" s="4">
        <v>134</v>
      </c>
      <c r="AC74" s="4">
        <v>81</v>
      </c>
      <c r="AD74" s="4">
        <v>49</v>
      </c>
      <c r="AE74" s="4">
        <v>171</v>
      </c>
      <c r="AF74" s="4">
        <v>75</v>
      </c>
      <c r="AG74" s="4">
        <v>95</v>
      </c>
      <c r="AH74" s="4">
        <v>91</v>
      </c>
      <c r="AI74" s="4">
        <v>57</v>
      </c>
      <c r="AJ74" s="4">
        <v>34</v>
      </c>
      <c r="AK74" t="s">
        <v>78</v>
      </c>
      <c r="AL74" t="s">
        <v>79</v>
      </c>
      <c r="AM74" t="s">
        <v>80</v>
      </c>
      <c r="AN74" t="s">
        <v>81</v>
      </c>
      <c r="AO74" t="s">
        <v>82</v>
      </c>
      <c r="AP74" t="s">
        <v>83</v>
      </c>
      <c r="AQ74" t="s">
        <v>83</v>
      </c>
      <c r="AR74" t="s">
        <v>83</v>
      </c>
      <c r="AS74" t="s">
        <v>84</v>
      </c>
      <c r="AT74" t="s">
        <v>85</v>
      </c>
      <c r="AU74" t="s">
        <v>85</v>
      </c>
      <c r="AV74" t="s">
        <v>85</v>
      </c>
      <c r="AW74" s="4">
        <v>2</v>
      </c>
      <c r="AX74" s="4">
        <v>1</v>
      </c>
      <c r="AY74" s="4">
        <v>1</v>
      </c>
      <c r="AZ74" s="3">
        <v>1.71</v>
      </c>
      <c r="BA74" s="3">
        <v>2.9240999999999997</v>
      </c>
      <c r="BB74" s="3">
        <v>16.757292842242059</v>
      </c>
      <c r="BC74" t="s">
        <v>100</v>
      </c>
      <c r="BD74" t="s">
        <v>86</v>
      </c>
      <c r="BE74" s="4">
        <v>2</v>
      </c>
      <c r="BF74" t="s">
        <v>87</v>
      </c>
      <c r="BG74" s="4">
        <v>0</v>
      </c>
      <c r="BH74" s="1" t="e">
        <v>#NULL!</v>
      </c>
      <c r="BI74" t="s">
        <v>85</v>
      </c>
      <c r="BJ74" s="4">
        <v>2</v>
      </c>
      <c r="BK74" t="s">
        <v>88</v>
      </c>
    </row>
    <row r="75" spans="1:63" x14ac:dyDescent="0.35">
      <c r="A75" s="4">
        <v>8</v>
      </c>
      <c r="B75" s="4">
        <v>28</v>
      </c>
      <c r="C75" t="s">
        <v>114</v>
      </c>
      <c r="D75" t="s">
        <v>89</v>
      </c>
      <c r="E75" t="s">
        <v>104</v>
      </c>
      <c r="F75" t="s">
        <v>90</v>
      </c>
      <c r="G75" t="s">
        <v>67</v>
      </c>
      <c r="H75" s="2">
        <v>300</v>
      </c>
      <c r="I75" t="s">
        <v>68</v>
      </c>
      <c r="J75" t="s">
        <v>69</v>
      </c>
      <c r="K75" t="s">
        <v>69</v>
      </c>
      <c r="L75" t="s">
        <v>69</v>
      </c>
      <c r="M75" s="4">
        <v>4</v>
      </c>
      <c r="N75" t="s">
        <v>91</v>
      </c>
      <c r="O75" s="4">
        <v>4</v>
      </c>
      <c r="P75" t="s">
        <v>91</v>
      </c>
      <c r="Q75" s="4">
        <v>5</v>
      </c>
      <c r="R75" t="s">
        <v>72</v>
      </c>
      <c r="S75" s="4">
        <v>3</v>
      </c>
      <c r="T75" t="s">
        <v>91</v>
      </c>
      <c r="U75" t="s">
        <v>73</v>
      </c>
      <c r="V75" t="s">
        <v>93</v>
      </c>
      <c r="W75" t="s">
        <v>93</v>
      </c>
      <c r="X75" t="s">
        <v>94</v>
      </c>
      <c r="Y75" t="s">
        <v>69</v>
      </c>
      <c r="Z75" s="4">
        <v>4</v>
      </c>
      <c r="AA75" t="s">
        <v>77</v>
      </c>
      <c r="AB75" s="4">
        <v>104</v>
      </c>
      <c r="AC75" s="4">
        <v>53</v>
      </c>
      <c r="AD75" s="4">
        <v>70</v>
      </c>
      <c r="AE75" s="4">
        <v>168</v>
      </c>
      <c r="AF75" s="4">
        <v>85</v>
      </c>
      <c r="AG75" s="4">
        <v>111</v>
      </c>
      <c r="AH75" s="4">
        <v>98</v>
      </c>
      <c r="AI75" s="4">
        <v>96</v>
      </c>
      <c r="AJ75" s="4">
        <v>50</v>
      </c>
      <c r="AK75" t="s">
        <v>78</v>
      </c>
      <c r="AL75" t="s">
        <v>95</v>
      </c>
      <c r="AM75" t="s">
        <v>80</v>
      </c>
      <c r="AN75" t="s">
        <v>96</v>
      </c>
      <c r="AO75" t="s">
        <v>97</v>
      </c>
      <c r="AP75" t="s">
        <v>85</v>
      </c>
      <c r="AQ75" t="s">
        <v>85</v>
      </c>
      <c r="AR75" t="s">
        <v>85</v>
      </c>
      <c r="AS75" t="s">
        <v>84</v>
      </c>
      <c r="AT75" t="s">
        <v>85</v>
      </c>
      <c r="AU75" t="s">
        <v>83</v>
      </c>
      <c r="AV75" t="s">
        <v>83</v>
      </c>
      <c r="AW75" s="4">
        <v>0</v>
      </c>
      <c r="AX75" s="4">
        <v>0</v>
      </c>
      <c r="AY75" s="4">
        <v>1</v>
      </c>
      <c r="AZ75" s="3">
        <v>1.68</v>
      </c>
      <c r="BA75" s="3">
        <v>2.8223999999999996</v>
      </c>
      <c r="BB75" s="3">
        <v>24.801587301587304</v>
      </c>
      <c r="BC75" t="s">
        <v>85</v>
      </c>
      <c r="BD75" t="s">
        <v>86</v>
      </c>
      <c r="BE75" s="4">
        <v>1</v>
      </c>
      <c r="BF75" t="s">
        <v>87</v>
      </c>
      <c r="BG75" s="1" t="e">
        <v>#NULL!</v>
      </c>
      <c r="BH75" s="4">
        <v>0</v>
      </c>
      <c r="BI75" t="s">
        <v>85</v>
      </c>
      <c r="BJ75" s="4">
        <v>0</v>
      </c>
      <c r="BK75" t="s">
        <v>88</v>
      </c>
    </row>
    <row r="76" spans="1:63" x14ac:dyDescent="0.35">
      <c r="A76" s="4">
        <v>153</v>
      </c>
      <c r="B76" s="4">
        <v>28</v>
      </c>
      <c r="C76" t="s">
        <v>114</v>
      </c>
      <c r="D76" t="s">
        <v>89</v>
      </c>
      <c r="E76" t="s">
        <v>104</v>
      </c>
      <c r="F76" t="s">
        <v>115</v>
      </c>
      <c r="G76" t="s">
        <v>67</v>
      </c>
      <c r="H76" s="2">
        <v>750</v>
      </c>
      <c r="I76" t="s">
        <v>105</v>
      </c>
      <c r="J76" t="s">
        <v>69</v>
      </c>
      <c r="K76" t="s">
        <v>69</v>
      </c>
      <c r="L76" t="s">
        <v>69</v>
      </c>
      <c r="M76" s="4">
        <v>3</v>
      </c>
      <c r="N76" t="s">
        <v>91</v>
      </c>
      <c r="O76" s="4">
        <v>2</v>
      </c>
      <c r="P76" t="s">
        <v>71</v>
      </c>
      <c r="Q76" s="4">
        <v>3</v>
      </c>
      <c r="R76" t="s">
        <v>91</v>
      </c>
      <c r="S76" s="4">
        <v>2</v>
      </c>
      <c r="T76" t="s">
        <v>71</v>
      </c>
      <c r="U76" t="s">
        <v>92</v>
      </c>
      <c r="V76" t="s">
        <v>93</v>
      </c>
      <c r="W76" t="s">
        <v>93</v>
      </c>
      <c r="X76" t="s">
        <v>94</v>
      </c>
      <c r="Y76" t="s">
        <v>69</v>
      </c>
      <c r="Z76" s="4">
        <v>4</v>
      </c>
      <c r="AA76" t="s">
        <v>77</v>
      </c>
      <c r="AB76" s="4">
        <v>127</v>
      </c>
      <c r="AC76" s="4">
        <v>76</v>
      </c>
      <c r="AD76" s="4">
        <v>62</v>
      </c>
      <c r="AE76" s="4">
        <v>159</v>
      </c>
      <c r="AF76" s="4">
        <v>76</v>
      </c>
      <c r="AG76" s="4">
        <v>95</v>
      </c>
      <c r="AH76" s="4">
        <v>94</v>
      </c>
      <c r="AI76" s="4">
        <v>104</v>
      </c>
      <c r="AJ76" s="4">
        <v>42</v>
      </c>
      <c r="AK76" t="s">
        <v>78</v>
      </c>
      <c r="AL76" t="s">
        <v>95</v>
      </c>
      <c r="AM76" t="s">
        <v>80</v>
      </c>
      <c r="AN76" t="s">
        <v>96</v>
      </c>
      <c r="AO76" t="s">
        <v>97</v>
      </c>
      <c r="AP76" t="s">
        <v>83</v>
      </c>
      <c r="AQ76" t="s">
        <v>85</v>
      </c>
      <c r="AR76" t="s">
        <v>83</v>
      </c>
      <c r="AS76" t="s">
        <v>84</v>
      </c>
      <c r="AT76" t="s">
        <v>85</v>
      </c>
      <c r="AU76" t="s">
        <v>85</v>
      </c>
      <c r="AV76" t="s">
        <v>85</v>
      </c>
      <c r="AW76" s="4">
        <v>1</v>
      </c>
      <c r="AX76" s="4">
        <v>0</v>
      </c>
      <c r="AY76" s="4">
        <v>0</v>
      </c>
      <c r="AZ76" s="3">
        <v>1.59</v>
      </c>
      <c r="BA76" s="3">
        <v>2.5281000000000002</v>
      </c>
      <c r="BB76" s="3">
        <v>24.524346347059055</v>
      </c>
      <c r="BC76" t="s">
        <v>85</v>
      </c>
      <c r="BD76" t="s">
        <v>86</v>
      </c>
      <c r="BE76" s="4">
        <v>1</v>
      </c>
      <c r="BF76" t="s">
        <v>87</v>
      </c>
      <c r="BG76" s="1" t="e">
        <v>#NULL!</v>
      </c>
      <c r="BH76" s="4">
        <v>0</v>
      </c>
      <c r="BI76" t="s">
        <v>85</v>
      </c>
      <c r="BJ76" s="4">
        <v>1</v>
      </c>
      <c r="BK76" t="s">
        <v>88</v>
      </c>
    </row>
    <row r="77" spans="1:63" x14ac:dyDescent="0.35">
      <c r="A77" s="4">
        <v>263</v>
      </c>
      <c r="B77" s="4">
        <v>28</v>
      </c>
      <c r="C77" t="s">
        <v>114</v>
      </c>
      <c r="D77" t="s">
        <v>64</v>
      </c>
      <c r="E77" t="s">
        <v>104</v>
      </c>
      <c r="F77" t="s">
        <v>101</v>
      </c>
      <c r="G77" t="s">
        <v>67</v>
      </c>
      <c r="H77" s="2">
        <v>600</v>
      </c>
      <c r="I77" t="s">
        <v>105</v>
      </c>
      <c r="J77" t="s">
        <v>69</v>
      </c>
      <c r="K77" t="s">
        <v>69</v>
      </c>
      <c r="L77" t="s">
        <v>69</v>
      </c>
      <c r="M77" s="4">
        <v>5</v>
      </c>
      <c r="N77" t="s">
        <v>72</v>
      </c>
      <c r="O77" s="4">
        <v>5</v>
      </c>
      <c r="P77" t="s">
        <v>72</v>
      </c>
      <c r="Q77" s="4">
        <v>4</v>
      </c>
      <c r="R77" t="s">
        <v>91</v>
      </c>
      <c r="S77" s="4">
        <v>3</v>
      </c>
      <c r="T77" t="s">
        <v>91</v>
      </c>
      <c r="U77" t="s">
        <v>92</v>
      </c>
      <c r="V77" t="s">
        <v>93</v>
      </c>
      <c r="W77" t="s">
        <v>93</v>
      </c>
      <c r="X77" t="s">
        <v>94</v>
      </c>
      <c r="Y77" t="s">
        <v>69</v>
      </c>
      <c r="Z77" s="4">
        <v>3</v>
      </c>
      <c r="AA77" t="s">
        <v>77</v>
      </c>
      <c r="AB77" s="4">
        <v>134</v>
      </c>
      <c r="AC77" s="4">
        <v>81</v>
      </c>
      <c r="AD77" s="4">
        <v>49</v>
      </c>
      <c r="AE77" s="4">
        <v>171</v>
      </c>
      <c r="AF77" s="4">
        <v>75</v>
      </c>
      <c r="AG77" s="4">
        <v>95</v>
      </c>
      <c r="AH77" s="4">
        <v>91</v>
      </c>
      <c r="AI77" s="4">
        <v>57</v>
      </c>
      <c r="AJ77" s="4">
        <v>34</v>
      </c>
      <c r="AK77" t="s">
        <v>78</v>
      </c>
      <c r="AL77" t="s">
        <v>79</v>
      </c>
      <c r="AM77" t="s">
        <v>80</v>
      </c>
      <c r="AN77" t="s">
        <v>81</v>
      </c>
      <c r="AO77" t="s">
        <v>82</v>
      </c>
      <c r="AP77" t="s">
        <v>83</v>
      </c>
      <c r="AQ77" t="s">
        <v>83</v>
      </c>
      <c r="AR77" t="s">
        <v>83</v>
      </c>
      <c r="AS77" t="s">
        <v>84</v>
      </c>
      <c r="AT77" t="s">
        <v>85</v>
      </c>
      <c r="AU77" t="s">
        <v>85</v>
      </c>
      <c r="AV77" t="s">
        <v>85</v>
      </c>
      <c r="AW77" s="4">
        <v>2</v>
      </c>
      <c r="AX77" s="4">
        <v>1</v>
      </c>
      <c r="AY77" s="4">
        <v>1</v>
      </c>
      <c r="AZ77" s="3">
        <v>1.71</v>
      </c>
      <c r="BA77" s="3">
        <v>2.9240999999999997</v>
      </c>
      <c r="BB77" s="3">
        <v>16.757292842242059</v>
      </c>
      <c r="BC77" t="s">
        <v>100</v>
      </c>
      <c r="BD77" t="s">
        <v>86</v>
      </c>
      <c r="BE77" s="4">
        <v>2</v>
      </c>
      <c r="BF77" t="s">
        <v>87</v>
      </c>
      <c r="BG77" s="4">
        <v>0</v>
      </c>
      <c r="BH77" s="1" t="e">
        <v>#NULL!</v>
      </c>
      <c r="BI77" t="s">
        <v>85</v>
      </c>
      <c r="BJ77" s="4">
        <v>2</v>
      </c>
      <c r="BK77" t="s">
        <v>88</v>
      </c>
    </row>
    <row r="78" spans="1:63" x14ac:dyDescent="0.35">
      <c r="A78" s="4">
        <v>284</v>
      </c>
      <c r="B78" s="4">
        <v>28</v>
      </c>
      <c r="C78" t="s">
        <v>114</v>
      </c>
      <c r="D78" t="s">
        <v>64</v>
      </c>
      <c r="E78" t="s">
        <v>104</v>
      </c>
      <c r="F78" t="s">
        <v>101</v>
      </c>
      <c r="G78" t="s">
        <v>67</v>
      </c>
      <c r="H78" s="2">
        <v>650</v>
      </c>
      <c r="I78" t="s">
        <v>105</v>
      </c>
      <c r="J78" t="s">
        <v>69</v>
      </c>
      <c r="K78" t="s">
        <v>69</v>
      </c>
      <c r="L78" t="s">
        <v>69</v>
      </c>
      <c r="M78" s="4">
        <v>3</v>
      </c>
      <c r="N78" t="s">
        <v>91</v>
      </c>
      <c r="O78" s="4">
        <v>3</v>
      </c>
      <c r="P78" t="s">
        <v>91</v>
      </c>
      <c r="Q78" s="4">
        <v>3</v>
      </c>
      <c r="R78" t="s">
        <v>91</v>
      </c>
      <c r="S78" s="4">
        <v>3</v>
      </c>
      <c r="T78" t="s">
        <v>91</v>
      </c>
      <c r="U78" t="s">
        <v>103</v>
      </c>
      <c r="V78" t="s">
        <v>74</v>
      </c>
      <c r="W78" t="s">
        <v>75</v>
      </c>
      <c r="X78" t="s">
        <v>76</v>
      </c>
      <c r="Y78" t="s">
        <v>69</v>
      </c>
      <c r="Z78" s="4">
        <v>1</v>
      </c>
      <c r="AA78" t="s">
        <v>77</v>
      </c>
      <c r="AB78" s="4">
        <v>123</v>
      </c>
      <c r="AC78" s="4">
        <v>82</v>
      </c>
      <c r="AD78" s="4">
        <v>47</v>
      </c>
      <c r="AE78" s="4">
        <v>170</v>
      </c>
      <c r="AF78" s="4">
        <v>69</v>
      </c>
      <c r="AG78" s="4">
        <v>84</v>
      </c>
      <c r="AH78" s="4">
        <v>94</v>
      </c>
      <c r="AI78" s="4">
        <v>65</v>
      </c>
      <c r="AJ78" s="4">
        <v>54</v>
      </c>
      <c r="AK78" t="s">
        <v>78</v>
      </c>
      <c r="AL78" t="s">
        <v>95</v>
      </c>
      <c r="AM78" t="s">
        <v>80</v>
      </c>
      <c r="AN78" t="s">
        <v>96</v>
      </c>
      <c r="AO78" t="s">
        <v>97</v>
      </c>
      <c r="AP78" t="s">
        <v>85</v>
      </c>
      <c r="AQ78" t="s">
        <v>85</v>
      </c>
      <c r="AR78" t="s">
        <v>85</v>
      </c>
      <c r="AS78" t="s">
        <v>84</v>
      </c>
      <c r="AT78" t="s">
        <v>85</v>
      </c>
      <c r="AU78" t="s">
        <v>85</v>
      </c>
      <c r="AV78" t="s">
        <v>85</v>
      </c>
      <c r="AW78" s="4">
        <v>0</v>
      </c>
      <c r="AX78" s="4">
        <v>0</v>
      </c>
      <c r="AY78" s="4">
        <v>0</v>
      </c>
      <c r="AZ78" s="3">
        <v>1.7</v>
      </c>
      <c r="BA78" s="3">
        <v>2.8899999999999997</v>
      </c>
      <c r="BB78" s="3">
        <v>16.262975778546714</v>
      </c>
      <c r="BC78" t="s">
        <v>100</v>
      </c>
      <c r="BD78" t="s">
        <v>86</v>
      </c>
      <c r="BE78" s="4">
        <v>0</v>
      </c>
      <c r="BF78" t="s">
        <v>87</v>
      </c>
      <c r="BG78" s="4">
        <v>0</v>
      </c>
      <c r="BH78" s="1" t="e">
        <v>#NULL!</v>
      </c>
      <c r="BI78" t="s">
        <v>85</v>
      </c>
      <c r="BJ78" s="4">
        <v>0</v>
      </c>
      <c r="BK78" t="s">
        <v>88</v>
      </c>
    </row>
    <row r="79" spans="1:63" x14ac:dyDescent="0.35">
      <c r="A79" s="4">
        <v>415</v>
      </c>
      <c r="B79" s="4">
        <v>28</v>
      </c>
      <c r="C79" t="s">
        <v>114</v>
      </c>
      <c r="D79" t="s">
        <v>64</v>
      </c>
      <c r="E79" t="s">
        <v>104</v>
      </c>
      <c r="F79" t="s">
        <v>101</v>
      </c>
      <c r="G79" t="s">
        <v>67</v>
      </c>
      <c r="H79" s="2">
        <v>500</v>
      </c>
      <c r="I79" t="s">
        <v>68</v>
      </c>
      <c r="J79" t="s">
        <v>69</v>
      </c>
      <c r="K79" t="s">
        <v>69</v>
      </c>
      <c r="L79" t="s">
        <v>69</v>
      </c>
      <c r="M79" s="4">
        <v>3</v>
      </c>
      <c r="N79" t="s">
        <v>91</v>
      </c>
      <c r="O79" s="4">
        <v>5</v>
      </c>
      <c r="P79" t="s">
        <v>72</v>
      </c>
      <c r="Q79" s="4">
        <v>5</v>
      </c>
      <c r="R79" t="s">
        <v>72</v>
      </c>
      <c r="S79" s="4">
        <v>5</v>
      </c>
      <c r="T79" t="s">
        <v>72</v>
      </c>
      <c r="U79" t="s">
        <v>92</v>
      </c>
      <c r="V79" t="s">
        <v>93</v>
      </c>
      <c r="W79" t="s">
        <v>93</v>
      </c>
      <c r="X79" t="s">
        <v>94</v>
      </c>
      <c r="Y79" t="s">
        <v>69</v>
      </c>
      <c r="Z79" s="4">
        <v>5</v>
      </c>
      <c r="AA79" t="s">
        <v>77</v>
      </c>
      <c r="AB79" s="4">
        <v>130</v>
      </c>
      <c r="AC79" s="4">
        <v>75</v>
      </c>
      <c r="AD79" s="4">
        <v>65</v>
      </c>
      <c r="AE79" s="4">
        <v>170</v>
      </c>
      <c r="AF79" s="4">
        <v>89</v>
      </c>
      <c r="AG79" s="4">
        <v>96</v>
      </c>
      <c r="AH79" s="4">
        <v>114</v>
      </c>
      <c r="AI79" s="4">
        <v>115</v>
      </c>
      <c r="AJ79" s="4">
        <v>55</v>
      </c>
      <c r="AK79" t="s">
        <v>78</v>
      </c>
      <c r="AL79" t="s">
        <v>79</v>
      </c>
      <c r="AM79" t="s">
        <v>80</v>
      </c>
      <c r="AN79" t="s">
        <v>81</v>
      </c>
      <c r="AO79" t="s">
        <v>82</v>
      </c>
      <c r="AP79" t="s">
        <v>85</v>
      </c>
      <c r="AQ79" t="s">
        <v>85</v>
      </c>
      <c r="AR79" t="s">
        <v>85</v>
      </c>
      <c r="AS79" t="s">
        <v>102</v>
      </c>
      <c r="AT79" t="s">
        <v>85</v>
      </c>
      <c r="AU79" t="s">
        <v>83</v>
      </c>
      <c r="AV79" t="s">
        <v>85</v>
      </c>
      <c r="AW79" s="4">
        <v>2</v>
      </c>
      <c r="AX79" s="4">
        <v>1</v>
      </c>
      <c r="AY79" s="4">
        <v>1</v>
      </c>
      <c r="AZ79" s="3">
        <v>1.7</v>
      </c>
      <c r="BA79" s="3">
        <v>2.8899999999999997</v>
      </c>
      <c r="BB79" s="3">
        <v>22.491349480968861</v>
      </c>
      <c r="BC79" t="s">
        <v>85</v>
      </c>
      <c r="BD79" t="s">
        <v>86</v>
      </c>
      <c r="BE79" s="4">
        <v>2</v>
      </c>
      <c r="BF79" t="s">
        <v>87</v>
      </c>
      <c r="BG79" s="4">
        <v>0</v>
      </c>
      <c r="BH79" s="1" t="e">
        <v>#NULL!</v>
      </c>
      <c r="BI79" t="s">
        <v>85</v>
      </c>
      <c r="BJ79" s="4">
        <v>2</v>
      </c>
      <c r="BK79" t="s">
        <v>88</v>
      </c>
    </row>
    <row r="80" spans="1:63" x14ac:dyDescent="0.35">
      <c r="A80" s="4">
        <v>494</v>
      </c>
      <c r="B80" s="4">
        <v>28</v>
      </c>
      <c r="C80" t="s">
        <v>114</v>
      </c>
      <c r="D80" t="s">
        <v>64</v>
      </c>
      <c r="E80" t="s">
        <v>104</v>
      </c>
      <c r="F80" t="s">
        <v>101</v>
      </c>
      <c r="G80" t="s">
        <v>67</v>
      </c>
      <c r="H80" s="2">
        <v>150</v>
      </c>
      <c r="I80" t="s">
        <v>68</v>
      </c>
      <c r="J80" t="s">
        <v>69</v>
      </c>
      <c r="K80" t="s">
        <v>69</v>
      </c>
      <c r="L80" t="s">
        <v>69</v>
      </c>
      <c r="M80" s="4">
        <v>5</v>
      </c>
      <c r="N80" t="s">
        <v>72</v>
      </c>
      <c r="O80" s="4">
        <v>2</v>
      </c>
      <c r="P80" t="s">
        <v>71</v>
      </c>
      <c r="Q80" s="4">
        <v>3</v>
      </c>
      <c r="R80" t="s">
        <v>91</v>
      </c>
      <c r="S80" s="4">
        <v>1</v>
      </c>
      <c r="T80" t="s">
        <v>71</v>
      </c>
      <c r="U80" t="s">
        <v>92</v>
      </c>
      <c r="V80" t="s">
        <v>93</v>
      </c>
      <c r="W80" t="s">
        <v>74</v>
      </c>
      <c r="X80" t="s">
        <v>76</v>
      </c>
      <c r="Y80" t="s">
        <v>69</v>
      </c>
      <c r="Z80" s="4">
        <v>1</v>
      </c>
      <c r="AA80" t="s">
        <v>77</v>
      </c>
      <c r="AB80" s="4">
        <v>120</v>
      </c>
      <c r="AC80" s="4">
        <v>67</v>
      </c>
      <c r="AD80" s="4">
        <v>50</v>
      </c>
      <c r="AE80" s="4">
        <v>176</v>
      </c>
      <c r="AF80" s="4">
        <v>68</v>
      </c>
      <c r="AG80" s="4">
        <v>79</v>
      </c>
      <c r="AH80" s="4">
        <v>90</v>
      </c>
      <c r="AI80" s="4">
        <v>43</v>
      </c>
      <c r="AJ80" s="4">
        <v>44</v>
      </c>
      <c r="AK80" t="s">
        <v>78</v>
      </c>
      <c r="AL80" t="s">
        <v>95</v>
      </c>
      <c r="AM80" t="s">
        <v>80</v>
      </c>
      <c r="AN80" t="s">
        <v>96</v>
      </c>
      <c r="AO80" t="s">
        <v>97</v>
      </c>
      <c r="AP80" t="s">
        <v>83</v>
      </c>
      <c r="AQ80" t="s">
        <v>85</v>
      </c>
      <c r="AR80" t="s">
        <v>85</v>
      </c>
      <c r="AS80" t="s">
        <v>84</v>
      </c>
      <c r="AT80" t="s">
        <v>85</v>
      </c>
      <c r="AU80" t="s">
        <v>85</v>
      </c>
      <c r="AV80" t="s">
        <v>85</v>
      </c>
      <c r="AW80" s="4">
        <v>0</v>
      </c>
      <c r="AX80" s="4">
        <v>0</v>
      </c>
      <c r="AY80" s="4">
        <v>0</v>
      </c>
      <c r="AZ80" s="3">
        <v>1.76</v>
      </c>
      <c r="BA80" s="3">
        <v>3.0975999999999999</v>
      </c>
      <c r="BB80" s="3">
        <v>16.141528925619834</v>
      </c>
      <c r="BC80" t="s">
        <v>100</v>
      </c>
      <c r="BD80" t="s">
        <v>86</v>
      </c>
      <c r="BE80" s="4">
        <v>0</v>
      </c>
      <c r="BF80" t="s">
        <v>87</v>
      </c>
      <c r="BG80" s="4">
        <v>0</v>
      </c>
      <c r="BH80" s="1" t="e">
        <v>#NULL!</v>
      </c>
      <c r="BI80" t="s">
        <v>85</v>
      </c>
      <c r="BJ80" s="4">
        <v>0</v>
      </c>
      <c r="BK80" t="s">
        <v>88</v>
      </c>
    </row>
    <row r="81" spans="1:63" x14ac:dyDescent="0.35">
      <c r="A81" s="4">
        <v>81</v>
      </c>
      <c r="B81" s="4">
        <v>29</v>
      </c>
      <c r="C81" t="s">
        <v>114</v>
      </c>
      <c r="D81" t="s">
        <v>89</v>
      </c>
      <c r="E81" t="s">
        <v>65</v>
      </c>
      <c r="F81" t="s">
        <v>101</v>
      </c>
      <c r="G81" t="s">
        <v>67</v>
      </c>
      <c r="H81" s="2">
        <v>300</v>
      </c>
      <c r="I81" t="s">
        <v>68</v>
      </c>
      <c r="J81" t="s">
        <v>69</v>
      </c>
      <c r="K81" t="s">
        <v>69</v>
      </c>
      <c r="L81" t="s">
        <v>69</v>
      </c>
      <c r="M81" s="4">
        <v>2</v>
      </c>
      <c r="N81" t="s">
        <v>71</v>
      </c>
      <c r="O81" s="4">
        <v>2</v>
      </c>
      <c r="P81" t="s">
        <v>71</v>
      </c>
      <c r="Q81" s="4">
        <v>3</v>
      </c>
      <c r="R81" t="s">
        <v>91</v>
      </c>
      <c r="S81" s="4">
        <v>2</v>
      </c>
      <c r="T81" t="s">
        <v>71</v>
      </c>
      <c r="U81" t="s">
        <v>73</v>
      </c>
      <c r="V81" t="s">
        <v>93</v>
      </c>
      <c r="W81" t="s">
        <v>93</v>
      </c>
      <c r="X81" t="s">
        <v>94</v>
      </c>
      <c r="Y81" t="s">
        <v>69</v>
      </c>
      <c r="Z81" s="4">
        <v>4</v>
      </c>
      <c r="AA81" t="s">
        <v>77</v>
      </c>
      <c r="AB81" s="4">
        <v>127</v>
      </c>
      <c r="AC81" s="4">
        <v>73</v>
      </c>
      <c r="AD81" s="4">
        <v>68</v>
      </c>
      <c r="AE81" s="4">
        <v>170</v>
      </c>
      <c r="AF81" s="4">
        <v>77</v>
      </c>
      <c r="AG81" s="4">
        <v>98</v>
      </c>
      <c r="AH81" s="4">
        <v>94</v>
      </c>
      <c r="AI81" s="4">
        <v>83</v>
      </c>
      <c r="AJ81" s="4">
        <v>43</v>
      </c>
      <c r="AK81" t="s">
        <v>78</v>
      </c>
      <c r="AL81" t="s">
        <v>95</v>
      </c>
      <c r="AM81" t="s">
        <v>80</v>
      </c>
      <c r="AN81" t="s">
        <v>96</v>
      </c>
      <c r="AO81" t="s">
        <v>97</v>
      </c>
      <c r="AP81" t="s">
        <v>83</v>
      </c>
      <c r="AQ81" t="s">
        <v>85</v>
      </c>
      <c r="AR81" t="s">
        <v>83</v>
      </c>
      <c r="AS81" t="s">
        <v>84</v>
      </c>
      <c r="AT81" t="s">
        <v>85</v>
      </c>
      <c r="AU81" t="s">
        <v>85</v>
      </c>
      <c r="AV81" t="s">
        <v>85</v>
      </c>
      <c r="AW81" s="4">
        <v>1</v>
      </c>
      <c r="AX81" s="4">
        <v>0</v>
      </c>
      <c r="AY81" s="4">
        <v>0</v>
      </c>
      <c r="AZ81" s="3">
        <v>1.7</v>
      </c>
      <c r="BA81" s="3">
        <v>2.8899999999999997</v>
      </c>
      <c r="BB81" s="3">
        <v>23.529411764705884</v>
      </c>
      <c r="BC81" t="s">
        <v>85</v>
      </c>
      <c r="BD81" t="s">
        <v>86</v>
      </c>
      <c r="BE81" s="4">
        <v>1</v>
      </c>
      <c r="BF81" t="s">
        <v>87</v>
      </c>
      <c r="BG81" s="1" t="e">
        <v>#NULL!</v>
      </c>
      <c r="BH81" s="4">
        <v>0</v>
      </c>
      <c r="BI81" t="s">
        <v>85</v>
      </c>
      <c r="BJ81" s="4">
        <v>1</v>
      </c>
      <c r="BK81" t="s">
        <v>88</v>
      </c>
    </row>
    <row r="82" spans="1:63" x14ac:dyDescent="0.35">
      <c r="A82" s="4">
        <v>103</v>
      </c>
      <c r="B82" s="4">
        <v>29</v>
      </c>
      <c r="C82" t="s">
        <v>114</v>
      </c>
      <c r="D82" t="s">
        <v>64</v>
      </c>
      <c r="E82" t="s">
        <v>65</v>
      </c>
      <c r="F82" t="s">
        <v>101</v>
      </c>
      <c r="G82" t="s">
        <v>67</v>
      </c>
      <c r="H82" s="2">
        <v>1400</v>
      </c>
      <c r="I82" t="s">
        <v>116</v>
      </c>
      <c r="J82" t="s">
        <v>69</v>
      </c>
      <c r="K82" t="s">
        <v>70</v>
      </c>
      <c r="L82" t="s">
        <v>69</v>
      </c>
      <c r="M82" s="4">
        <v>3</v>
      </c>
      <c r="N82" t="s">
        <v>91</v>
      </c>
      <c r="O82" s="4">
        <v>3</v>
      </c>
      <c r="P82" t="s">
        <v>91</v>
      </c>
      <c r="Q82" s="4">
        <v>0</v>
      </c>
      <c r="R82" t="s">
        <v>71</v>
      </c>
      <c r="S82" s="4">
        <v>0</v>
      </c>
      <c r="T82" t="s">
        <v>71</v>
      </c>
      <c r="U82" t="s">
        <v>103</v>
      </c>
      <c r="V82" t="s">
        <v>93</v>
      </c>
      <c r="W82" t="s">
        <v>74</v>
      </c>
      <c r="X82" t="s">
        <v>76</v>
      </c>
      <c r="Y82" t="s">
        <v>69</v>
      </c>
      <c r="Z82" s="4">
        <v>6</v>
      </c>
      <c r="AA82" t="s">
        <v>77</v>
      </c>
      <c r="AB82" s="4">
        <v>122</v>
      </c>
      <c r="AC82" s="4">
        <v>84</v>
      </c>
      <c r="AD82" s="4">
        <v>76</v>
      </c>
      <c r="AE82" s="4">
        <v>178</v>
      </c>
      <c r="AF82" s="4">
        <v>87</v>
      </c>
      <c r="AG82" s="4">
        <v>107</v>
      </c>
      <c r="AH82" s="4">
        <v>71</v>
      </c>
      <c r="AI82" s="4">
        <v>144</v>
      </c>
      <c r="AJ82" s="4">
        <v>51</v>
      </c>
      <c r="AK82" t="s">
        <v>78</v>
      </c>
      <c r="AL82" t="s">
        <v>95</v>
      </c>
      <c r="AM82" t="s">
        <v>80</v>
      </c>
      <c r="AN82" t="s">
        <v>96</v>
      </c>
      <c r="AO82" t="s">
        <v>97</v>
      </c>
      <c r="AP82" t="s">
        <v>85</v>
      </c>
      <c r="AQ82" t="s">
        <v>85</v>
      </c>
      <c r="AR82" t="s">
        <v>85</v>
      </c>
      <c r="AS82" t="s">
        <v>84</v>
      </c>
      <c r="AT82" t="s">
        <v>85</v>
      </c>
      <c r="AU82" t="s">
        <v>83</v>
      </c>
      <c r="AV82" t="s">
        <v>85</v>
      </c>
      <c r="AW82" s="4">
        <v>0</v>
      </c>
      <c r="AX82" s="4">
        <v>0</v>
      </c>
      <c r="AY82" s="4">
        <v>0</v>
      </c>
      <c r="AZ82" s="3">
        <v>1.78</v>
      </c>
      <c r="BA82" s="3">
        <v>3.1684000000000001</v>
      </c>
      <c r="BB82" s="3">
        <v>23.98687034465345</v>
      </c>
      <c r="BC82" t="s">
        <v>85</v>
      </c>
      <c r="BD82" t="s">
        <v>86</v>
      </c>
      <c r="BE82" s="4">
        <v>0</v>
      </c>
      <c r="BF82" t="s">
        <v>87</v>
      </c>
      <c r="BG82" s="4">
        <v>0</v>
      </c>
      <c r="BH82" s="1" t="e">
        <v>#NULL!</v>
      </c>
      <c r="BI82" t="s">
        <v>85</v>
      </c>
      <c r="BJ82" s="4">
        <v>0</v>
      </c>
      <c r="BK82" t="s">
        <v>88</v>
      </c>
    </row>
    <row r="83" spans="1:63" x14ac:dyDescent="0.35">
      <c r="A83" s="4">
        <v>139</v>
      </c>
      <c r="B83" s="4">
        <v>29</v>
      </c>
      <c r="C83" t="s">
        <v>114</v>
      </c>
      <c r="D83" t="s">
        <v>89</v>
      </c>
      <c r="E83" t="s">
        <v>65</v>
      </c>
      <c r="F83" t="s">
        <v>66</v>
      </c>
      <c r="G83" t="s">
        <v>67</v>
      </c>
      <c r="H83" s="2">
        <v>650</v>
      </c>
      <c r="I83" t="s">
        <v>105</v>
      </c>
      <c r="J83" t="s">
        <v>69</v>
      </c>
      <c r="K83" t="s">
        <v>69</v>
      </c>
      <c r="L83" t="s">
        <v>69</v>
      </c>
      <c r="M83" s="4">
        <v>5</v>
      </c>
      <c r="N83" t="s">
        <v>72</v>
      </c>
      <c r="O83" s="4">
        <v>5</v>
      </c>
      <c r="P83" t="s">
        <v>72</v>
      </c>
      <c r="Q83" s="4">
        <v>4</v>
      </c>
      <c r="R83" t="s">
        <v>91</v>
      </c>
      <c r="S83" s="4">
        <v>5</v>
      </c>
      <c r="T83" t="s">
        <v>72</v>
      </c>
      <c r="U83" t="s">
        <v>73</v>
      </c>
      <c r="V83" t="s">
        <v>93</v>
      </c>
      <c r="W83" t="s">
        <v>75</v>
      </c>
      <c r="X83" t="s">
        <v>76</v>
      </c>
      <c r="Y83" t="s">
        <v>69</v>
      </c>
      <c r="Z83" s="4">
        <v>3</v>
      </c>
      <c r="AA83" t="s">
        <v>77</v>
      </c>
      <c r="AB83" s="4">
        <v>114</v>
      </c>
      <c r="AC83" s="4">
        <v>69</v>
      </c>
      <c r="AD83" s="4">
        <v>52</v>
      </c>
      <c r="AE83" s="4">
        <v>167</v>
      </c>
      <c r="AF83" s="4">
        <v>72</v>
      </c>
      <c r="AG83" s="4">
        <v>96</v>
      </c>
      <c r="AH83" s="4">
        <v>95</v>
      </c>
      <c r="AI83" s="4">
        <v>98</v>
      </c>
      <c r="AJ83" s="4">
        <v>26</v>
      </c>
      <c r="AK83" t="s">
        <v>78</v>
      </c>
      <c r="AL83" t="s">
        <v>95</v>
      </c>
      <c r="AM83" t="s">
        <v>80</v>
      </c>
      <c r="AN83" t="s">
        <v>96</v>
      </c>
      <c r="AO83" t="s">
        <v>97</v>
      </c>
      <c r="AP83" t="s">
        <v>83</v>
      </c>
      <c r="AQ83" t="s">
        <v>83</v>
      </c>
      <c r="AR83" t="s">
        <v>83</v>
      </c>
      <c r="AS83" t="s">
        <v>84</v>
      </c>
      <c r="AT83" t="s">
        <v>85</v>
      </c>
      <c r="AU83" t="s">
        <v>85</v>
      </c>
      <c r="AV83" t="s">
        <v>85</v>
      </c>
      <c r="AW83" s="4">
        <v>1</v>
      </c>
      <c r="AX83" s="4">
        <v>0</v>
      </c>
      <c r="AY83" s="4">
        <v>0</v>
      </c>
      <c r="AZ83" s="3">
        <v>1.67</v>
      </c>
      <c r="BA83" s="3">
        <v>2.7888999999999999</v>
      </c>
      <c r="BB83" s="3">
        <v>18.645344042454013</v>
      </c>
      <c r="BC83" t="s">
        <v>85</v>
      </c>
      <c r="BD83" t="s">
        <v>86</v>
      </c>
      <c r="BE83" s="4">
        <v>1</v>
      </c>
      <c r="BF83" t="s">
        <v>87</v>
      </c>
      <c r="BG83" s="1" t="e">
        <v>#NULL!</v>
      </c>
      <c r="BH83" s="4">
        <v>0</v>
      </c>
      <c r="BI83" t="s">
        <v>85</v>
      </c>
      <c r="BJ83" s="4">
        <v>1</v>
      </c>
      <c r="BK83" t="s">
        <v>88</v>
      </c>
    </row>
    <row r="84" spans="1:63" x14ac:dyDescent="0.35">
      <c r="A84" s="4">
        <v>456</v>
      </c>
      <c r="B84" s="4">
        <v>29</v>
      </c>
      <c r="C84" t="s">
        <v>114</v>
      </c>
      <c r="D84" t="s">
        <v>64</v>
      </c>
      <c r="E84" t="s">
        <v>65</v>
      </c>
      <c r="F84" t="s">
        <v>101</v>
      </c>
      <c r="G84" t="s">
        <v>67</v>
      </c>
      <c r="H84" s="2">
        <v>750</v>
      </c>
      <c r="I84" t="s">
        <v>105</v>
      </c>
      <c r="J84" t="s">
        <v>69</v>
      </c>
      <c r="K84" t="s">
        <v>70</v>
      </c>
      <c r="L84" t="s">
        <v>69</v>
      </c>
      <c r="M84" s="4">
        <v>1</v>
      </c>
      <c r="N84" t="s">
        <v>71</v>
      </c>
      <c r="O84" s="4">
        <v>4</v>
      </c>
      <c r="P84" t="s">
        <v>91</v>
      </c>
      <c r="Q84" s="4">
        <v>4</v>
      </c>
      <c r="R84" t="s">
        <v>91</v>
      </c>
      <c r="S84" s="4">
        <v>4</v>
      </c>
      <c r="T84" t="s">
        <v>91</v>
      </c>
      <c r="U84" t="s">
        <v>92</v>
      </c>
      <c r="V84" t="s">
        <v>93</v>
      </c>
      <c r="W84" t="s">
        <v>93</v>
      </c>
      <c r="X84" t="s">
        <v>94</v>
      </c>
      <c r="Y84" t="s">
        <v>69</v>
      </c>
      <c r="Z84" s="4">
        <v>2</v>
      </c>
      <c r="AA84" t="s">
        <v>77</v>
      </c>
      <c r="AB84" s="4">
        <v>122</v>
      </c>
      <c r="AC84" s="4">
        <v>79</v>
      </c>
      <c r="AD84" s="4">
        <v>87</v>
      </c>
      <c r="AE84" s="4">
        <v>183</v>
      </c>
      <c r="AF84" s="4">
        <v>89</v>
      </c>
      <c r="AG84" s="4">
        <v>110</v>
      </c>
      <c r="AH84" s="4">
        <v>91</v>
      </c>
      <c r="AI84" s="4">
        <v>126</v>
      </c>
      <c r="AJ84" s="4">
        <v>44</v>
      </c>
      <c r="AK84" t="s">
        <v>78</v>
      </c>
      <c r="AL84" t="s">
        <v>95</v>
      </c>
      <c r="AM84" t="s">
        <v>80</v>
      </c>
      <c r="AN84" t="s">
        <v>96</v>
      </c>
      <c r="AO84" t="s">
        <v>97</v>
      </c>
      <c r="AP84" t="s">
        <v>83</v>
      </c>
      <c r="AQ84" t="s">
        <v>85</v>
      </c>
      <c r="AR84" t="s">
        <v>85</v>
      </c>
      <c r="AS84" t="s">
        <v>84</v>
      </c>
      <c r="AT84" t="s">
        <v>85</v>
      </c>
      <c r="AU84" t="s">
        <v>83</v>
      </c>
      <c r="AV84" t="s">
        <v>85</v>
      </c>
      <c r="AW84" s="4">
        <v>0</v>
      </c>
      <c r="AX84" s="4">
        <v>0</v>
      </c>
      <c r="AY84" s="4">
        <v>0</v>
      </c>
      <c r="AZ84" s="3">
        <v>1.83</v>
      </c>
      <c r="BA84" s="3">
        <v>3.3489000000000004</v>
      </c>
      <c r="BB84" s="3">
        <v>25.978679566424791</v>
      </c>
      <c r="BC84" t="s">
        <v>98</v>
      </c>
      <c r="BD84" t="s">
        <v>99</v>
      </c>
      <c r="BE84" s="4">
        <v>0</v>
      </c>
      <c r="BF84" t="s">
        <v>87</v>
      </c>
      <c r="BG84" s="4">
        <v>0</v>
      </c>
      <c r="BH84" s="1" t="e">
        <v>#NULL!</v>
      </c>
      <c r="BI84" t="s">
        <v>85</v>
      </c>
      <c r="BJ84" s="4">
        <v>0</v>
      </c>
      <c r="BK84" t="s">
        <v>88</v>
      </c>
    </row>
    <row r="85" spans="1:63" x14ac:dyDescent="0.35">
      <c r="A85" s="4">
        <v>484</v>
      </c>
      <c r="B85" s="4">
        <v>29</v>
      </c>
      <c r="C85" t="s">
        <v>114</v>
      </c>
      <c r="D85" t="s">
        <v>64</v>
      </c>
      <c r="E85" t="s">
        <v>65</v>
      </c>
      <c r="F85" t="s">
        <v>101</v>
      </c>
      <c r="G85" t="s">
        <v>67</v>
      </c>
      <c r="H85" s="2">
        <v>350</v>
      </c>
      <c r="I85" t="s">
        <v>68</v>
      </c>
      <c r="J85" t="s">
        <v>70</v>
      </c>
      <c r="K85" t="s">
        <v>69</v>
      </c>
      <c r="L85" t="s">
        <v>69</v>
      </c>
      <c r="M85" s="4">
        <v>2</v>
      </c>
      <c r="N85" t="s">
        <v>71</v>
      </c>
      <c r="O85" s="4">
        <v>4</v>
      </c>
      <c r="P85" t="s">
        <v>91</v>
      </c>
      <c r="Q85" s="4">
        <v>1</v>
      </c>
      <c r="R85" t="s">
        <v>71</v>
      </c>
      <c r="S85" s="4">
        <v>1</v>
      </c>
      <c r="T85" t="s">
        <v>71</v>
      </c>
      <c r="U85" t="s">
        <v>92</v>
      </c>
      <c r="V85" t="s">
        <v>93</v>
      </c>
      <c r="W85" t="s">
        <v>93</v>
      </c>
      <c r="X85" t="s">
        <v>94</v>
      </c>
      <c r="Y85" t="s">
        <v>69</v>
      </c>
      <c r="Z85" s="4">
        <v>7</v>
      </c>
      <c r="AA85" t="s">
        <v>77</v>
      </c>
      <c r="AB85" s="4">
        <v>140</v>
      </c>
      <c r="AC85" s="4">
        <v>94</v>
      </c>
      <c r="AD85" s="4">
        <v>87</v>
      </c>
      <c r="AE85" s="4">
        <v>183</v>
      </c>
      <c r="AF85" s="4">
        <v>92</v>
      </c>
      <c r="AG85" s="4">
        <v>113</v>
      </c>
      <c r="AH85" s="4">
        <v>66</v>
      </c>
      <c r="AI85" s="4">
        <v>210</v>
      </c>
      <c r="AJ85" s="4">
        <v>41</v>
      </c>
      <c r="AK85" t="s">
        <v>107</v>
      </c>
      <c r="AL85" t="s">
        <v>79</v>
      </c>
      <c r="AM85" t="s">
        <v>108</v>
      </c>
      <c r="AN85" t="s">
        <v>109</v>
      </c>
      <c r="AO85" t="s">
        <v>82</v>
      </c>
      <c r="AP85" t="s">
        <v>83</v>
      </c>
      <c r="AQ85" t="s">
        <v>85</v>
      </c>
      <c r="AR85" t="s">
        <v>85</v>
      </c>
      <c r="AS85" t="s">
        <v>84</v>
      </c>
      <c r="AT85" t="s">
        <v>85</v>
      </c>
      <c r="AU85" t="s">
        <v>83</v>
      </c>
      <c r="AV85" t="s">
        <v>85</v>
      </c>
      <c r="AW85" s="4">
        <v>2</v>
      </c>
      <c r="AX85" s="4">
        <v>1</v>
      </c>
      <c r="AY85" s="4">
        <v>1</v>
      </c>
      <c r="AZ85" s="3">
        <v>1.83</v>
      </c>
      <c r="BA85" s="3">
        <v>3.3489000000000004</v>
      </c>
      <c r="BB85" s="3">
        <v>25.978679566424791</v>
      </c>
      <c r="BC85" t="s">
        <v>98</v>
      </c>
      <c r="BD85" t="s">
        <v>99</v>
      </c>
      <c r="BE85" s="4">
        <v>2</v>
      </c>
      <c r="BF85" t="s">
        <v>87</v>
      </c>
      <c r="BG85" s="4">
        <v>0</v>
      </c>
      <c r="BH85" s="1" t="e">
        <v>#NULL!</v>
      </c>
      <c r="BI85" t="s">
        <v>85</v>
      </c>
      <c r="BJ85" s="4">
        <v>2</v>
      </c>
      <c r="BK85" t="s">
        <v>88</v>
      </c>
    </row>
    <row r="86" spans="1:63" x14ac:dyDescent="0.35">
      <c r="A86" s="4">
        <v>486</v>
      </c>
      <c r="B86" s="4">
        <v>29</v>
      </c>
      <c r="C86" t="s">
        <v>114</v>
      </c>
      <c r="D86" t="s">
        <v>64</v>
      </c>
      <c r="E86" t="s">
        <v>65</v>
      </c>
      <c r="F86" t="s">
        <v>101</v>
      </c>
      <c r="G86" t="s">
        <v>67</v>
      </c>
      <c r="H86" s="2">
        <v>500</v>
      </c>
      <c r="I86" t="s">
        <v>68</v>
      </c>
      <c r="J86" t="s">
        <v>70</v>
      </c>
      <c r="K86" t="s">
        <v>69</v>
      </c>
      <c r="L86" t="s">
        <v>69</v>
      </c>
      <c r="M86" s="4">
        <v>3</v>
      </c>
      <c r="N86" t="s">
        <v>91</v>
      </c>
      <c r="O86" s="4">
        <v>3</v>
      </c>
      <c r="P86" t="s">
        <v>91</v>
      </c>
      <c r="Q86" s="4">
        <v>2</v>
      </c>
      <c r="R86" t="s">
        <v>71</v>
      </c>
      <c r="S86" s="4">
        <v>1</v>
      </c>
      <c r="T86" t="s">
        <v>71</v>
      </c>
      <c r="U86" t="s">
        <v>103</v>
      </c>
      <c r="V86" t="s">
        <v>93</v>
      </c>
      <c r="W86" t="s">
        <v>74</v>
      </c>
      <c r="X86" t="s">
        <v>76</v>
      </c>
      <c r="Y86" t="s">
        <v>69</v>
      </c>
      <c r="Z86" s="4">
        <v>4</v>
      </c>
      <c r="AA86" t="s">
        <v>77</v>
      </c>
      <c r="AB86" s="4">
        <v>144</v>
      </c>
      <c r="AC86" s="4">
        <v>75</v>
      </c>
      <c r="AD86" s="4">
        <v>74</v>
      </c>
      <c r="AE86" s="4">
        <v>174</v>
      </c>
      <c r="AF86" s="4">
        <v>90</v>
      </c>
      <c r="AG86" s="4">
        <v>109</v>
      </c>
      <c r="AH86" s="4">
        <v>98</v>
      </c>
      <c r="AI86" s="4">
        <v>91</v>
      </c>
      <c r="AJ86" s="4">
        <v>51</v>
      </c>
      <c r="AK86" t="s">
        <v>78</v>
      </c>
      <c r="AL86" t="s">
        <v>79</v>
      </c>
      <c r="AM86" t="s">
        <v>80</v>
      </c>
      <c r="AN86" t="s">
        <v>81</v>
      </c>
      <c r="AO86" t="s">
        <v>82</v>
      </c>
      <c r="AP86" t="s">
        <v>85</v>
      </c>
      <c r="AQ86" t="s">
        <v>85</v>
      </c>
      <c r="AR86" t="s">
        <v>85</v>
      </c>
      <c r="AS86" t="s">
        <v>84</v>
      </c>
      <c r="AT86" t="s">
        <v>85</v>
      </c>
      <c r="AU86" t="s">
        <v>83</v>
      </c>
      <c r="AV86" t="s">
        <v>85</v>
      </c>
      <c r="AW86" s="4">
        <v>1</v>
      </c>
      <c r="AX86" s="4">
        <v>0</v>
      </c>
      <c r="AY86" s="4">
        <v>0</v>
      </c>
      <c r="AZ86" s="3">
        <v>1.74</v>
      </c>
      <c r="BA86" s="3">
        <v>3.0276000000000001</v>
      </c>
      <c r="BB86" s="3">
        <v>24.441802087462015</v>
      </c>
      <c r="BC86" t="s">
        <v>85</v>
      </c>
      <c r="BD86" t="s">
        <v>86</v>
      </c>
      <c r="BE86" s="4">
        <v>1</v>
      </c>
      <c r="BF86" t="s">
        <v>87</v>
      </c>
      <c r="BG86" s="4">
        <v>0</v>
      </c>
      <c r="BH86" s="1" t="e">
        <v>#NULL!</v>
      </c>
      <c r="BI86" t="s">
        <v>85</v>
      </c>
      <c r="BJ86" s="4">
        <v>1</v>
      </c>
      <c r="BK86" t="s">
        <v>88</v>
      </c>
    </row>
    <row r="87" spans="1:63" x14ac:dyDescent="0.35">
      <c r="A87" s="4">
        <v>98</v>
      </c>
      <c r="B87" s="4">
        <v>29</v>
      </c>
      <c r="C87" t="s">
        <v>114</v>
      </c>
      <c r="D87" t="s">
        <v>89</v>
      </c>
      <c r="E87" t="s">
        <v>104</v>
      </c>
      <c r="F87" t="s">
        <v>90</v>
      </c>
      <c r="G87" t="s">
        <v>67</v>
      </c>
      <c r="H87" s="2">
        <v>200</v>
      </c>
      <c r="I87" t="s">
        <v>68</v>
      </c>
      <c r="J87" t="s">
        <v>69</v>
      </c>
      <c r="K87" t="s">
        <v>69</v>
      </c>
      <c r="L87" t="s">
        <v>69</v>
      </c>
      <c r="M87" s="4">
        <v>2</v>
      </c>
      <c r="N87" t="s">
        <v>71</v>
      </c>
      <c r="O87" s="4">
        <v>2</v>
      </c>
      <c r="P87" t="s">
        <v>71</v>
      </c>
      <c r="Q87" s="4">
        <v>4</v>
      </c>
      <c r="R87" t="s">
        <v>91</v>
      </c>
      <c r="S87" s="4">
        <v>4</v>
      </c>
      <c r="T87" t="s">
        <v>91</v>
      </c>
      <c r="U87" t="s">
        <v>106</v>
      </c>
      <c r="V87" t="s">
        <v>93</v>
      </c>
      <c r="W87" t="s">
        <v>93</v>
      </c>
      <c r="X87" t="s">
        <v>94</v>
      </c>
      <c r="Y87" t="s">
        <v>69</v>
      </c>
      <c r="Z87" s="4">
        <v>3</v>
      </c>
      <c r="AA87" t="s">
        <v>77</v>
      </c>
      <c r="AB87" s="4">
        <v>114</v>
      </c>
      <c r="AC87" s="4">
        <v>91</v>
      </c>
      <c r="AD87" s="4">
        <v>67</v>
      </c>
      <c r="AE87" s="4">
        <v>176</v>
      </c>
      <c r="AF87" s="4">
        <v>76</v>
      </c>
      <c r="AG87" s="4">
        <v>100</v>
      </c>
      <c r="AH87" s="4">
        <v>61</v>
      </c>
      <c r="AI87" s="4">
        <v>94</v>
      </c>
      <c r="AJ87" s="4">
        <v>56</v>
      </c>
      <c r="AK87" t="s">
        <v>78</v>
      </c>
      <c r="AL87" t="s">
        <v>95</v>
      </c>
      <c r="AM87" t="s">
        <v>108</v>
      </c>
      <c r="AN87" t="s">
        <v>81</v>
      </c>
      <c r="AO87" t="s">
        <v>82</v>
      </c>
      <c r="AP87" t="s">
        <v>85</v>
      </c>
      <c r="AQ87" t="s">
        <v>85</v>
      </c>
      <c r="AR87" t="s">
        <v>85</v>
      </c>
      <c r="AS87" t="s">
        <v>84</v>
      </c>
      <c r="AT87" t="s">
        <v>85</v>
      </c>
      <c r="AU87" t="s">
        <v>85</v>
      </c>
      <c r="AV87" t="s">
        <v>85</v>
      </c>
      <c r="AW87" s="4">
        <v>1</v>
      </c>
      <c r="AX87" s="4">
        <v>0</v>
      </c>
      <c r="AY87" s="4">
        <v>0</v>
      </c>
      <c r="AZ87" s="3">
        <v>1.76</v>
      </c>
      <c r="BA87" s="3">
        <v>3.0975999999999999</v>
      </c>
      <c r="BB87" s="3">
        <v>21.629648760330578</v>
      </c>
      <c r="BC87" t="s">
        <v>85</v>
      </c>
      <c r="BD87" t="s">
        <v>86</v>
      </c>
      <c r="BE87" s="4">
        <v>1</v>
      </c>
      <c r="BF87" t="s">
        <v>87</v>
      </c>
      <c r="BG87" s="1" t="e">
        <v>#NULL!</v>
      </c>
      <c r="BH87" s="4">
        <v>0</v>
      </c>
      <c r="BI87" t="s">
        <v>85</v>
      </c>
      <c r="BJ87" s="4">
        <v>1</v>
      </c>
      <c r="BK87" t="s">
        <v>88</v>
      </c>
    </row>
    <row r="88" spans="1:63" x14ac:dyDescent="0.35">
      <c r="A88" s="4">
        <v>165</v>
      </c>
      <c r="B88" s="4">
        <v>29</v>
      </c>
      <c r="C88" t="s">
        <v>114</v>
      </c>
      <c r="D88" t="s">
        <v>64</v>
      </c>
      <c r="E88" t="s">
        <v>104</v>
      </c>
      <c r="F88" t="s">
        <v>101</v>
      </c>
      <c r="G88" t="s">
        <v>67</v>
      </c>
      <c r="H88" s="2">
        <v>500</v>
      </c>
      <c r="I88" t="s">
        <v>68</v>
      </c>
      <c r="J88" t="s">
        <v>69</v>
      </c>
      <c r="K88" t="s">
        <v>70</v>
      </c>
      <c r="L88" t="s">
        <v>69</v>
      </c>
      <c r="M88" s="4">
        <v>3</v>
      </c>
      <c r="N88" t="s">
        <v>91</v>
      </c>
      <c r="O88" s="4">
        <v>5</v>
      </c>
      <c r="P88" t="s">
        <v>72</v>
      </c>
      <c r="Q88" s="4">
        <v>5</v>
      </c>
      <c r="R88" t="s">
        <v>72</v>
      </c>
      <c r="S88" s="4">
        <v>5</v>
      </c>
      <c r="T88" t="s">
        <v>72</v>
      </c>
      <c r="U88" t="s">
        <v>92</v>
      </c>
      <c r="V88" t="s">
        <v>93</v>
      </c>
      <c r="W88" t="s">
        <v>93</v>
      </c>
      <c r="X88" t="s">
        <v>94</v>
      </c>
      <c r="Y88" t="s">
        <v>69</v>
      </c>
      <c r="Z88" s="4">
        <v>5</v>
      </c>
      <c r="AA88" t="s">
        <v>77</v>
      </c>
      <c r="AB88" s="4">
        <v>130</v>
      </c>
      <c r="AC88" s="4">
        <v>75</v>
      </c>
      <c r="AD88" s="4">
        <v>65</v>
      </c>
      <c r="AE88" s="4">
        <v>170</v>
      </c>
      <c r="AF88" s="4">
        <v>89</v>
      </c>
      <c r="AG88" s="4">
        <v>96</v>
      </c>
      <c r="AH88" s="4">
        <v>114</v>
      </c>
      <c r="AI88" s="4">
        <v>115</v>
      </c>
      <c r="AJ88" s="4">
        <v>55</v>
      </c>
      <c r="AK88" t="s">
        <v>78</v>
      </c>
      <c r="AL88" t="s">
        <v>79</v>
      </c>
      <c r="AM88" t="s">
        <v>80</v>
      </c>
      <c r="AN88" t="s">
        <v>81</v>
      </c>
      <c r="AO88" t="s">
        <v>82</v>
      </c>
      <c r="AP88" t="s">
        <v>85</v>
      </c>
      <c r="AQ88" t="s">
        <v>85</v>
      </c>
      <c r="AR88" t="s">
        <v>85</v>
      </c>
      <c r="AS88" t="s">
        <v>102</v>
      </c>
      <c r="AT88" t="s">
        <v>85</v>
      </c>
      <c r="AU88" t="s">
        <v>83</v>
      </c>
      <c r="AV88" t="s">
        <v>85</v>
      </c>
      <c r="AW88" s="4">
        <v>2</v>
      </c>
      <c r="AX88" s="4">
        <v>1</v>
      </c>
      <c r="AY88" s="4">
        <v>1</v>
      </c>
      <c r="AZ88" s="3">
        <v>1.7</v>
      </c>
      <c r="BA88" s="3">
        <v>2.8899999999999997</v>
      </c>
      <c r="BB88" s="3">
        <v>22.491349480968861</v>
      </c>
      <c r="BC88" t="s">
        <v>85</v>
      </c>
      <c r="BD88" t="s">
        <v>86</v>
      </c>
      <c r="BE88" s="4">
        <v>2</v>
      </c>
      <c r="BF88" t="s">
        <v>87</v>
      </c>
      <c r="BG88" s="4">
        <v>0</v>
      </c>
      <c r="BH88" s="1" t="e">
        <v>#NULL!</v>
      </c>
      <c r="BI88" t="s">
        <v>85</v>
      </c>
      <c r="BJ88" s="4">
        <v>2</v>
      </c>
      <c r="BK88" t="s">
        <v>88</v>
      </c>
    </row>
    <row r="89" spans="1:63" x14ac:dyDescent="0.35">
      <c r="A89" s="4">
        <v>183</v>
      </c>
      <c r="B89" s="4">
        <v>29</v>
      </c>
      <c r="C89" t="s">
        <v>114</v>
      </c>
      <c r="D89" t="s">
        <v>89</v>
      </c>
      <c r="E89" t="s">
        <v>104</v>
      </c>
      <c r="F89" t="s">
        <v>66</v>
      </c>
      <c r="G89" t="s">
        <v>67</v>
      </c>
      <c r="H89" s="2">
        <v>600</v>
      </c>
      <c r="I89" t="s">
        <v>105</v>
      </c>
      <c r="J89" t="s">
        <v>69</v>
      </c>
      <c r="K89" t="s">
        <v>69</v>
      </c>
      <c r="L89" t="s">
        <v>69</v>
      </c>
      <c r="M89" s="4">
        <v>3</v>
      </c>
      <c r="N89" t="s">
        <v>91</v>
      </c>
      <c r="O89" s="4">
        <v>2</v>
      </c>
      <c r="P89" t="s">
        <v>71</v>
      </c>
      <c r="Q89" s="4">
        <v>4</v>
      </c>
      <c r="R89" t="s">
        <v>91</v>
      </c>
      <c r="S89" s="4">
        <v>1</v>
      </c>
      <c r="T89" t="s">
        <v>71</v>
      </c>
      <c r="U89" t="s">
        <v>92</v>
      </c>
      <c r="V89" t="s">
        <v>93</v>
      </c>
      <c r="W89" t="s">
        <v>93</v>
      </c>
      <c r="X89" t="s">
        <v>94</v>
      </c>
      <c r="Y89" t="s">
        <v>69</v>
      </c>
      <c r="Z89" s="4">
        <v>4</v>
      </c>
      <c r="AA89" t="s">
        <v>77</v>
      </c>
      <c r="AB89" s="4">
        <v>130</v>
      </c>
      <c r="AC89" s="4">
        <v>83</v>
      </c>
      <c r="AD89" s="4">
        <v>94</v>
      </c>
      <c r="AE89" s="4">
        <v>175</v>
      </c>
      <c r="AF89" s="4">
        <v>100</v>
      </c>
      <c r="AG89" s="4">
        <v>119</v>
      </c>
      <c r="AH89" s="4">
        <v>116</v>
      </c>
      <c r="AI89" s="4">
        <v>78</v>
      </c>
      <c r="AJ89" s="4">
        <v>54</v>
      </c>
      <c r="AK89" t="s">
        <v>78</v>
      </c>
      <c r="AL89" t="s">
        <v>79</v>
      </c>
      <c r="AM89" t="s">
        <v>80</v>
      </c>
      <c r="AN89" t="s">
        <v>81</v>
      </c>
      <c r="AO89" t="s">
        <v>82</v>
      </c>
      <c r="AP89" t="s">
        <v>85</v>
      </c>
      <c r="AQ89" t="s">
        <v>85</v>
      </c>
      <c r="AR89" t="s">
        <v>85</v>
      </c>
      <c r="AS89" t="s">
        <v>102</v>
      </c>
      <c r="AT89" t="s">
        <v>83</v>
      </c>
      <c r="AU89" t="s">
        <v>83</v>
      </c>
      <c r="AV89" t="s">
        <v>83</v>
      </c>
      <c r="AW89" s="4">
        <v>2</v>
      </c>
      <c r="AX89" s="4">
        <v>1</v>
      </c>
      <c r="AY89" s="4">
        <v>2</v>
      </c>
      <c r="AZ89" s="3">
        <v>1.75</v>
      </c>
      <c r="BA89" s="3">
        <v>3.0625</v>
      </c>
      <c r="BB89" s="3">
        <v>30.693877551020407</v>
      </c>
      <c r="BC89" t="s">
        <v>110</v>
      </c>
      <c r="BD89" t="s">
        <v>99</v>
      </c>
      <c r="BE89" s="4">
        <v>3</v>
      </c>
      <c r="BF89" t="s">
        <v>111</v>
      </c>
      <c r="BG89" s="1" t="e">
        <v>#NULL!</v>
      </c>
      <c r="BH89" s="4">
        <v>1</v>
      </c>
      <c r="BI89" t="s">
        <v>83</v>
      </c>
      <c r="BJ89" s="4">
        <v>3</v>
      </c>
      <c r="BK89" t="s">
        <v>112</v>
      </c>
    </row>
    <row r="90" spans="1:63" x14ac:dyDescent="0.35">
      <c r="A90" s="4">
        <v>194</v>
      </c>
      <c r="B90" s="4">
        <v>29</v>
      </c>
      <c r="C90" t="s">
        <v>114</v>
      </c>
      <c r="D90" t="s">
        <v>64</v>
      </c>
      <c r="E90" t="s">
        <v>104</v>
      </c>
      <c r="F90" t="s">
        <v>101</v>
      </c>
      <c r="G90" t="s">
        <v>67</v>
      </c>
      <c r="H90" s="2">
        <v>150</v>
      </c>
      <c r="I90" t="s">
        <v>68</v>
      </c>
      <c r="J90" t="s">
        <v>69</v>
      </c>
      <c r="K90" t="s">
        <v>69</v>
      </c>
      <c r="L90" t="s">
        <v>69</v>
      </c>
      <c r="M90" s="4">
        <v>5</v>
      </c>
      <c r="N90" t="s">
        <v>72</v>
      </c>
      <c r="O90" s="4">
        <v>2</v>
      </c>
      <c r="P90" t="s">
        <v>71</v>
      </c>
      <c r="Q90" s="4">
        <v>3</v>
      </c>
      <c r="R90" t="s">
        <v>91</v>
      </c>
      <c r="S90" s="4">
        <v>1</v>
      </c>
      <c r="T90" t="s">
        <v>71</v>
      </c>
      <c r="U90" t="s">
        <v>92</v>
      </c>
      <c r="V90" t="s">
        <v>93</v>
      </c>
      <c r="W90" t="s">
        <v>74</v>
      </c>
      <c r="X90" t="s">
        <v>76</v>
      </c>
      <c r="Y90" t="s">
        <v>69</v>
      </c>
      <c r="Z90" s="4">
        <v>1</v>
      </c>
      <c r="AA90" t="s">
        <v>77</v>
      </c>
      <c r="AB90" s="4">
        <v>120</v>
      </c>
      <c r="AC90" s="4">
        <v>67</v>
      </c>
      <c r="AD90" s="4">
        <v>50</v>
      </c>
      <c r="AE90" s="4">
        <v>176</v>
      </c>
      <c r="AF90" s="4">
        <v>68</v>
      </c>
      <c r="AG90" s="4">
        <v>79</v>
      </c>
      <c r="AH90" s="4">
        <v>90</v>
      </c>
      <c r="AI90" s="4">
        <v>43</v>
      </c>
      <c r="AJ90" s="4">
        <v>44</v>
      </c>
      <c r="AK90" t="s">
        <v>78</v>
      </c>
      <c r="AL90" t="s">
        <v>95</v>
      </c>
      <c r="AM90" t="s">
        <v>80</v>
      </c>
      <c r="AN90" t="s">
        <v>96</v>
      </c>
      <c r="AO90" t="s">
        <v>97</v>
      </c>
      <c r="AP90" t="s">
        <v>83</v>
      </c>
      <c r="AQ90" t="s">
        <v>85</v>
      </c>
      <c r="AR90" t="s">
        <v>85</v>
      </c>
      <c r="AS90" t="s">
        <v>84</v>
      </c>
      <c r="AT90" t="s">
        <v>85</v>
      </c>
      <c r="AU90" t="s">
        <v>85</v>
      </c>
      <c r="AV90" t="s">
        <v>85</v>
      </c>
      <c r="AW90" s="4">
        <v>0</v>
      </c>
      <c r="AX90" s="4">
        <v>0</v>
      </c>
      <c r="AY90" s="4">
        <v>0</v>
      </c>
      <c r="AZ90" s="3">
        <v>1.76</v>
      </c>
      <c r="BA90" s="3">
        <v>3.0975999999999999</v>
      </c>
      <c r="BB90" s="3">
        <v>16.141528925619834</v>
      </c>
      <c r="BC90" t="s">
        <v>100</v>
      </c>
      <c r="BD90" t="s">
        <v>86</v>
      </c>
      <c r="BE90" s="4">
        <v>0</v>
      </c>
      <c r="BF90" t="s">
        <v>87</v>
      </c>
      <c r="BG90" s="4">
        <v>0</v>
      </c>
      <c r="BH90" s="1" t="e">
        <v>#NULL!</v>
      </c>
      <c r="BI90" t="s">
        <v>85</v>
      </c>
      <c r="BJ90" s="4">
        <v>0</v>
      </c>
      <c r="BK90" t="s">
        <v>88</v>
      </c>
    </row>
    <row r="91" spans="1:63" x14ac:dyDescent="0.35">
      <c r="A91" s="4">
        <v>339</v>
      </c>
      <c r="B91" s="4">
        <v>29</v>
      </c>
      <c r="C91" t="s">
        <v>114</v>
      </c>
      <c r="D91" t="s">
        <v>89</v>
      </c>
      <c r="E91" t="s">
        <v>104</v>
      </c>
      <c r="F91" t="s">
        <v>115</v>
      </c>
      <c r="G91" t="s">
        <v>67</v>
      </c>
      <c r="H91" s="2">
        <v>750</v>
      </c>
      <c r="I91" t="s">
        <v>105</v>
      </c>
      <c r="J91" t="s">
        <v>69</v>
      </c>
      <c r="K91" t="s">
        <v>69</v>
      </c>
      <c r="L91" t="s">
        <v>69</v>
      </c>
      <c r="M91" s="4">
        <v>3</v>
      </c>
      <c r="N91" t="s">
        <v>91</v>
      </c>
      <c r="O91" s="4">
        <v>2</v>
      </c>
      <c r="P91" t="s">
        <v>71</v>
      </c>
      <c r="Q91" s="4">
        <v>3</v>
      </c>
      <c r="R91" t="s">
        <v>91</v>
      </c>
      <c r="S91" s="4">
        <v>2</v>
      </c>
      <c r="T91" t="s">
        <v>71</v>
      </c>
      <c r="U91" t="s">
        <v>92</v>
      </c>
      <c r="V91" t="s">
        <v>93</v>
      </c>
      <c r="W91" t="s">
        <v>93</v>
      </c>
      <c r="X91" t="s">
        <v>94</v>
      </c>
      <c r="Y91" t="s">
        <v>69</v>
      </c>
      <c r="Z91" s="4">
        <v>4</v>
      </c>
      <c r="AA91" t="s">
        <v>77</v>
      </c>
      <c r="AB91" s="4">
        <v>127</v>
      </c>
      <c r="AC91" s="4">
        <v>76</v>
      </c>
      <c r="AD91" s="4">
        <v>62</v>
      </c>
      <c r="AE91" s="4">
        <v>159</v>
      </c>
      <c r="AF91" s="4">
        <v>76</v>
      </c>
      <c r="AG91" s="4">
        <v>95</v>
      </c>
      <c r="AH91" s="4">
        <v>94</v>
      </c>
      <c r="AI91" s="4">
        <v>104</v>
      </c>
      <c r="AJ91" s="4">
        <v>42</v>
      </c>
      <c r="AK91" t="s">
        <v>78</v>
      </c>
      <c r="AL91" t="s">
        <v>95</v>
      </c>
      <c r="AM91" t="s">
        <v>80</v>
      </c>
      <c r="AN91" t="s">
        <v>96</v>
      </c>
      <c r="AO91" t="s">
        <v>97</v>
      </c>
      <c r="AP91" t="s">
        <v>83</v>
      </c>
      <c r="AQ91" t="s">
        <v>85</v>
      </c>
      <c r="AR91" t="s">
        <v>83</v>
      </c>
      <c r="AS91" t="s">
        <v>84</v>
      </c>
      <c r="AT91" t="s">
        <v>85</v>
      </c>
      <c r="AU91" t="s">
        <v>85</v>
      </c>
      <c r="AV91" t="s">
        <v>85</v>
      </c>
      <c r="AW91" s="4">
        <v>1</v>
      </c>
      <c r="AX91" s="4">
        <v>0</v>
      </c>
      <c r="AY91" s="4">
        <v>0</v>
      </c>
      <c r="AZ91" s="3">
        <v>1.59</v>
      </c>
      <c r="BA91" s="3">
        <v>2.5281000000000002</v>
      </c>
      <c r="BB91" s="3">
        <v>24.524346347059055</v>
      </c>
      <c r="BC91" t="s">
        <v>85</v>
      </c>
      <c r="BD91" t="s">
        <v>86</v>
      </c>
      <c r="BE91" s="4">
        <v>1</v>
      </c>
      <c r="BF91" t="s">
        <v>87</v>
      </c>
      <c r="BG91" s="1" t="e">
        <v>#NULL!</v>
      </c>
      <c r="BH91" s="4">
        <v>0</v>
      </c>
      <c r="BI91" t="s">
        <v>85</v>
      </c>
      <c r="BJ91" s="4">
        <v>1</v>
      </c>
      <c r="BK91" t="s">
        <v>88</v>
      </c>
    </row>
    <row r="92" spans="1:63" x14ac:dyDescent="0.35">
      <c r="A92" s="4">
        <v>381</v>
      </c>
      <c r="B92" s="4">
        <v>29</v>
      </c>
      <c r="C92" t="s">
        <v>114</v>
      </c>
      <c r="D92" t="s">
        <v>64</v>
      </c>
      <c r="E92" t="s">
        <v>104</v>
      </c>
      <c r="F92" t="s">
        <v>101</v>
      </c>
      <c r="G92" t="s">
        <v>67</v>
      </c>
      <c r="H92" s="2">
        <v>350</v>
      </c>
      <c r="I92" t="s">
        <v>68</v>
      </c>
      <c r="J92" t="s">
        <v>69</v>
      </c>
      <c r="K92" t="s">
        <v>69</v>
      </c>
      <c r="L92" t="s">
        <v>69</v>
      </c>
      <c r="M92" s="4">
        <v>3</v>
      </c>
      <c r="N92" t="s">
        <v>91</v>
      </c>
      <c r="O92" s="4">
        <v>2</v>
      </c>
      <c r="P92" t="s">
        <v>71</v>
      </c>
      <c r="Q92" s="4">
        <v>2</v>
      </c>
      <c r="R92" t="s">
        <v>71</v>
      </c>
      <c r="S92" s="4">
        <v>5</v>
      </c>
      <c r="T92" t="s">
        <v>72</v>
      </c>
      <c r="U92" t="s">
        <v>92</v>
      </c>
      <c r="V92" t="s">
        <v>74</v>
      </c>
      <c r="W92" t="s">
        <v>93</v>
      </c>
      <c r="X92" t="s">
        <v>94</v>
      </c>
      <c r="Y92" t="s">
        <v>69</v>
      </c>
      <c r="Z92" s="4">
        <v>4</v>
      </c>
      <c r="AA92" t="s">
        <v>77</v>
      </c>
      <c r="AB92" s="4">
        <v>119</v>
      </c>
      <c r="AC92" s="4">
        <v>81</v>
      </c>
      <c r="AD92" s="4">
        <v>70</v>
      </c>
      <c r="AE92" s="4">
        <v>183</v>
      </c>
      <c r="AF92" s="4">
        <v>80</v>
      </c>
      <c r="AG92" s="4">
        <v>101</v>
      </c>
      <c r="AH92" s="4">
        <v>270</v>
      </c>
      <c r="AI92" s="4">
        <v>63</v>
      </c>
      <c r="AJ92" s="4">
        <v>63</v>
      </c>
      <c r="AK92" t="s">
        <v>78</v>
      </c>
      <c r="AL92" t="s">
        <v>95</v>
      </c>
      <c r="AM92" t="s">
        <v>80</v>
      </c>
      <c r="AN92" t="s">
        <v>96</v>
      </c>
      <c r="AO92" t="s">
        <v>97</v>
      </c>
      <c r="AP92" t="s">
        <v>85</v>
      </c>
      <c r="AQ92" t="s">
        <v>85</v>
      </c>
      <c r="AR92" t="s">
        <v>85</v>
      </c>
      <c r="AS92" t="s">
        <v>102</v>
      </c>
      <c r="AT92" t="s">
        <v>85</v>
      </c>
      <c r="AU92" t="s">
        <v>83</v>
      </c>
      <c r="AV92" t="s">
        <v>85</v>
      </c>
      <c r="AW92" s="4">
        <v>1</v>
      </c>
      <c r="AX92" s="4">
        <v>0</v>
      </c>
      <c r="AY92" s="4">
        <v>0</v>
      </c>
      <c r="AZ92" s="3">
        <v>1.83</v>
      </c>
      <c r="BA92" s="3">
        <v>3.3489000000000004</v>
      </c>
      <c r="BB92" s="3">
        <v>20.902385858042937</v>
      </c>
      <c r="BC92" t="s">
        <v>85</v>
      </c>
      <c r="BD92" t="s">
        <v>86</v>
      </c>
      <c r="BE92" s="4">
        <v>1</v>
      </c>
      <c r="BF92" t="s">
        <v>87</v>
      </c>
      <c r="BG92" s="4">
        <v>0</v>
      </c>
      <c r="BH92" s="1" t="e">
        <v>#NULL!</v>
      </c>
      <c r="BI92" t="s">
        <v>85</v>
      </c>
      <c r="BJ92" s="4">
        <v>1</v>
      </c>
      <c r="BK92" t="s">
        <v>88</v>
      </c>
    </row>
    <row r="93" spans="1:63" x14ac:dyDescent="0.35">
      <c r="A93" s="4">
        <v>389</v>
      </c>
      <c r="B93" s="4">
        <v>29</v>
      </c>
      <c r="C93" t="s">
        <v>114</v>
      </c>
      <c r="D93" t="s">
        <v>89</v>
      </c>
      <c r="E93" t="s">
        <v>104</v>
      </c>
      <c r="F93" t="s">
        <v>115</v>
      </c>
      <c r="G93" t="s">
        <v>67</v>
      </c>
      <c r="H93" s="2">
        <v>700</v>
      </c>
      <c r="I93" t="s">
        <v>105</v>
      </c>
      <c r="J93" t="s">
        <v>69</v>
      </c>
      <c r="K93" t="s">
        <v>69</v>
      </c>
      <c r="L93" t="s">
        <v>69</v>
      </c>
      <c r="M93" s="4">
        <v>1</v>
      </c>
      <c r="N93" t="s">
        <v>71</v>
      </c>
      <c r="O93" s="4">
        <v>2</v>
      </c>
      <c r="P93" t="s">
        <v>71</v>
      </c>
      <c r="Q93" s="4">
        <v>1</v>
      </c>
      <c r="R93" t="s">
        <v>71</v>
      </c>
      <c r="S93" s="4">
        <v>1</v>
      </c>
      <c r="T93" t="s">
        <v>71</v>
      </c>
      <c r="U93" t="s">
        <v>73</v>
      </c>
      <c r="V93" t="s">
        <v>93</v>
      </c>
      <c r="W93" t="s">
        <v>93</v>
      </c>
      <c r="X93" t="s">
        <v>94</v>
      </c>
      <c r="Y93" t="s">
        <v>69</v>
      </c>
      <c r="Z93" s="4">
        <v>1</v>
      </c>
      <c r="AA93" t="s">
        <v>77</v>
      </c>
      <c r="AB93" s="4">
        <v>120</v>
      </c>
      <c r="AC93" s="4">
        <v>75</v>
      </c>
      <c r="AD93" s="4">
        <v>42</v>
      </c>
      <c r="AE93" s="4">
        <v>158</v>
      </c>
      <c r="AF93" s="4">
        <v>71</v>
      </c>
      <c r="AG93" s="4">
        <v>86</v>
      </c>
      <c r="AH93" s="4">
        <v>129</v>
      </c>
      <c r="AI93" s="4">
        <v>53</v>
      </c>
      <c r="AJ93" s="4">
        <v>55</v>
      </c>
      <c r="AK93" t="s">
        <v>78</v>
      </c>
      <c r="AL93" t="s">
        <v>95</v>
      </c>
      <c r="AM93" t="s">
        <v>80</v>
      </c>
      <c r="AN93" t="s">
        <v>96</v>
      </c>
      <c r="AO93" t="s">
        <v>97</v>
      </c>
      <c r="AP93" t="s">
        <v>85</v>
      </c>
      <c r="AQ93" t="s">
        <v>85</v>
      </c>
      <c r="AR93" t="s">
        <v>85</v>
      </c>
      <c r="AS93" t="s">
        <v>102</v>
      </c>
      <c r="AT93" t="s">
        <v>85</v>
      </c>
      <c r="AU93" t="s">
        <v>85</v>
      </c>
      <c r="AV93" t="s">
        <v>85</v>
      </c>
      <c r="AW93" s="4">
        <v>1</v>
      </c>
      <c r="AX93" s="4">
        <v>0</v>
      </c>
      <c r="AY93" s="4">
        <v>0</v>
      </c>
      <c r="AZ93" s="3">
        <v>1.58</v>
      </c>
      <c r="BA93" s="3">
        <v>2.4964000000000004</v>
      </c>
      <c r="BB93" s="3">
        <v>16.824226886716868</v>
      </c>
      <c r="BC93" t="s">
        <v>100</v>
      </c>
      <c r="BD93" t="s">
        <v>86</v>
      </c>
      <c r="BE93" s="4">
        <v>1</v>
      </c>
      <c r="BF93" t="s">
        <v>87</v>
      </c>
      <c r="BG93" s="1" t="e">
        <v>#NULL!</v>
      </c>
      <c r="BH93" s="4">
        <v>0</v>
      </c>
      <c r="BI93" t="s">
        <v>85</v>
      </c>
      <c r="BJ93" s="4">
        <v>1</v>
      </c>
      <c r="BK93" t="s">
        <v>88</v>
      </c>
    </row>
    <row r="94" spans="1:63" x14ac:dyDescent="0.35">
      <c r="A94" s="4">
        <v>403</v>
      </c>
      <c r="B94" s="4">
        <v>29</v>
      </c>
      <c r="C94" t="s">
        <v>114</v>
      </c>
      <c r="D94" t="s">
        <v>64</v>
      </c>
      <c r="E94" t="s">
        <v>104</v>
      </c>
      <c r="F94" t="s">
        <v>101</v>
      </c>
      <c r="G94" t="s">
        <v>67</v>
      </c>
      <c r="H94" s="2">
        <v>400</v>
      </c>
      <c r="I94" t="s">
        <v>68</v>
      </c>
      <c r="J94" t="s">
        <v>69</v>
      </c>
      <c r="K94" t="s">
        <v>69</v>
      </c>
      <c r="L94" t="s">
        <v>69</v>
      </c>
      <c r="M94" s="4">
        <v>1</v>
      </c>
      <c r="N94" t="s">
        <v>71</v>
      </c>
      <c r="O94" s="4">
        <v>3</v>
      </c>
      <c r="P94" t="s">
        <v>91</v>
      </c>
      <c r="Q94" s="4">
        <v>3</v>
      </c>
      <c r="R94" t="s">
        <v>91</v>
      </c>
      <c r="S94" s="4">
        <v>2</v>
      </c>
      <c r="T94" t="s">
        <v>71</v>
      </c>
      <c r="U94" t="s">
        <v>92</v>
      </c>
      <c r="V94" t="s">
        <v>93</v>
      </c>
      <c r="W94" t="s">
        <v>93</v>
      </c>
      <c r="X94" t="s">
        <v>94</v>
      </c>
      <c r="Y94" t="s">
        <v>69</v>
      </c>
      <c r="Z94" s="4">
        <v>6</v>
      </c>
      <c r="AA94" t="s">
        <v>77</v>
      </c>
      <c r="AB94" s="4">
        <v>104</v>
      </c>
      <c r="AC94" s="4">
        <v>65</v>
      </c>
      <c r="AD94" s="4">
        <v>90</v>
      </c>
      <c r="AE94" s="4">
        <v>183</v>
      </c>
      <c r="AF94" s="4">
        <v>90</v>
      </c>
      <c r="AG94" s="4">
        <v>112</v>
      </c>
      <c r="AH94" s="4">
        <v>89</v>
      </c>
      <c r="AI94" s="4">
        <v>113</v>
      </c>
      <c r="AJ94" s="4">
        <v>64</v>
      </c>
      <c r="AK94" t="s">
        <v>78</v>
      </c>
      <c r="AL94" t="s">
        <v>95</v>
      </c>
      <c r="AM94" t="s">
        <v>80</v>
      </c>
      <c r="AN94" t="s">
        <v>96</v>
      </c>
      <c r="AO94" t="s">
        <v>97</v>
      </c>
      <c r="AP94" t="s">
        <v>85</v>
      </c>
      <c r="AQ94" t="s">
        <v>85</v>
      </c>
      <c r="AR94" t="s">
        <v>85</v>
      </c>
      <c r="AS94" t="s">
        <v>84</v>
      </c>
      <c r="AT94" t="s">
        <v>85</v>
      </c>
      <c r="AU94" t="s">
        <v>83</v>
      </c>
      <c r="AV94" t="s">
        <v>85</v>
      </c>
      <c r="AW94" s="4">
        <v>0</v>
      </c>
      <c r="AX94" s="4">
        <v>0</v>
      </c>
      <c r="AY94" s="4">
        <v>0</v>
      </c>
      <c r="AZ94" s="3">
        <v>1.83</v>
      </c>
      <c r="BA94" s="3">
        <v>3.3489000000000004</v>
      </c>
      <c r="BB94" s="3">
        <v>26.874496103198062</v>
      </c>
      <c r="BC94" t="s">
        <v>98</v>
      </c>
      <c r="BD94" t="s">
        <v>99</v>
      </c>
      <c r="BE94" s="4">
        <v>0</v>
      </c>
      <c r="BF94" t="s">
        <v>87</v>
      </c>
      <c r="BG94" s="4">
        <v>0</v>
      </c>
      <c r="BH94" s="1" t="e">
        <v>#NULL!</v>
      </c>
      <c r="BI94" t="s">
        <v>85</v>
      </c>
      <c r="BJ94" s="4">
        <v>0</v>
      </c>
      <c r="BK94" t="s">
        <v>88</v>
      </c>
    </row>
    <row r="95" spans="1:63" x14ac:dyDescent="0.35">
      <c r="A95" s="4">
        <v>411</v>
      </c>
      <c r="B95" s="4">
        <v>29</v>
      </c>
      <c r="C95" t="s">
        <v>114</v>
      </c>
      <c r="D95" t="s">
        <v>64</v>
      </c>
      <c r="E95" t="s">
        <v>104</v>
      </c>
      <c r="F95" t="s">
        <v>115</v>
      </c>
      <c r="G95" t="s">
        <v>67</v>
      </c>
      <c r="H95" s="2">
        <v>300</v>
      </c>
      <c r="I95" t="s">
        <v>68</v>
      </c>
      <c r="J95" t="s">
        <v>69</v>
      </c>
      <c r="K95" t="s">
        <v>70</v>
      </c>
      <c r="L95" t="s">
        <v>69</v>
      </c>
      <c r="M95" s="4">
        <v>1</v>
      </c>
      <c r="N95" t="s">
        <v>71</v>
      </c>
      <c r="O95" s="4">
        <v>2</v>
      </c>
      <c r="P95" t="s">
        <v>71</v>
      </c>
      <c r="Q95" s="4">
        <v>1</v>
      </c>
      <c r="R95" t="s">
        <v>71</v>
      </c>
      <c r="S95" s="4">
        <v>1</v>
      </c>
      <c r="T95" t="s">
        <v>71</v>
      </c>
      <c r="U95" t="s">
        <v>73</v>
      </c>
      <c r="V95" t="s">
        <v>93</v>
      </c>
      <c r="W95" t="s">
        <v>93</v>
      </c>
      <c r="X95" t="s">
        <v>94</v>
      </c>
      <c r="Y95" t="s">
        <v>69</v>
      </c>
      <c r="Z95" s="4">
        <v>4</v>
      </c>
      <c r="AA95" t="s">
        <v>77</v>
      </c>
      <c r="AB95" s="4">
        <v>124</v>
      </c>
      <c r="AC95" s="4">
        <v>58</v>
      </c>
      <c r="AD95" s="4">
        <v>37</v>
      </c>
      <c r="AE95" s="4">
        <v>148</v>
      </c>
      <c r="AF95" s="4">
        <v>77</v>
      </c>
      <c r="AG95" s="4">
        <v>86</v>
      </c>
      <c r="AH95" s="4">
        <v>99</v>
      </c>
      <c r="AI95" s="4">
        <v>69</v>
      </c>
      <c r="AJ95" s="4">
        <v>44</v>
      </c>
      <c r="AK95" t="s">
        <v>78</v>
      </c>
      <c r="AL95" t="s">
        <v>95</v>
      </c>
      <c r="AM95" t="s">
        <v>80</v>
      </c>
      <c r="AN95" t="s">
        <v>96</v>
      </c>
      <c r="AO95" t="s">
        <v>97</v>
      </c>
      <c r="AP95" t="s">
        <v>83</v>
      </c>
      <c r="AQ95" t="s">
        <v>85</v>
      </c>
      <c r="AR95" t="s">
        <v>85</v>
      </c>
      <c r="AS95" t="s">
        <v>84</v>
      </c>
      <c r="AT95" t="s">
        <v>85</v>
      </c>
      <c r="AU95" t="s">
        <v>85</v>
      </c>
      <c r="AV95" t="s">
        <v>85</v>
      </c>
      <c r="AW95" s="4">
        <v>0</v>
      </c>
      <c r="AX95" s="4">
        <v>0</v>
      </c>
      <c r="AY95" s="4">
        <v>0</v>
      </c>
      <c r="AZ95" s="3">
        <v>1.48</v>
      </c>
      <c r="BA95" s="3">
        <v>2.1903999999999999</v>
      </c>
      <c r="BB95" s="3">
        <v>16.891891891891891</v>
      </c>
      <c r="BC95" t="s">
        <v>100</v>
      </c>
      <c r="BD95" t="s">
        <v>86</v>
      </c>
      <c r="BE95" s="4">
        <v>0</v>
      </c>
      <c r="BF95" t="s">
        <v>87</v>
      </c>
      <c r="BG95" s="4">
        <v>0</v>
      </c>
      <c r="BH95" s="1" t="e">
        <v>#NULL!</v>
      </c>
      <c r="BI95" t="s">
        <v>85</v>
      </c>
      <c r="BJ95" s="4">
        <v>0</v>
      </c>
      <c r="BK95" t="s">
        <v>88</v>
      </c>
    </row>
    <row r="96" spans="1:63" x14ac:dyDescent="0.35">
      <c r="A96" s="4">
        <v>442</v>
      </c>
      <c r="B96" s="4">
        <v>29</v>
      </c>
      <c r="C96" t="s">
        <v>114</v>
      </c>
      <c r="D96" t="s">
        <v>89</v>
      </c>
      <c r="E96" t="s">
        <v>104</v>
      </c>
      <c r="F96" t="s">
        <v>66</v>
      </c>
      <c r="G96" t="s">
        <v>67</v>
      </c>
      <c r="H96" s="2">
        <v>200</v>
      </c>
      <c r="I96" t="s">
        <v>68</v>
      </c>
      <c r="J96" t="s">
        <v>69</v>
      </c>
      <c r="K96" t="s">
        <v>69</v>
      </c>
      <c r="L96" t="s">
        <v>69</v>
      </c>
      <c r="M96" s="4">
        <v>3</v>
      </c>
      <c r="N96" t="s">
        <v>91</v>
      </c>
      <c r="O96" s="4">
        <v>2</v>
      </c>
      <c r="P96" t="s">
        <v>71</v>
      </c>
      <c r="Q96" s="4">
        <v>5</v>
      </c>
      <c r="R96" t="s">
        <v>72</v>
      </c>
      <c r="S96" s="4">
        <v>1</v>
      </c>
      <c r="T96" t="s">
        <v>71</v>
      </c>
      <c r="U96" t="s">
        <v>73</v>
      </c>
      <c r="V96" t="s">
        <v>93</v>
      </c>
      <c r="W96" t="s">
        <v>93</v>
      </c>
      <c r="X96" t="s">
        <v>94</v>
      </c>
      <c r="Y96" t="s">
        <v>69</v>
      </c>
      <c r="Z96" s="4">
        <v>10</v>
      </c>
      <c r="AA96" t="s">
        <v>117</v>
      </c>
      <c r="AB96" s="4">
        <v>158</v>
      </c>
      <c r="AC96" s="4">
        <v>95</v>
      </c>
      <c r="AD96" s="4">
        <v>71</v>
      </c>
      <c r="AE96" s="4">
        <v>159</v>
      </c>
      <c r="AF96" s="4">
        <v>102</v>
      </c>
      <c r="AG96" s="4">
        <v>108</v>
      </c>
      <c r="AH96" s="4">
        <v>103</v>
      </c>
      <c r="AI96" s="4">
        <v>61</v>
      </c>
      <c r="AJ96" s="4">
        <v>34</v>
      </c>
      <c r="AK96" t="s">
        <v>78</v>
      </c>
      <c r="AL96" t="s">
        <v>79</v>
      </c>
      <c r="AM96" t="s">
        <v>108</v>
      </c>
      <c r="AN96" t="s">
        <v>109</v>
      </c>
      <c r="AO96" t="s">
        <v>82</v>
      </c>
      <c r="AP96" t="s">
        <v>83</v>
      </c>
      <c r="AQ96" t="s">
        <v>83</v>
      </c>
      <c r="AR96" t="s">
        <v>83</v>
      </c>
      <c r="AS96" t="s">
        <v>102</v>
      </c>
      <c r="AT96" t="s">
        <v>83</v>
      </c>
      <c r="AU96" t="s">
        <v>83</v>
      </c>
      <c r="AV96" t="s">
        <v>83</v>
      </c>
      <c r="AW96" s="4">
        <v>3</v>
      </c>
      <c r="AX96" s="4">
        <v>1</v>
      </c>
      <c r="AY96" s="4">
        <v>2</v>
      </c>
      <c r="AZ96" s="3">
        <v>1.59</v>
      </c>
      <c r="BA96" s="3">
        <v>2.5281000000000002</v>
      </c>
      <c r="BB96" s="3">
        <v>28.084332107116012</v>
      </c>
      <c r="BC96" t="s">
        <v>98</v>
      </c>
      <c r="BD96" t="s">
        <v>99</v>
      </c>
      <c r="BE96" s="4">
        <v>4</v>
      </c>
      <c r="BF96" t="s">
        <v>111</v>
      </c>
      <c r="BG96" s="1" t="e">
        <v>#NULL!</v>
      </c>
      <c r="BH96" s="4">
        <v>1</v>
      </c>
      <c r="BI96" t="s">
        <v>83</v>
      </c>
      <c r="BJ96" s="4">
        <v>4</v>
      </c>
      <c r="BK96" t="s">
        <v>112</v>
      </c>
    </row>
    <row r="97" spans="1:63" x14ac:dyDescent="0.35">
      <c r="A97" s="4">
        <v>491</v>
      </c>
      <c r="B97" s="4">
        <v>29</v>
      </c>
      <c r="C97" t="s">
        <v>114</v>
      </c>
      <c r="D97" t="s">
        <v>64</v>
      </c>
      <c r="E97" t="s">
        <v>104</v>
      </c>
      <c r="F97" t="s">
        <v>101</v>
      </c>
      <c r="G97" t="s">
        <v>67</v>
      </c>
      <c r="H97" s="2">
        <v>500</v>
      </c>
      <c r="I97" t="s">
        <v>68</v>
      </c>
      <c r="J97" t="s">
        <v>69</v>
      </c>
      <c r="K97" t="s">
        <v>69</v>
      </c>
      <c r="L97" t="s">
        <v>69</v>
      </c>
      <c r="M97" s="4">
        <v>3</v>
      </c>
      <c r="N97" t="s">
        <v>91</v>
      </c>
      <c r="O97" s="4">
        <v>4</v>
      </c>
      <c r="P97" t="s">
        <v>91</v>
      </c>
      <c r="Q97" s="4">
        <v>3</v>
      </c>
      <c r="R97" t="s">
        <v>91</v>
      </c>
      <c r="S97" s="4">
        <v>2</v>
      </c>
      <c r="T97" t="s">
        <v>71</v>
      </c>
      <c r="U97" t="s">
        <v>92</v>
      </c>
      <c r="V97" t="s">
        <v>93</v>
      </c>
      <c r="W97" t="s">
        <v>74</v>
      </c>
      <c r="X97" t="s">
        <v>76</v>
      </c>
      <c r="Y97" t="s">
        <v>69</v>
      </c>
      <c r="Z97" s="4">
        <v>2</v>
      </c>
      <c r="AA97" t="s">
        <v>77</v>
      </c>
      <c r="AB97" s="4">
        <v>116</v>
      </c>
      <c r="AC97" s="4">
        <v>70</v>
      </c>
      <c r="AD97" s="4">
        <v>46</v>
      </c>
      <c r="AE97" s="4">
        <v>172</v>
      </c>
      <c r="AF97" s="4">
        <v>66</v>
      </c>
      <c r="AG97" s="4">
        <v>90</v>
      </c>
      <c r="AH97" s="4">
        <v>95</v>
      </c>
      <c r="AI97" s="4">
        <v>62</v>
      </c>
      <c r="AJ97" s="4">
        <v>53</v>
      </c>
      <c r="AK97" t="s">
        <v>78</v>
      </c>
      <c r="AL97" t="s">
        <v>95</v>
      </c>
      <c r="AM97" t="s">
        <v>80</v>
      </c>
      <c r="AN97" t="s">
        <v>96</v>
      </c>
      <c r="AO97" t="s">
        <v>97</v>
      </c>
      <c r="AP97" t="s">
        <v>85</v>
      </c>
      <c r="AQ97" t="s">
        <v>85</v>
      </c>
      <c r="AR97" t="s">
        <v>85</v>
      </c>
      <c r="AS97" t="s">
        <v>84</v>
      </c>
      <c r="AT97" t="s">
        <v>85</v>
      </c>
      <c r="AU97" t="s">
        <v>85</v>
      </c>
      <c r="AV97" t="s">
        <v>85</v>
      </c>
      <c r="AW97" s="4">
        <v>0</v>
      </c>
      <c r="AX97" s="4">
        <v>0</v>
      </c>
      <c r="AY97" s="4">
        <v>0</v>
      </c>
      <c r="AZ97" s="3">
        <v>1.72</v>
      </c>
      <c r="BA97" s="3">
        <v>2.9583999999999997</v>
      </c>
      <c r="BB97" s="3">
        <v>15.548945375878855</v>
      </c>
      <c r="BC97" t="s">
        <v>100</v>
      </c>
      <c r="BD97" t="s">
        <v>86</v>
      </c>
      <c r="BE97" s="4">
        <v>0</v>
      </c>
      <c r="BF97" t="s">
        <v>87</v>
      </c>
      <c r="BG97" s="4">
        <v>0</v>
      </c>
      <c r="BH97" s="1" t="e">
        <v>#NULL!</v>
      </c>
      <c r="BI97" t="s">
        <v>85</v>
      </c>
      <c r="BJ97" s="4">
        <v>0</v>
      </c>
      <c r="BK97" t="s">
        <v>88</v>
      </c>
    </row>
    <row r="98" spans="1:63" x14ac:dyDescent="0.35">
      <c r="A98" s="4">
        <v>19</v>
      </c>
      <c r="B98" s="4">
        <v>30</v>
      </c>
      <c r="C98" t="s">
        <v>114</v>
      </c>
      <c r="D98" t="s">
        <v>64</v>
      </c>
      <c r="E98" t="s">
        <v>65</v>
      </c>
      <c r="F98" t="s">
        <v>101</v>
      </c>
      <c r="G98" t="s">
        <v>67</v>
      </c>
      <c r="H98" s="2">
        <v>750</v>
      </c>
      <c r="I98" t="s">
        <v>105</v>
      </c>
      <c r="J98" t="s">
        <v>69</v>
      </c>
      <c r="K98" t="s">
        <v>69</v>
      </c>
      <c r="L98" t="s">
        <v>69</v>
      </c>
      <c r="M98" s="4">
        <v>1</v>
      </c>
      <c r="N98" t="s">
        <v>71</v>
      </c>
      <c r="O98" s="4">
        <v>4</v>
      </c>
      <c r="P98" t="s">
        <v>91</v>
      </c>
      <c r="Q98" s="4">
        <v>4</v>
      </c>
      <c r="R98" t="s">
        <v>91</v>
      </c>
      <c r="S98" s="4">
        <v>4</v>
      </c>
      <c r="T98" t="s">
        <v>91</v>
      </c>
      <c r="U98" t="s">
        <v>92</v>
      </c>
      <c r="V98" t="s">
        <v>93</v>
      </c>
      <c r="W98" t="s">
        <v>93</v>
      </c>
      <c r="X98" t="s">
        <v>94</v>
      </c>
      <c r="Y98" t="s">
        <v>69</v>
      </c>
      <c r="Z98" s="4">
        <v>2</v>
      </c>
      <c r="AA98" t="s">
        <v>77</v>
      </c>
      <c r="AB98" s="4">
        <v>122</v>
      </c>
      <c r="AC98" s="4">
        <v>79</v>
      </c>
      <c r="AD98" s="4">
        <v>87</v>
      </c>
      <c r="AE98" s="4">
        <v>183</v>
      </c>
      <c r="AF98" s="4">
        <v>89</v>
      </c>
      <c r="AG98" s="4">
        <v>110</v>
      </c>
      <c r="AH98" s="4">
        <v>91</v>
      </c>
      <c r="AI98" s="4">
        <v>126</v>
      </c>
      <c r="AJ98" s="4">
        <v>44</v>
      </c>
      <c r="AK98" t="s">
        <v>78</v>
      </c>
      <c r="AL98" t="s">
        <v>95</v>
      </c>
      <c r="AM98" t="s">
        <v>80</v>
      </c>
      <c r="AN98" t="s">
        <v>96</v>
      </c>
      <c r="AO98" t="s">
        <v>97</v>
      </c>
      <c r="AP98" t="s">
        <v>83</v>
      </c>
      <c r="AQ98" t="s">
        <v>85</v>
      </c>
      <c r="AR98" t="s">
        <v>85</v>
      </c>
      <c r="AS98" t="s">
        <v>84</v>
      </c>
      <c r="AT98" t="s">
        <v>85</v>
      </c>
      <c r="AU98" t="s">
        <v>83</v>
      </c>
      <c r="AV98" t="s">
        <v>85</v>
      </c>
      <c r="AW98" s="4">
        <v>0</v>
      </c>
      <c r="AX98" s="4">
        <v>0</v>
      </c>
      <c r="AY98" s="4">
        <v>0</v>
      </c>
      <c r="AZ98" s="3">
        <v>1.83</v>
      </c>
      <c r="BA98" s="3">
        <v>3.3489000000000004</v>
      </c>
      <c r="BB98" s="3">
        <v>25.978679566424791</v>
      </c>
      <c r="BC98" t="s">
        <v>98</v>
      </c>
      <c r="BD98" t="s">
        <v>99</v>
      </c>
      <c r="BE98" s="4">
        <v>0</v>
      </c>
      <c r="BF98" t="s">
        <v>87</v>
      </c>
      <c r="BG98" s="4">
        <v>0</v>
      </c>
      <c r="BH98" s="1" t="e">
        <v>#NULL!</v>
      </c>
      <c r="BI98" t="s">
        <v>85</v>
      </c>
      <c r="BJ98" s="4">
        <v>0</v>
      </c>
      <c r="BK98" t="s">
        <v>88</v>
      </c>
    </row>
    <row r="99" spans="1:63" x14ac:dyDescent="0.35">
      <c r="A99" s="4">
        <v>104</v>
      </c>
      <c r="B99" s="4">
        <v>30</v>
      </c>
      <c r="C99" t="s">
        <v>114</v>
      </c>
      <c r="D99" t="s">
        <v>64</v>
      </c>
      <c r="E99" t="s">
        <v>65</v>
      </c>
      <c r="F99" t="s">
        <v>101</v>
      </c>
      <c r="G99" t="s">
        <v>67</v>
      </c>
      <c r="H99" s="2">
        <v>350</v>
      </c>
      <c r="I99" t="s">
        <v>68</v>
      </c>
      <c r="J99" t="s">
        <v>70</v>
      </c>
      <c r="K99" t="s">
        <v>69</v>
      </c>
      <c r="L99" t="s">
        <v>69</v>
      </c>
      <c r="M99" s="4">
        <v>3</v>
      </c>
      <c r="N99" t="s">
        <v>91</v>
      </c>
      <c r="O99" s="4">
        <v>4</v>
      </c>
      <c r="P99" t="s">
        <v>91</v>
      </c>
      <c r="Q99" s="4">
        <v>1</v>
      </c>
      <c r="R99" t="s">
        <v>71</v>
      </c>
      <c r="S99" s="4">
        <v>1</v>
      </c>
      <c r="T99" t="s">
        <v>71</v>
      </c>
      <c r="U99" t="s">
        <v>92</v>
      </c>
      <c r="V99" t="s">
        <v>93</v>
      </c>
      <c r="W99" t="s">
        <v>93</v>
      </c>
      <c r="X99" t="s">
        <v>94</v>
      </c>
      <c r="Y99" t="s">
        <v>69</v>
      </c>
      <c r="Z99" s="4">
        <v>7</v>
      </c>
      <c r="AA99" t="s">
        <v>77</v>
      </c>
      <c r="AB99" s="4">
        <v>140</v>
      </c>
      <c r="AC99" s="4">
        <v>94</v>
      </c>
      <c r="AD99" s="4">
        <v>87</v>
      </c>
      <c r="AE99" s="4">
        <v>183</v>
      </c>
      <c r="AF99" s="4">
        <v>92</v>
      </c>
      <c r="AG99" s="4">
        <v>113</v>
      </c>
      <c r="AH99" s="4">
        <v>66</v>
      </c>
      <c r="AI99" s="4">
        <v>210</v>
      </c>
      <c r="AJ99" s="4">
        <v>41</v>
      </c>
      <c r="AK99" t="s">
        <v>107</v>
      </c>
      <c r="AL99" t="s">
        <v>79</v>
      </c>
      <c r="AM99" t="s">
        <v>108</v>
      </c>
      <c r="AN99" t="s">
        <v>109</v>
      </c>
      <c r="AO99" t="s">
        <v>82</v>
      </c>
      <c r="AP99" t="s">
        <v>83</v>
      </c>
      <c r="AQ99" t="s">
        <v>85</v>
      </c>
      <c r="AR99" t="s">
        <v>85</v>
      </c>
      <c r="AS99" t="s">
        <v>84</v>
      </c>
      <c r="AT99" t="s">
        <v>85</v>
      </c>
      <c r="AU99" t="s">
        <v>83</v>
      </c>
      <c r="AV99" t="s">
        <v>85</v>
      </c>
      <c r="AW99" s="4">
        <v>2</v>
      </c>
      <c r="AX99" s="4">
        <v>1</v>
      </c>
      <c r="AY99" s="4">
        <v>1</v>
      </c>
      <c r="AZ99" s="3">
        <v>1.83</v>
      </c>
      <c r="BA99" s="3">
        <v>3.3489000000000004</v>
      </c>
      <c r="BB99" s="3">
        <v>25.978679566424791</v>
      </c>
      <c r="BC99" t="s">
        <v>98</v>
      </c>
      <c r="BD99" t="s">
        <v>99</v>
      </c>
      <c r="BE99" s="4">
        <v>2</v>
      </c>
      <c r="BF99" t="s">
        <v>87</v>
      </c>
      <c r="BG99" s="4">
        <v>0</v>
      </c>
      <c r="BH99" s="1" t="e">
        <v>#NULL!</v>
      </c>
      <c r="BI99" t="s">
        <v>85</v>
      </c>
      <c r="BJ99" s="4">
        <v>2</v>
      </c>
      <c r="BK99" t="s">
        <v>88</v>
      </c>
    </row>
    <row r="100" spans="1:63" x14ac:dyDescent="0.35">
      <c r="A100" s="4">
        <v>110</v>
      </c>
      <c r="B100" s="4">
        <v>30</v>
      </c>
      <c r="C100" t="s">
        <v>114</v>
      </c>
      <c r="D100" t="s">
        <v>64</v>
      </c>
      <c r="E100" t="s">
        <v>65</v>
      </c>
      <c r="F100" t="s">
        <v>101</v>
      </c>
      <c r="G100" t="s">
        <v>67</v>
      </c>
      <c r="H100" s="2">
        <v>500</v>
      </c>
      <c r="I100" t="s">
        <v>68</v>
      </c>
      <c r="J100" t="s">
        <v>70</v>
      </c>
      <c r="K100" t="s">
        <v>69</v>
      </c>
      <c r="L100" t="s">
        <v>69</v>
      </c>
      <c r="M100" s="4">
        <v>3</v>
      </c>
      <c r="N100" t="s">
        <v>91</v>
      </c>
      <c r="O100" s="4">
        <v>3</v>
      </c>
      <c r="P100" t="s">
        <v>91</v>
      </c>
      <c r="Q100" s="4">
        <v>2</v>
      </c>
      <c r="R100" t="s">
        <v>71</v>
      </c>
      <c r="S100" s="4">
        <v>1</v>
      </c>
      <c r="T100" t="s">
        <v>71</v>
      </c>
      <c r="U100" t="s">
        <v>103</v>
      </c>
      <c r="V100" t="s">
        <v>93</v>
      </c>
      <c r="W100" t="s">
        <v>74</v>
      </c>
      <c r="X100" t="s">
        <v>76</v>
      </c>
      <c r="Y100" t="s">
        <v>69</v>
      </c>
      <c r="Z100" s="4">
        <v>4</v>
      </c>
      <c r="AA100" t="s">
        <v>77</v>
      </c>
      <c r="AB100" s="4">
        <v>144</v>
      </c>
      <c r="AC100" s="4">
        <v>75</v>
      </c>
      <c r="AD100" s="4">
        <v>74</v>
      </c>
      <c r="AE100" s="4">
        <v>174</v>
      </c>
      <c r="AF100" s="4">
        <v>90</v>
      </c>
      <c r="AG100" s="4">
        <v>109</v>
      </c>
      <c r="AH100" s="4">
        <v>98</v>
      </c>
      <c r="AI100" s="4">
        <v>91</v>
      </c>
      <c r="AJ100" s="4">
        <v>51</v>
      </c>
      <c r="AK100" t="s">
        <v>78</v>
      </c>
      <c r="AL100" t="s">
        <v>79</v>
      </c>
      <c r="AM100" t="s">
        <v>80</v>
      </c>
      <c r="AN100" t="s">
        <v>81</v>
      </c>
      <c r="AO100" t="s">
        <v>82</v>
      </c>
      <c r="AP100" t="s">
        <v>85</v>
      </c>
      <c r="AQ100" t="s">
        <v>85</v>
      </c>
      <c r="AR100" t="s">
        <v>85</v>
      </c>
      <c r="AS100" t="s">
        <v>84</v>
      </c>
      <c r="AT100" t="s">
        <v>85</v>
      </c>
      <c r="AU100" t="s">
        <v>83</v>
      </c>
      <c r="AV100" t="s">
        <v>85</v>
      </c>
      <c r="AW100" s="4">
        <v>1</v>
      </c>
      <c r="AX100" s="4">
        <v>0</v>
      </c>
      <c r="AY100" s="4">
        <v>0</v>
      </c>
      <c r="AZ100" s="3">
        <v>1.74</v>
      </c>
      <c r="BA100" s="3">
        <v>3.0276000000000001</v>
      </c>
      <c r="BB100" s="3">
        <v>24.441802087462015</v>
      </c>
      <c r="BC100" t="s">
        <v>85</v>
      </c>
      <c r="BD100" t="s">
        <v>86</v>
      </c>
      <c r="BE100" s="4">
        <v>1</v>
      </c>
      <c r="BF100" t="s">
        <v>87</v>
      </c>
      <c r="BG100" s="4">
        <v>0</v>
      </c>
      <c r="BH100" s="1" t="e">
        <v>#NULL!</v>
      </c>
      <c r="BI100" t="s">
        <v>85</v>
      </c>
      <c r="BJ100" s="4">
        <v>1</v>
      </c>
      <c r="BK100" t="s">
        <v>88</v>
      </c>
    </row>
    <row r="101" spans="1:63" x14ac:dyDescent="0.35">
      <c r="A101" s="4">
        <v>45</v>
      </c>
      <c r="B101" s="4">
        <v>30</v>
      </c>
      <c r="C101" t="s">
        <v>114</v>
      </c>
      <c r="D101" t="s">
        <v>64</v>
      </c>
      <c r="E101" t="s">
        <v>104</v>
      </c>
      <c r="F101" t="s">
        <v>101</v>
      </c>
      <c r="G101" t="s">
        <v>67</v>
      </c>
      <c r="H101" s="2">
        <v>400</v>
      </c>
      <c r="I101" t="s">
        <v>68</v>
      </c>
      <c r="J101" t="s">
        <v>69</v>
      </c>
      <c r="K101" t="s">
        <v>69</v>
      </c>
      <c r="L101" t="s">
        <v>69</v>
      </c>
      <c r="M101" s="4">
        <v>1</v>
      </c>
      <c r="N101" t="s">
        <v>71</v>
      </c>
      <c r="O101" s="4">
        <v>3</v>
      </c>
      <c r="P101" t="s">
        <v>91</v>
      </c>
      <c r="Q101" s="4">
        <v>3</v>
      </c>
      <c r="R101" t="s">
        <v>91</v>
      </c>
      <c r="S101" s="4">
        <v>2</v>
      </c>
      <c r="T101" t="s">
        <v>71</v>
      </c>
      <c r="U101" t="s">
        <v>92</v>
      </c>
      <c r="V101" t="s">
        <v>93</v>
      </c>
      <c r="W101" t="s">
        <v>93</v>
      </c>
      <c r="X101" t="s">
        <v>94</v>
      </c>
      <c r="Y101" t="s">
        <v>69</v>
      </c>
      <c r="Z101" s="4">
        <v>6</v>
      </c>
      <c r="AA101" t="s">
        <v>77</v>
      </c>
      <c r="AB101" s="4">
        <v>104</v>
      </c>
      <c r="AC101" s="4">
        <v>65</v>
      </c>
      <c r="AD101" s="4">
        <v>90</v>
      </c>
      <c r="AE101" s="4">
        <v>183</v>
      </c>
      <c r="AF101" s="4">
        <v>90</v>
      </c>
      <c r="AG101" s="4">
        <v>112</v>
      </c>
      <c r="AH101" s="4">
        <v>89</v>
      </c>
      <c r="AI101" s="4">
        <v>113</v>
      </c>
      <c r="AJ101" s="4">
        <v>64</v>
      </c>
      <c r="AK101" t="s">
        <v>78</v>
      </c>
      <c r="AL101" t="s">
        <v>95</v>
      </c>
      <c r="AM101" t="s">
        <v>80</v>
      </c>
      <c r="AN101" t="s">
        <v>96</v>
      </c>
      <c r="AO101" t="s">
        <v>97</v>
      </c>
      <c r="AP101" t="s">
        <v>85</v>
      </c>
      <c r="AQ101" t="s">
        <v>85</v>
      </c>
      <c r="AR101" t="s">
        <v>85</v>
      </c>
      <c r="AS101" t="s">
        <v>84</v>
      </c>
      <c r="AT101" t="s">
        <v>85</v>
      </c>
      <c r="AU101" t="s">
        <v>83</v>
      </c>
      <c r="AV101" t="s">
        <v>85</v>
      </c>
      <c r="AW101" s="4">
        <v>0</v>
      </c>
      <c r="AX101" s="4">
        <v>0</v>
      </c>
      <c r="AY101" s="4">
        <v>0</v>
      </c>
      <c r="AZ101" s="3">
        <v>1.83</v>
      </c>
      <c r="BA101" s="3">
        <v>3.3489000000000004</v>
      </c>
      <c r="BB101" s="3">
        <v>26.874496103198062</v>
      </c>
      <c r="BC101" t="s">
        <v>98</v>
      </c>
      <c r="BD101" t="s">
        <v>99</v>
      </c>
      <c r="BE101" s="4">
        <v>0</v>
      </c>
      <c r="BF101" t="s">
        <v>87</v>
      </c>
      <c r="BG101" s="4">
        <v>0</v>
      </c>
      <c r="BH101" s="1" t="e">
        <v>#NULL!</v>
      </c>
      <c r="BI101" t="s">
        <v>85</v>
      </c>
      <c r="BJ101" s="4">
        <v>0</v>
      </c>
      <c r="BK101" t="s">
        <v>88</v>
      </c>
    </row>
    <row r="102" spans="1:63" x14ac:dyDescent="0.35">
      <c r="A102" s="4">
        <v>60</v>
      </c>
      <c r="B102" s="4">
        <v>30</v>
      </c>
      <c r="C102" t="s">
        <v>114</v>
      </c>
      <c r="D102" t="s">
        <v>89</v>
      </c>
      <c r="E102" t="s">
        <v>104</v>
      </c>
      <c r="F102" t="s">
        <v>101</v>
      </c>
      <c r="G102" t="s">
        <v>67</v>
      </c>
      <c r="H102" s="2">
        <v>700</v>
      </c>
      <c r="I102" t="s">
        <v>105</v>
      </c>
      <c r="J102" t="s">
        <v>69</v>
      </c>
      <c r="K102" t="s">
        <v>69</v>
      </c>
      <c r="L102" t="s">
        <v>69</v>
      </c>
      <c r="M102" s="4">
        <v>3</v>
      </c>
      <c r="N102" t="s">
        <v>91</v>
      </c>
      <c r="O102" s="4">
        <v>2</v>
      </c>
      <c r="P102" t="s">
        <v>71</v>
      </c>
      <c r="Q102" s="4">
        <v>5</v>
      </c>
      <c r="R102" t="s">
        <v>72</v>
      </c>
      <c r="S102" s="4">
        <v>5</v>
      </c>
      <c r="T102" t="s">
        <v>72</v>
      </c>
      <c r="U102" t="s">
        <v>73</v>
      </c>
      <c r="V102" t="s">
        <v>93</v>
      </c>
      <c r="W102" t="s">
        <v>93</v>
      </c>
      <c r="X102" t="s">
        <v>94</v>
      </c>
      <c r="Y102" t="s">
        <v>69</v>
      </c>
      <c r="Z102" s="4">
        <v>5</v>
      </c>
      <c r="AA102" t="s">
        <v>77</v>
      </c>
      <c r="AB102" s="4">
        <v>109</v>
      </c>
      <c r="AC102" s="4">
        <v>76</v>
      </c>
      <c r="AD102" s="4">
        <v>69</v>
      </c>
      <c r="AE102" s="4">
        <v>165</v>
      </c>
      <c r="AF102" s="4">
        <v>78</v>
      </c>
      <c r="AG102" s="4">
        <v>104</v>
      </c>
      <c r="AH102" s="4">
        <v>96</v>
      </c>
      <c r="AI102" s="4">
        <v>143</v>
      </c>
      <c r="AJ102" s="4">
        <v>40</v>
      </c>
      <c r="AK102" t="s">
        <v>78</v>
      </c>
      <c r="AL102" t="s">
        <v>95</v>
      </c>
      <c r="AM102" t="s">
        <v>80</v>
      </c>
      <c r="AN102" t="s">
        <v>96</v>
      </c>
      <c r="AO102" t="s">
        <v>97</v>
      </c>
      <c r="AP102" t="s">
        <v>83</v>
      </c>
      <c r="AQ102" t="s">
        <v>85</v>
      </c>
      <c r="AR102" t="s">
        <v>83</v>
      </c>
      <c r="AS102" t="s">
        <v>84</v>
      </c>
      <c r="AT102" t="s">
        <v>85</v>
      </c>
      <c r="AU102" t="s">
        <v>85</v>
      </c>
      <c r="AV102" t="s">
        <v>85</v>
      </c>
      <c r="AW102" s="4">
        <v>1</v>
      </c>
      <c r="AX102" s="4">
        <v>0</v>
      </c>
      <c r="AY102" s="4">
        <v>0</v>
      </c>
      <c r="AZ102" s="3">
        <v>1.65</v>
      </c>
      <c r="BA102" s="3">
        <v>2.7224999999999997</v>
      </c>
      <c r="BB102" s="3">
        <v>25.344352617079892</v>
      </c>
      <c r="BC102" t="s">
        <v>98</v>
      </c>
      <c r="BD102" t="s">
        <v>99</v>
      </c>
      <c r="BE102" s="4">
        <v>1</v>
      </c>
      <c r="BF102" t="s">
        <v>87</v>
      </c>
      <c r="BG102" s="1" t="e">
        <v>#NULL!</v>
      </c>
      <c r="BH102" s="4">
        <v>0</v>
      </c>
      <c r="BI102" t="s">
        <v>85</v>
      </c>
      <c r="BJ102" s="4">
        <v>1</v>
      </c>
      <c r="BK102" t="s">
        <v>88</v>
      </c>
    </row>
    <row r="103" spans="1:63" x14ac:dyDescent="0.35">
      <c r="A103" s="4">
        <v>76</v>
      </c>
      <c r="B103" s="4">
        <v>30</v>
      </c>
      <c r="C103" t="s">
        <v>114</v>
      </c>
      <c r="D103" t="s">
        <v>64</v>
      </c>
      <c r="E103" t="s">
        <v>104</v>
      </c>
      <c r="F103" t="s">
        <v>101</v>
      </c>
      <c r="G103" t="s">
        <v>67</v>
      </c>
      <c r="H103" s="2">
        <v>350</v>
      </c>
      <c r="I103" t="s">
        <v>68</v>
      </c>
      <c r="J103" t="s">
        <v>69</v>
      </c>
      <c r="K103" t="s">
        <v>69</v>
      </c>
      <c r="L103" t="s">
        <v>69</v>
      </c>
      <c r="M103" s="4">
        <v>3</v>
      </c>
      <c r="N103" t="s">
        <v>91</v>
      </c>
      <c r="O103" s="4">
        <v>2</v>
      </c>
      <c r="P103" t="s">
        <v>71</v>
      </c>
      <c r="Q103" s="4">
        <v>2</v>
      </c>
      <c r="R103" t="s">
        <v>71</v>
      </c>
      <c r="S103" s="4">
        <v>5</v>
      </c>
      <c r="T103" t="s">
        <v>72</v>
      </c>
      <c r="U103" t="s">
        <v>92</v>
      </c>
      <c r="V103" t="s">
        <v>74</v>
      </c>
      <c r="W103" t="s">
        <v>93</v>
      </c>
      <c r="X103" t="s">
        <v>94</v>
      </c>
      <c r="Y103" t="s">
        <v>69</v>
      </c>
      <c r="Z103" s="4">
        <v>4</v>
      </c>
      <c r="AA103" t="s">
        <v>77</v>
      </c>
      <c r="AB103" s="4">
        <v>119</v>
      </c>
      <c r="AC103" s="4">
        <v>81</v>
      </c>
      <c r="AD103" s="4">
        <v>70</v>
      </c>
      <c r="AE103" s="4">
        <v>183</v>
      </c>
      <c r="AF103" s="4">
        <v>80</v>
      </c>
      <c r="AG103" s="4">
        <v>101</v>
      </c>
      <c r="AH103" s="4">
        <v>270</v>
      </c>
      <c r="AI103" s="4">
        <v>63</v>
      </c>
      <c r="AJ103" s="4">
        <v>63</v>
      </c>
      <c r="AK103" t="s">
        <v>78</v>
      </c>
      <c r="AL103" t="s">
        <v>95</v>
      </c>
      <c r="AM103" t="s">
        <v>80</v>
      </c>
      <c r="AN103" t="s">
        <v>96</v>
      </c>
      <c r="AO103" t="s">
        <v>97</v>
      </c>
      <c r="AP103" t="s">
        <v>85</v>
      </c>
      <c r="AQ103" t="s">
        <v>85</v>
      </c>
      <c r="AR103" t="s">
        <v>85</v>
      </c>
      <c r="AS103" t="s">
        <v>102</v>
      </c>
      <c r="AT103" t="s">
        <v>85</v>
      </c>
      <c r="AU103" t="s">
        <v>83</v>
      </c>
      <c r="AV103" t="s">
        <v>85</v>
      </c>
      <c r="AW103" s="4">
        <v>1</v>
      </c>
      <c r="AX103" s="4">
        <v>0</v>
      </c>
      <c r="AY103" s="4">
        <v>0</v>
      </c>
      <c r="AZ103" s="3">
        <v>1.83</v>
      </c>
      <c r="BA103" s="3">
        <v>3.3489000000000004</v>
      </c>
      <c r="BB103" s="3">
        <v>20.902385858042937</v>
      </c>
      <c r="BC103" t="s">
        <v>85</v>
      </c>
      <c r="BD103" t="s">
        <v>86</v>
      </c>
      <c r="BE103" s="4">
        <v>1</v>
      </c>
      <c r="BF103" t="s">
        <v>87</v>
      </c>
      <c r="BG103" s="4">
        <v>0</v>
      </c>
      <c r="BH103" s="1" t="e">
        <v>#NULL!</v>
      </c>
      <c r="BI103" t="s">
        <v>85</v>
      </c>
      <c r="BJ103" s="4">
        <v>1</v>
      </c>
      <c r="BK103" t="s">
        <v>88</v>
      </c>
    </row>
    <row r="104" spans="1:63" x14ac:dyDescent="0.35">
      <c r="A104" s="4">
        <v>82</v>
      </c>
      <c r="B104" s="4">
        <v>30</v>
      </c>
      <c r="C104" t="s">
        <v>114</v>
      </c>
      <c r="D104" t="s">
        <v>89</v>
      </c>
      <c r="E104" t="s">
        <v>104</v>
      </c>
      <c r="F104" t="s">
        <v>115</v>
      </c>
      <c r="G104" t="s">
        <v>67</v>
      </c>
      <c r="H104" s="2">
        <v>800</v>
      </c>
      <c r="I104" t="s">
        <v>105</v>
      </c>
      <c r="J104" t="s">
        <v>69</v>
      </c>
      <c r="K104" t="s">
        <v>69</v>
      </c>
      <c r="L104" t="s">
        <v>69</v>
      </c>
      <c r="M104" s="4">
        <v>3</v>
      </c>
      <c r="N104" t="s">
        <v>91</v>
      </c>
      <c r="O104" s="4">
        <v>3</v>
      </c>
      <c r="P104" t="s">
        <v>91</v>
      </c>
      <c r="Q104" s="4">
        <v>4</v>
      </c>
      <c r="R104" t="s">
        <v>91</v>
      </c>
      <c r="S104" s="4">
        <v>4</v>
      </c>
      <c r="T104" t="s">
        <v>91</v>
      </c>
      <c r="U104" t="s">
        <v>73</v>
      </c>
      <c r="V104" t="s">
        <v>93</v>
      </c>
      <c r="W104" t="s">
        <v>93</v>
      </c>
      <c r="X104" t="s">
        <v>94</v>
      </c>
      <c r="Y104" t="s">
        <v>69</v>
      </c>
      <c r="Z104" s="4">
        <v>6</v>
      </c>
      <c r="AA104" t="s">
        <v>77</v>
      </c>
      <c r="AB104" s="4">
        <v>105</v>
      </c>
      <c r="AC104" s="4">
        <v>70</v>
      </c>
      <c r="AD104" s="4">
        <v>88</v>
      </c>
      <c r="AE104" s="4">
        <v>167</v>
      </c>
      <c r="AF104" s="4">
        <v>76</v>
      </c>
      <c r="AG104" s="4">
        <v>98</v>
      </c>
      <c r="AH104" s="4">
        <v>129</v>
      </c>
      <c r="AI104" s="4">
        <v>119</v>
      </c>
      <c r="AJ104" s="4">
        <v>54</v>
      </c>
      <c r="AK104" t="s">
        <v>78</v>
      </c>
      <c r="AL104" t="s">
        <v>95</v>
      </c>
      <c r="AM104" t="s">
        <v>80</v>
      </c>
      <c r="AN104" t="s">
        <v>96</v>
      </c>
      <c r="AO104" t="s">
        <v>97</v>
      </c>
      <c r="AP104" t="s">
        <v>85</v>
      </c>
      <c r="AQ104" t="s">
        <v>85</v>
      </c>
      <c r="AR104" t="s">
        <v>85</v>
      </c>
      <c r="AS104" t="s">
        <v>102</v>
      </c>
      <c r="AT104" t="s">
        <v>85</v>
      </c>
      <c r="AU104" t="s">
        <v>85</v>
      </c>
      <c r="AV104" t="s">
        <v>85</v>
      </c>
      <c r="AW104" s="4">
        <v>1</v>
      </c>
      <c r="AX104" s="4">
        <v>0</v>
      </c>
      <c r="AY104" s="4">
        <v>0</v>
      </c>
      <c r="AZ104" s="3">
        <v>1.67</v>
      </c>
      <c r="BA104" s="3">
        <v>2.7888999999999999</v>
      </c>
      <c r="BB104" s="3">
        <v>31.553659148768332</v>
      </c>
      <c r="BC104" t="s">
        <v>110</v>
      </c>
      <c r="BD104" t="s">
        <v>99</v>
      </c>
      <c r="BE104" s="4">
        <v>1</v>
      </c>
      <c r="BF104" t="s">
        <v>87</v>
      </c>
      <c r="BG104" s="1" t="e">
        <v>#NULL!</v>
      </c>
      <c r="BH104" s="4">
        <v>0</v>
      </c>
      <c r="BI104" t="s">
        <v>85</v>
      </c>
      <c r="BJ104" s="4">
        <v>1</v>
      </c>
      <c r="BK104" t="s">
        <v>88</v>
      </c>
    </row>
    <row r="105" spans="1:63" x14ac:dyDescent="0.35">
      <c r="A105" s="4">
        <v>93</v>
      </c>
      <c r="B105" s="4">
        <v>30</v>
      </c>
      <c r="C105" t="s">
        <v>114</v>
      </c>
      <c r="D105" t="s">
        <v>89</v>
      </c>
      <c r="E105" t="s">
        <v>104</v>
      </c>
      <c r="F105" t="s">
        <v>101</v>
      </c>
      <c r="G105" t="s">
        <v>67</v>
      </c>
      <c r="H105" s="2">
        <v>700</v>
      </c>
      <c r="I105" t="s">
        <v>105</v>
      </c>
      <c r="J105" t="s">
        <v>69</v>
      </c>
      <c r="K105" t="s">
        <v>69</v>
      </c>
      <c r="L105" t="s">
        <v>69</v>
      </c>
      <c r="M105" s="4">
        <v>3</v>
      </c>
      <c r="N105" t="s">
        <v>91</v>
      </c>
      <c r="O105" s="4">
        <v>2</v>
      </c>
      <c r="P105" t="s">
        <v>71</v>
      </c>
      <c r="Q105" s="4">
        <v>4</v>
      </c>
      <c r="R105" t="s">
        <v>91</v>
      </c>
      <c r="S105" s="4">
        <v>4</v>
      </c>
      <c r="T105" t="s">
        <v>91</v>
      </c>
      <c r="U105" t="s">
        <v>73</v>
      </c>
      <c r="V105" t="s">
        <v>93</v>
      </c>
      <c r="W105" t="s">
        <v>93</v>
      </c>
      <c r="X105" t="s">
        <v>94</v>
      </c>
      <c r="Y105" t="s">
        <v>69</v>
      </c>
      <c r="Z105" s="4">
        <v>4</v>
      </c>
      <c r="AA105" t="s">
        <v>77</v>
      </c>
      <c r="AB105" s="4">
        <v>157</v>
      </c>
      <c r="AC105" s="4">
        <v>82</v>
      </c>
      <c r="AD105" s="4">
        <v>81</v>
      </c>
      <c r="AE105" s="4">
        <v>175</v>
      </c>
      <c r="AF105" s="4">
        <v>89</v>
      </c>
      <c r="AG105" s="4">
        <v>110</v>
      </c>
      <c r="AH105" s="4">
        <v>86</v>
      </c>
      <c r="AI105" s="4">
        <v>44</v>
      </c>
      <c r="AJ105" s="4">
        <v>40</v>
      </c>
      <c r="AK105" t="s">
        <v>78</v>
      </c>
      <c r="AL105" t="s">
        <v>79</v>
      </c>
      <c r="AM105" t="s">
        <v>80</v>
      </c>
      <c r="AN105" t="s">
        <v>81</v>
      </c>
      <c r="AO105" t="s">
        <v>82</v>
      </c>
      <c r="AP105" t="s">
        <v>83</v>
      </c>
      <c r="AQ105" t="s">
        <v>85</v>
      </c>
      <c r="AR105" t="s">
        <v>83</v>
      </c>
      <c r="AS105" t="s">
        <v>84</v>
      </c>
      <c r="AT105" t="s">
        <v>85</v>
      </c>
      <c r="AU105" t="s">
        <v>83</v>
      </c>
      <c r="AV105" t="s">
        <v>83</v>
      </c>
      <c r="AW105" s="4">
        <v>2</v>
      </c>
      <c r="AX105" s="4">
        <v>1</v>
      </c>
      <c r="AY105" s="4">
        <v>2</v>
      </c>
      <c r="AZ105" s="3">
        <v>1.75</v>
      </c>
      <c r="BA105" s="3">
        <v>3.0625</v>
      </c>
      <c r="BB105" s="3">
        <v>26.448979591836736</v>
      </c>
      <c r="BC105" t="s">
        <v>98</v>
      </c>
      <c r="BD105" t="s">
        <v>99</v>
      </c>
      <c r="BE105" s="4">
        <v>3</v>
      </c>
      <c r="BF105" t="s">
        <v>111</v>
      </c>
      <c r="BG105" s="1" t="e">
        <v>#NULL!</v>
      </c>
      <c r="BH105" s="4">
        <v>1</v>
      </c>
      <c r="BI105" t="s">
        <v>83</v>
      </c>
      <c r="BJ105" s="4">
        <v>3</v>
      </c>
      <c r="BK105" t="s">
        <v>112</v>
      </c>
    </row>
    <row r="106" spans="1:63" x14ac:dyDescent="0.35">
      <c r="A106" s="4">
        <v>123</v>
      </c>
      <c r="B106" s="4">
        <v>30</v>
      </c>
      <c r="C106" t="s">
        <v>114</v>
      </c>
      <c r="D106" t="s">
        <v>89</v>
      </c>
      <c r="E106" t="s">
        <v>104</v>
      </c>
      <c r="F106" t="s">
        <v>90</v>
      </c>
      <c r="G106" t="s">
        <v>67</v>
      </c>
      <c r="H106" s="2">
        <v>700</v>
      </c>
      <c r="I106" t="s">
        <v>105</v>
      </c>
      <c r="J106" t="s">
        <v>69</v>
      </c>
      <c r="K106" t="s">
        <v>69</v>
      </c>
      <c r="L106" t="s">
        <v>69</v>
      </c>
      <c r="M106" s="4">
        <v>1</v>
      </c>
      <c r="N106" t="s">
        <v>71</v>
      </c>
      <c r="O106" s="4">
        <v>2</v>
      </c>
      <c r="P106" t="s">
        <v>71</v>
      </c>
      <c r="Q106" s="4">
        <v>1</v>
      </c>
      <c r="R106" t="s">
        <v>71</v>
      </c>
      <c r="S106" s="4">
        <v>1</v>
      </c>
      <c r="T106" t="s">
        <v>71</v>
      </c>
      <c r="U106" t="s">
        <v>92</v>
      </c>
      <c r="V106" t="s">
        <v>93</v>
      </c>
      <c r="W106" t="s">
        <v>93</v>
      </c>
      <c r="X106" t="s">
        <v>94</v>
      </c>
      <c r="Y106" t="s">
        <v>69</v>
      </c>
      <c r="Z106" s="4">
        <v>4</v>
      </c>
      <c r="AA106" t="s">
        <v>77</v>
      </c>
      <c r="AB106" s="4">
        <v>118</v>
      </c>
      <c r="AC106" s="4">
        <v>65</v>
      </c>
      <c r="AD106" s="4">
        <v>45</v>
      </c>
      <c r="AE106" s="4">
        <v>155</v>
      </c>
      <c r="AF106" s="4">
        <v>76</v>
      </c>
      <c r="AG106" s="4">
        <v>98</v>
      </c>
      <c r="AH106" s="4">
        <v>89</v>
      </c>
      <c r="AI106" s="4">
        <v>51</v>
      </c>
      <c r="AJ106" s="4">
        <v>56</v>
      </c>
      <c r="AK106" t="s">
        <v>78</v>
      </c>
      <c r="AL106" t="s">
        <v>95</v>
      </c>
      <c r="AM106" t="s">
        <v>80</v>
      </c>
      <c r="AN106" t="s">
        <v>96</v>
      </c>
      <c r="AO106" t="s">
        <v>97</v>
      </c>
      <c r="AP106" t="s">
        <v>85</v>
      </c>
      <c r="AQ106" t="s">
        <v>85</v>
      </c>
      <c r="AR106" t="s">
        <v>85</v>
      </c>
      <c r="AS106" t="s">
        <v>84</v>
      </c>
      <c r="AT106" t="s">
        <v>85</v>
      </c>
      <c r="AU106" t="s">
        <v>85</v>
      </c>
      <c r="AV106" t="s">
        <v>85</v>
      </c>
      <c r="AW106" s="4">
        <v>0</v>
      </c>
      <c r="AX106" s="4">
        <v>0</v>
      </c>
      <c r="AY106" s="4">
        <v>0</v>
      </c>
      <c r="AZ106" s="3">
        <v>1.55</v>
      </c>
      <c r="BA106" s="3">
        <v>2.4025000000000003</v>
      </c>
      <c r="BB106" s="3">
        <v>18.730489073881373</v>
      </c>
      <c r="BC106" t="s">
        <v>85</v>
      </c>
      <c r="BD106" t="s">
        <v>86</v>
      </c>
      <c r="BE106" s="4">
        <v>0</v>
      </c>
      <c r="BF106" t="s">
        <v>87</v>
      </c>
      <c r="BG106" s="1" t="e">
        <v>#NULL!</v>
      </c>
      <c r="BH106" s="4">
        <v>0</v>
      </c>
      <c r="BI106" t="s">
        <v>85</v>
      </c>
      <c r="BJ106" s="4">
        <v>0</v>
      </c>
      <c r="BK106" t="s">
        <v>88</v>
      </c>
    </row>
    <row r="107" spans="1:63" x14ac:dyDescent="0.35">
      <c r="A107" s="4">
        <v>125</v>
      </c>
      <c r="B107" s="4">
        <v>30</v>
      </c>
      <c r="C107" t="s">
        <v>114</v>
      </c>
      <c r="D107" t="s">
        <v>64</v>
      </c>
      <c r="E107" t="s">
        <v>104</v>
      </c>
      <c r="F107" t="s">
        <v>115</v>
      </c>
      <c r="G107" t="s">
        <v>67</v>
      </c>
      <c r="H107" s="2">
        <v>300</v>
      </c>
      <c r="I107" t="s">
        <v>68</v>
      </c>
      <c r="J107" t="s">
        <v>69</v>
      </c>
      <c r="K107" t="s">
        <v>70</v>
      </c>
      <c r="L107" t="s">
        <v>69</v>
      </c>
      <c r="M107" s="4">
        <v>1</v>
      </c>
      <c r="N107" t="s">
        <v>71</v>
      </c>
      <c r="O107" s="4">
        <v>2</v>
      </c>
      <c r="P107" t="s">
        <v>71</v>
      </c>
      <c r="Q107" s="4">
        <v>1</v>
      </c>
      <c r="R107" t="s">
        <v>71</v>
      </c>
      <c r="S107" s="4">
        <v>1</v>
      </c>
      <c r="T107" t="s">
        <v>71</v>
      </c>
      <c r="U107" t="s">
        <v>73</v>
      </c>
      <c r="V107" t="s">
        <v>93</v>
      </c>
      <c r="W107" t="s">
        <v>93</v>
      </c>
      <c r="X107" t="s">
        <v>94</v>
      </c>
      <c r="Y107" t="s">
        <v>69</v>
      </c>
      <c r="Z107" s="4">
        <v>4</v>
      </c>
      <c r="AA107" t="s">
        <v>77</v>
      </c>
      <c r="AB107" s="4">
        <v>124</v>
      </c>
      <c r="AC107" s="4">
        <v>58</v>
      </c>
      <c r="AD107" s="4">
        <v>37</v>
      </c>
      <c r="AE107" s="4">
        <v>148</v>
      </c>
      <c r="AF107" s="4">
        <v>77</v>
      </c>
      <c r="AG107" s="4">
        <v>86</v>
      </c>
      <c r="AH107" s="4">
        <v>99</v>
      </c>
      <c r="AI107" s="4">
        <v>69</v>
      </c>
      <c r="AJ107" s="4">
        <v>44</v>
      </c>
      <c r="AK107" t="s">
        <v>78</v>
      </c>
      <c r="AL107" t="s">
        <v>95</v>
      </c>
      <c r="AM107" t="s">
        <v>80</v>
      </c>
      <c r="AN107" t="s">
        <v>96</v>
      </c>
      <c r="AO107" t="s">
        <v>97</v>
      </c>
      <c r="AP107" t="s">
        <v>83</v>
      </c>
      <c r="AQ107" t="s">
        <v>85</v>
      </c>
      <c r="AR107" t="s">
        <v>85</v>
      </c>
      <c r="AS107" t="s">
        <v>84</v>
      </c>
      <c r="AT107" t="s">
        <v>85</v>
      </c>
      <c r="AU107" t="s">
        <v>85</v>
      </c>
      <c r="AV107" t="s">
        <v>85</v>
      </c>
      <c r="AW107" s="4">
        <v>0</v>
      </c>
      <c r="AX107" s="4">
        <v>0</v>
      </c>
      <c r="AY107" s="4">
        <v>0</v>
      </c>
      <c r="AZ107" s="3">
        <v>1.48</v>
      </c>
      <c r="BA107" s="3">
        <v>2.1903999999999999</v>
      </c>
      <c r="BB107" s="3">
        <v>16.891891891891891</v>
      </c>
      <c r="BC107" t="s">
        <v>100</v>
      </c>
      <c r="BD107" t="s">
        <v>86</v>
      </c>
      <c r="BE107" s="4">
        <v>0</v>
      </c>
      <c r="BF107" t="s">
        <v>87</v>
      </c>
      <c r="BG107" s="4">
        <v>0</v>
      </c>
      <c r="BH107" s="1" t="e">
        <v>#NULL!</v>
      </c>
      <c r="BI107" t="s">
        <v>85</v>
      </c>
      <c r="BJ107" s="4">
        <v>0</v>
      </c>
      <c r="BK107" t="s">
        <v>88</v>
      </c>
    </row>
    <row r="108" spans="1:63" x14ac:dyDescent="0.35">
      <c r="A108" s="4">
        <v>154</v>
      </c>
      <c r="B108" s="4">
        <v>30</v>
      </c>
      <c r="C108" t="s">
        <v>114</v>
      </c>
      <c r="D108" t="s">
        <v>64</v>
      </c>
      <c r="E108" t="s">
        <v>104</v>
      </c>
      <c r="F108" t="s">
        <v>101</v>
      </c>
      <c r="G108" t="s">
        <v>67</v>
      </c>
      <c r="H108" s="2">
        <v>500</v>
      </c>
      <c r="I108" t="s">
        <v>68</v>
      </c>
      <c r="J108" t="s">
        <v>69</v>
      </c>
      <c r="K108" t="s">
        <v>69</v>
      </c>
      <c r="L108" t="s">
        <v>69</v>
      </c>
      <c r="M108" s="4">
        <v>3</v>
      </c>
      <c r="N108" t="s">
        <v>91</v>
      </c>
      <c r="O108" s="4">
        <v>4</v>
      </c>
      <c r="P108" t="s">
        <v>91</v>
      </c>
      <c r="Q108" s="4">
        <v>3</v>
      </c>
      <c r="R108" t="s">
        <v>91</v>
      </c>
      <c r="S108" s="4">
        <v>2</v>
      </c>
      <c r="T108" t="s">
        <v>71</v>
      </c>
      <c r="U108" t="s">
        <v>92</v>
      </c>
      <c r="V108" t="s">
        <v>93</v>
      </c>
      <c r="W108" t="s">
        <v>74</v>
      </c>
      <c r="X108" t="s">
        <v>76</v>
      </c>
      <c r="Y108" t="s">
        <v>69</v>
      </c>
      <c r="Z108" s="4">
        <v>2</v>
      </c>
      <c r="AA108" t="s">
        <v>77</v>
      </c>
      <c r="AB108" s="4">
        <v>116</v>
      </c>
      <c r="AC108" s="4">
        <v>70</v>
      </c>
      <c r="AD108" s="4">
        <v>46</v>
      </c>
      <c r="AE108" s="4">
        <v>172</v>
      </c>
      <c r="AF108" s="4">
        <v>66</v>
      </c>
      <c r="AG108" s="4">
        <v>90</v>
      </c>
      <c r="AH108" s="4">
        <v>95</v>
      </c>
      <c r="AI108" s="4">
        <v>62</v>
      </c>
      <c r="AJ108" s="4">
        <v>53</v>
      </c>
      <c r="AK108" t="s">
        <v>78</v>
      </c>
      <c r="AL108" t="s">
        <v>95</v>
      </c>
      <c r="AM108" t="s">
        <v>80</v>
      </c>
      <c r="AN108" t="s">
        <v>96</v>
      </c>
      <c r="AO108" t="s">
        <v>97</v>
      </c>
      <c r="AP108" t="s">
        <v>85</v>
      </c>
      <c r="AQ108" t="s">
        <v>85</v>
      </c>
      <c r="AR108" t="s">
        <v>85</v>
      </c>
      <c r="AS108" t="s">
        <v>84</v>
      </c>
      <c r="AT108" t="s">
        <v>85</v>
      </c>
      <c r="AU108" t="s">
        <v>85</v>
      </c>
      <c r="AV108" t="s">
        <v>85</v>
      </c>
      <c r="AW108" s="4">
        <v>0</v>
      </c>
      <c r="AX108" s="4">
        <v>0</v>
      </c>
      <c r="AY108" s="4">
        <v>0</v>
      </c>
      <c r="AZ108" s="3">
        <v>1.72</v>
      </c>
      <c r="BA108" s="3">
        <v>2.9583999999999997</v>
      </c>
      <c r="BB108" s="3">
        <v>15.548945375878855</v>
      </c>
      <c r="BC108" t="s">
        <v>100</v>
      </c>
      <c r="BD108" t="s">
        <v>86</v>
      </c>
      <c r="BE108" s="4">
        <v>0</v>
      </c>
      <c r="BF108" t="s">
        <v>87</v>
      </c>
      <c r="BG108" s="4">
        <v>0</v>
      </c>
      <c r="BH108" s="1" t="e">
        <v>#NULL!</v>
      </c>
      <c r="BI108" t="s">
        <v>85</v>
      </c>
      <c r="BJ108" s="4">
        <v>0</v>
      </c>
      <c r="BK108" t="s">
        <v>88</v>
      </c>
    </row>
    <row r="109" spans="1:63" x14ac:dyDescent="0.35">
      <c r="A109" s="4">
        <v>156</v>
      </c>
      <c r="B109" s="4">
        <v>30</v>
      </c>
      <c r="C109" t="s">
        <v>114</v>
      </c>
      <c r="D109" t="s">
        <v>89</v>
      </c>
      <c r="E109" t="s">
        <v>104</v>
      </c>
      <c r="F109" t="s">
        <v>115</v>
      </c>
      <c r="G109" t="s">
        <v>67</v>
      </c>
      <c r="H109" s="2">
        <v>700</v>
      </c>
      <c r="I109" t="s">
        <v>105</v>
      </c>
      <c r="J109" t="s">
        <v>69</v>
      </c>
      <c r="K109" t="s">
        <v>69</v>
      </c>
      <c r="L109" t="s">
        <v>69</v>
      </c>
      <c r="M109" s="4">
        <v>1</v>
      </c>
      <c r="N109" t="s">
        <v>71</v>
      </c>
      <c r="O109" s="4">
        <v>2</v>
      </c>
      <c r="P109" t="s">
        <v>71</v>
      </c>
      <c r="Q109" s="4">
        <v>1</v>
      </c>
      <c r="R109" t="s">
        <v>71</v>
      </c>
      <c r="S109" s="4">
        <v>1</v>
      </c>
      <c r="T109" t="s">
        <v>71</v>
      </c>
      <c r="U109" t="s">
        <v>73</v>
      </c>
      <c r="V109" t="s">
        <v>93</v>
      </c>
      <c r="W109" t="s">
        <v>93</v>
      </c>
      <c r="X109" t="s">
        <v>94</v>
      </c>
      <c r="Y109" t="s">
        <v>69</v>
      </c>
      <c r="Z109" s="4">
        <v>1</v>
      </c>
      <c r="AA109" t="s">
        <v>77</v>
      </c>
      <c r="AB109" s="4">
        <v>120</v>
      </c>
      <c r="AC109" s="4">
        <v>75</v>
      </c>
      <c r="AD109" s="4">
        <v>42</v>
      </c>
      <c r="AE109" s="4">
        <v>158</v>
      </c>
      <c r="AF109" s="4">
        <v>71</v>
      </c>
      <c r="AG109" s="4">
        <v>86</v>
      </c>
      <c r="AH109" s="4">
        <v>129</v>
      </c>
      <c r="AI109" s="4">
        <v>53</v>
      </c>
      <c r="AJ109" s="4">
        <v>55</v>
      </c>
      <c r="AK109" t="s">
        <v>78</v>
      </c>
      <c r="AL109" t="s">
        <v>95</v>
      </c>
      <c r="AM109" t="s">
        <v>80</v>
      </c>
      <c r="AN109" t="s">
        <v>96</v>
      </c>
      <c r="AO109" t="s">
        <v>97</v>
      </c>
      <c r="AP109" t="s">
        <v>85</v>
      </c>
      <c r="AQ109" t="s">
        <v>85</v>
      </c>
      <c r="AR109" t="s">
        <v>85</v>
      </c>
      <c r="AS109" t="s">
        <v>102</v>
      </c>
      <c r="AT109" t="s">
        <v>85</v>
      </c>
      <c r="AU109" t="s">
        <v>85</v>
      </c>
      <c r="AV109" t="s">
        <v>85</v>
      </c>
      <c r="AW109" s="4">
        <v>1</v>
      </c>
      <c r="AX109" s="4">
        <v>0</v>
      </c>
      <c r="AY109" s="4">
        <v>0</v>
      </c>
      <c r="AZ109" s="3">
        <v>1.58</v>
      </c>
      <c r="BA109" s="3">
        <v>2.4964000000000004</v>
      </c>
      <c r="BB109" s="3">
        <v>16.824226886716868</v>
      </c>
      <c r="BC109" t="s">
        <v>100</v>
      </c>
      <c r="BD109" t="s">
        <v>86</v>
      </c>
      <c r="BE109" s="4">
        <v>1</v>
      </c>
      <c r="BF109" t="s">
        <v>87</v>
      </c>
      <c r="BG109" s="1" t="e">
        <v>#NULL!</v>
      </c>
      <c r="BH109" s="4">
        <v>0</v>
      </c>
      <c r="BI109" t="s">
        <v>85</v>
      </c>
      <c r="BJ109" s="4">
        <v>1</v>
      </c>
      <c r="BK109" t="s">
        <v>88</v>
      </c>
    </row>
    <row r="110" spans="1:63" x14ac:dyDescent="0.35">
      <c r="A110" s="4">
        <v>187</v>
      </c>
      <c r="B110" s="4">
        <v>30</v>
      </c>
      <c r="C110" t="s">
        <v>114</v>
      </c>
      <c r="D110" t="s">
        <v>89</v>
      </c>
      <c r="E110" t="s">
        <v>104</v>
      </c>
      <c r="F110" t="s">
        <v>66</v>
      </c>
      <c r="G110" t="s">
        <v>67</v>
      </c>
      <c r="H110" s="2">
        <v>200</v>
      </c>
      <c r="I110" t="s">
        <v>68</v>
      </c>
      <c r="J110" t="s">
        <v>69</v>
      </c>
      <c r="K110" t="s">
        <v>69</v>
      </c>
      <c r="L110" t="s">
        <v>69</v>
      </c>
      <c r="M110" s="4">
        <v>3</v>
      </c>
      <c r="N110" t="s">
        <v>91</v>
      </c>
      <c r="O110" s="4">
        <v>2</v>
      </c>
      <c r="P110" t="s">
        <v>71</v>
      </c>
      <c r="Q110" s="4">
        <v>5</v>
      </c>
      <c r="R110" t="s">
        <v>72</v>
      </c>
      <c r="S110" s="4">
        <v>1</v>
      </c>
      <c r="T110" t="s">
        <v>71</v>
      </c>
      <c r="U110" t="s">
        <v>73</v>
      </c>
      <c r="V110" t="s">
        <v>93</v>
      </c>
      <c r="W110" t="s">
        <v>93</v>
      </c>
      <c r="X110" t="s">
        <v>94</v>
      </c>
      <c r="Y110" t="s">
        <v>69</v>
      </c>
      <c r="Z110" s="4">
        <v>10</v>
      </c>
      <c r="AA110" t="s">
        <v>117</v>
      </c>
      <c r="AB110" s="4">
        <v>158</v>
      </c>
      <c r="AC110" s="4">
        <v>95</v>
      </c>
      <c r="AD110" s="4">
        <v>71</v>
      </c>
      <c r="AE110" s="4">
        <v>159</v>
      </c>
      <c r="AF110" s="4">
        <v>102</v>
      </c>
      <c r="AG110" s="4">
        <v>108</v>
      </c>
      <c r="AH110" s="4">
        <v>103</v>
      </c>
      <c r="AI110" s="4">
        <v>61</v>
      </c>
      <c r="AJ110" s="4">
        <v>34</v>
      </c>
      <c r="AK110" t="s">
        <v>78</v>
      </c>
      <c r="AL110" t="s">
        <v>79</v>
      </c>
      <c r="AM110" t="s">
        <v>108</v>
      </c>
      <c r="AN110" t="s">
        <v>109</v>
      </c>
      <c r="AO110" t="s">
        <v>82</v>
      </c>
      <c r="AP110" t="s">
        <v>83</v>
      </c>
      <c r="AQ110" t="s">
        <v>83</v>
      </c>
      <c r="AR110" t="s">
        <v>83</v>
      </c>
      <c r="AS110" t="s">
        <v>102</v>
      </c>
      <c r="AT110" t="s">
        <v>83</v>
      </c>
      <c r="AU110" t="s">
        <v>83</v>
      </c>
      <c r="AV110" t="s">
        <v>83</v>
      </c>
      <c r="AW110" s="4">
        <v>3</v>
      </c>
      <c r="AX110" s="4">
        <v>1</v>
      </c>
      <c r="AY110" s="4">
        <v>2</v>
      </c>
      <c r="AZ110" s="3">
        <v>1.59</v>
      </c>
      <c r="BA110" s="3">
        <v>2.5281000000000002</v>
      </c>
      <c r="BB110" s="3">
        <v>28.084332107116012</v>
      </c>
      <c r="BC110" t="s">
        <v>98</v>
      </c>
      <c r="BD110" t="s">
        <v>99</v>
      </c>
      <c r="BE110" s="4">
        <v>4</v>
      </c>
      <c r="BF110" t="s">
        <v>111</v>
      </c>
      <c r="BG110" s="1" t="e">
        <v>#NULL!</v>
      </c>
      <c r="BH110" s="4">
        <v>1</v>
      </c>
      <c r="BI110" t="s">
        <v>83</v>
      </c>
      <c r="BJ110" s="4">
        <v>4</v>
      </c>
      <c r="BK110" t="s">
        <v>112</v>
      </c>
    </row>
    <row r="111" spans="1:63" x14ac:dyDescent="0.35">
      <c r="A111" s="4">
        <v>191</v>
      </c>
      <c r="B111" s="4">
        <v>30</v>
      </c>
      <c r="C111" t="s">
        <v>114</v>
      </c>
      <c r="D111" t="s">
        <v>89</v>
      </c>
      <c r="E111" t="s">
        <v>104</v>
      </c>
      <c r="F111" t="s">
        <v>90</v>
      </c>
      <c r="G111" t="s">
        <v>67</v>
      </c>
      <c r="H111" s="2">
        <v>100</v>
      </c>
      <c r="I111" t="s">
        <v>68</v>
      </c>
      <c r="J111" t="s">
        <v>69</v>
      </c>
      <c r="K111" t="s">
        <v>69</v>
      </c>
      <c r="L111" t="s">
        <v>69</v>
      </c>
      <c r="M111" s="4">
        <v>0</v>
      </c>
      <c r="N111" t="s">
        <v>71</v>
      </c>
      <c r="O111" s="4">
        <v>1</v>
      </c>
      <c r="P111" t="s">
        <v>71</v>
      </c>
      <c r="Q111" s="4">
        <v>2</v>
      </c>
      <c r="R111" t="s">
        <v>71</v>
      </c>
      <c r="S111" s="4">
        <v>1</v>
      </c>
      <c r="T111" t="s">
        <v>71</v>
      </c>
      <c r="U111" t="s">
        <v>92</v>
      </c>
      <c r="V111" t="s">
        <v>93</v>
      </c>
      <c r="W111" t="s">
        <v>93</v>
      </c>
      <c r="X111" t="s">
        <v>94</v>
      </c>
      <c r="Y111" t="s">
        <v>69</v>
      </c>
      <c r="Z111" s="4">
        <v>2</v>
      </c>
      <c r="AA111" t="s">
        <v>77</v>
      </c>
      <c r="AB111" s="4">
        <v>116</v>
      </c>
      <c r="AC111" s="4">
        <v>70</v>
      </c>
      <c r="AD111" s="4">
        <v>51</v>
      </c>
      <c r="AE111" s="4">
        <v>167</v>
      </c>
      <c r="AF111" s="4">
        <v>77</v>
      </c>
      <c r="AG111" s="4">
        <v>92</v>
      </c>
      <c r="AH111" s="4">
        <v>95</v>
      </c>
      <c r="AI111" s="4">
        <v>48</v>
      </c>
      <c r="AJ111" s="4">
        <v>35</v>
      </c>
      <c r="AK111" t="s">
        <v>78</v>
      </c>
      <c r="AL111" t="s">
        <v>95</v>
      </c>
      <c r="AM111" t="s">
        <v>80</v>
      </c>
      <c r="AN111" t="s">
        <v>96</v>
      </c>
      <c r="AO111" t="s">
        <v>97</v>
      </c>
      <c r="AP111" t="s">
        <v>83</v>
      </c>
      <c r="AQ111" t="s">
        <v>83</v>
      </c>
      <c r="AR111" t="s">
        <v>83</v>
      </c>
      <c r="AS111" t="s">
        <v>84</v>
      </c>
      <c r="AT111" t="s">
        <v>85</v>
      </c>
      <c r="AU111" t="s">
        <v>85</v>
      </c>
      <c r="AV111" t="s">
        <v>85</v>
      </c>
      <c r="AW111" s="4">
        <v>1</v>
      </c>
      <c r="AX111" s="4">
        <v>0</v>
      </c>
      <c r="AY111" s="4">
        <v>0</v>
      </c>
      <c r="AZ111" s="3">
        <v>1.67</v>
      </c>
      <c r="BA111" s="3">
        <v>2.7888999999999999</v>
      </c>
      <c r="BB111" s="3">
        <v>18.286779733945284</v>
      </c>
      <c r="BC111" t="s">
        <v>100</v>
      </c>
      <c r="BD111" t="s">
        <v>86</v>
      </c>
      <c r="BE111" s="4">
        <v>1</v>
      </c>
      <c r="BF111" t="s">
        <v>87</v>
      </c>
      <c r="BG111" s="1" t="e">
        <v>#NULL!</v>
      </c>
      <c r="BH111" s="4">
        <v>0</v>
      </c>
      <c r="BI111" t="s">
        <v>85</v>
      </c>
      <c r="BJ111" s="4">
        <v>1</v>
      </c>
      <c r="BK111" t="s">
        <v>88</v>
      </c>
    </row>
    <row r="112" spans="1:63" x14ac:dyDescent="0.35">
      <c r="A112" s="4">
        <v>193</v>
      </c>
      <c r="B112" s="4">
        <v>30</v>
      </c>
      <c r="C112" t="s">
        <v>114</v>
      </c>
      <c r="D112" t="s">
        <v>89</v>
      </c>
      <c r="E112" t="s">
        <v>104</v>
      </c>
      <c r="F112" t="s">
        <v>90</v>
      </c>
      <c r="G112" t="s">
        <v>67</v>
      </c>
      <c r="H112" s="2">
        <v>250</v>
      </c>
      <c r="I112" t="s">
        <v>68</v>
      </c>
      <c r="J112" t="s">
        <v>69</v>
      </c>
      <c r="K112" t="s">
        <v>69</v>
      </c>
      <c r="L112" t="s">
        <v>69</v>
      </c>
      <c r="M112" s="4">
        <v>3</v>
      </c>
      <c r="N112" t="s">
        <v>91</v>
      </c>
      <c r="O112" s="4">
        <v>2</v>
      </c>
      <c r="P112" t="s">
        <v>71</v>
      </c>
      <c r="Q112" s="4">
        <v>4</v>
      </c>
      <c r="R112" t="s">
        <v>91</v>
      </c>
      <c r="S112" s="4">
        <v>1</v>
      </c>
      <c r="T112" t="s">
        <v>71</v>
      </c>
      <c r="U112" t="s">
        <v>73</v>
      </c>
      <c r="V112" t="s">
        <v>93</v>
      </c>
      <c r="W112" t="s">
        <v>93</v>
      </c>
      <c r="X112" t="s">
        <v>94</v>
      </c>
      <c r="Y112" t="s">
        <v>69</v>
      </c>
      <c r="Z112" s="4">
        <v>1</v>
      </c>
      <c r="AA112" t="s">
        <v>77</v>
      </c>
      <c r="AB112" s="4">
        <v>121</v>
      </c>
      <c r="AC112" s="4">
        <v>73</v>
      </c>
      <c r="AD112" s="4">
        <v>65</v>
      </c>
      <c r="AE112" s="4">
        <v>161</v>
      </c>
      <c r="AF112" s="4">
        <v>93</v>
      </c>
      <c r="AG112" s="4">
        <v>108</v>
      </c>
      <c r="AH112" s="4">
        <v>94</v>
      </c>
      <c r="AI112" s="4">
        <v>54</v>
      </c>
      <c r="AJ112" s="4">
        <v>63</v>
      </c>
      <c r="AK112" t="s">
        <v>78</v>
      </c>
      <c r="AL112" t="s">
        <v>95</v>
      </c>
      <c r="AM112" t="s">
        <v>80</v>
      </c>
      <c r="AN112" t="s">
        <v>96</v>
      </c>
      <c r="AO112" t="s">
        <v>97</v>
      </c>
      <c r="AP112" t="s">
        <v>85</v>
      </c>
      <c r="AQ112" t="s">
        <v>85</v>
      </c>
      <c r="AR112" t="s">
        <v>85</v>
      </c>
      <c r="AS112" t="s">
        <v>84</v>
      </c>
      <c r="AT112" t="s">
        <v>85</v>
      </c>
      <c r="AU112" t="s">
        <v>83</v>
      </c>
      <c r="AV112" t="s">
        <v>83</v>
      </c>
      <c r="AW112" s="4">
        <v>0</v>
      </c>
      <c r="AX112" s="4">
        <v>0</v>
      </c>
      <c r="AY112" s="4">
        <v>1</v>
      </c>
      <c r="AZ112" s="3">
        <v>1.61</v>
      </c>
      <c r="BA112" s="3">
        <v>2.5921000000000003</v>
      </c>
      <c r="BB112" s="3">
        <v>25.076193048107708</v>
      </c>
      <c r="BC112" t="s">
        <v>98</v>
      </c>
      <c r="BD112" t="s">
        <v>99</v>
      </c>
      <c r="BE112" s="4">
        <v>1</v>
      </c>
      <c r="BF112" t="s">
        <v>87</v>
      </c>
      <c r="BG112" s="1" t="e">
        <v>#NULL!</v>
      </c>
      <c r="BH112" s="4">
        <v>1</v>
      </c>
      <c r="BI112" t="s">
        <v>83</v>
      </c>
      <c r="BJ112" s="4">
        <v>1</v>
      </c>
      <c r="BK112" t="s">
        <v>88</v>
      </c>
    </row>
    <row r="113" spans="1:63" x14ac:dyDescent="0.35">
      <c r="A113" s="4">
        <v>251</v>
      </c>
      <c r="B113" s="4">
        <v>30</v>
      </c>
      <c r="C113" t="s">
        <v>114</v>
      </c>
      <c r="D113" t="s">
        <v>89</v>
      </c>
      <c r="E113" t="s">
        <v>104</v>
      </c>
      <c r="F113" t="s">
        <v>101</v>
      </c>
      <c r="G113" t="s">
        <v>67</v>
      </c>
      <c r="H113" s="2">
        <v>400</v>
      </c>
      <c r="I113" t="s">
        <v>68</v>
      </c>
      <c r="J113" t="s">
        <v>69</v>
      </c>
      <c r="K113" t="s">
        <v>69</v>
      </c>
      <c r="L113" t="s">
        <v>69</v>
      </c>
      <c r="M113" s="4">
        <v>3</v>
      </c>
      <c r="N113" t="s">
        <v>91</v>
      </c>
      <c r="O113" s="4">
        <v>2</v>
      </c>
      <c r="P113" t="s">
        <v>71</v>
      </c>
      <c r="Q113" s="4">
        <v>4</v>
      </c>
      <c r="R113" t="s">
        <v>91</v>
      </c>
      <c r="S113" s="4">
        <v>4</v>
      </c>
      <c r="T113" t="s">
        <v>91</v>
      </c>
      <c r="U113" t="s">
        <v>103</v>
      </c>
      <c r="V113" t="s">
        <v>93</v>
      </c>
      <c r="W113" t="s">
        <v>93</v>
      </c>
      <c r="X113" t="s">
        <v>94</v>
      </c>
      <c r="Y113" t="s">
        <v>69</v>
      </c>
      <c r="Z113" s="4">
        <v>3</v>
      </c>
      <c r="AA113" t="s">
        <v>77</v>
      </c>
      <c r="AB113" s="4">
        <v>143</v>
      </c>
      <c r="AC113" s="4">
        <v>89</v>
      </c>
      <c r="AD113" s="4">
        <v>102</v>
      </c>
      <c r="AE113" s="4">
        <v>172</v>
      </c>
      <c r="AF113" s="4">
        <v>100</v>
      </c>
      <c r="AG113" s="4">
        <v>125</v>
      </c>
      <c r="AH113" s="4">
        <v>178</v>
      </c>
      <c r="AI113" s="4">
        <v>124</v>
      </c>
      <c r="AJ113" s="4">
        <v>51</v>
      </c>
      <c r="AK113" t="s">
        <v>78</v>
      </c>
      <c r="AL113" t="s">
        <v>79</v>
      </c>
      <c r="AM113" t="s">
        <v>108</v>
      </c>
      <c r="AN113" t="s">
        <v>109</v>
      </c>
      <c r="AO113" t="s">
        <v>82</v>
      </c>
      <c r="AP113" t="s">
        <v>85</v>
      </c>
      <c r="AQ113" t="s">
        <v>85</v>
      </c>
      <c r="AR113" t="s">
        <v>85</v>
      </c>
      <c r="AS113" t="s">
        <v>102</v>
      </c>
      <c r="AT113" t="s">
        <v>83</v>
      </c>
      <c r="AU113" t="s">
        <v>83</v>
      </c>
      <c r="AV113" t="s">
        <v>83</v>
      </c>
      <c r="AW113" s="4">
        <v>2</v>
      </c>
      <c r="AX113" s="4">
        <v>1</v>
      </c>
      <c r="AY113" s="4">
        <v>2</v>
      </c>
      <c r="AZ113" s="3">
        <v>1.72</v>
      </c>
      <c r="BA113" s="3">
        <v>2.9583999999999997</v>
      </c>
      <c r="BB113" s="3">
        <v>34.478096268253111</v>
      </c>
      <c r="BC113" t="s">
        <v>110</v>
      </c>
      <c r="BD113" t="s">
        <v>99</v>
      </c>
      <c r="BE113" s="4">
        <v>3</v>
      </c>
      <c r="BF113" t="s">
        <v>111</v>
      </c>
      <c r="BG113" s="1" t="e">
        <v>#NULL!</v>
      </c>
      <c r="BH113" s="4">
        <v>1</v>
      </c>
      <c r="BI113" t="s">
        <v>83</v>
      </c>
      <c r="BJ113" s="4">
        <v>3</v>
      </c>
      <c r="BK113" t="s">
        <v>112</v>
      </c>
    </row>
    <row r="114" spans="1:63" x14ac:dyDescent="0.35">
      <c r="A114" s="4">
        <v>282</v>
      </c>
      <c r="B114" s="4">
        <v>30</v>
      </c>
      <c r="C114" t="s">
        <v>114</v>
      </c>
      <c r="D114" t="s">
        <v>89</v>
      </c>
      <c r="E114" t="s">
        <v>104</v>
      </c>
      <c r="F114" t="s">
        <v>101</v>
      </c>
      <c r="G114" t="s">
        <v>67</v>
      </c>
      <c r="H114" s="2">
        <v>300</v>
      </c>
      <c r="I114" t="s">
        <v>68</v>
      </c>
      <c r="J114" t="s">
        <v>69</v>
      </c>
      <c r="K114" t="s">
        <v>69</v>
      </c>
      <c r="L114" t="s">
        <v>69</v>
      </c>
      <c r="M114" s="4">
        <v>2</v>
      </c>
      <c r="N114" t="s">
        <v>71</v>
      </c>
      <c r="O114" s="4">
        <v>2</v>
      </c>
      <c r="P114" t="s">
        <v>71</v>
      </c>
      <c r="Q114" s="4">
        <v>3</v>
      </c>
      <c r="R114" t="s">
        <v>91</v>
      </c>
      <c r="S114" s="4">
        <v>3</v>
      </c>
      <c r="T114" t="s">
        <v>91</v>
      </c>
      <c r="U114" t="s">
        <v>73</v>
      </c>
      <c r="V114" t="s">
        <v>93</v>
      </c>
      <c r="W114" t="s">
        <v>93</v>
      </c>
      <c r="X114" t="s">
        <v>94</v>
      </c>
      <c r="Y114" t="s">
        <v>69</v>
      </c>
      <c r="Z114" s="4">
        <v>4</v>
      </c>
      <c r="AA114" t="s">
        <v>77</v>
      </c>
      <c r="AB114" s="4">
        <v>127</v>
      </c>
      <c r="AC114" s="4">
        <v>73</v>
      </c>
      <c r="AD114" s="4">
        <v>68</v>
      </c>
      <c r="AE114" s="4">
        <v>170</v>
      </c>
      <c r="AF114" s="4">
        <v>77</v>
      </c>
      <c r="AG114" s="4">
        <v>98</v>
      </c>
      <c r="AH114" s="4">
        <v>94</v>
      </c>
      <c r="AI114" s="4">
        <v>83</v>
      </c>
      <c r="AJ114" s="4">
        <v>43</v>
      </c>
      <c r="AK114" t="s">
        <v>78</v>
      </c>
      <c r="AL114" t="s">
        <v>95</v>
      </c>
      <c r="AM114" t="s">
        <v>80</v>
      </c>
      <c r="AN114" t="s">
        <v>96</v>
      </c>
      <c r="AO114" t="s">
        <v>97</v>
      </c>
      <c r="AP114" t="s">
        <v>83</v>
      </c>
      <c r="AQ114" t="s">
        <v>85</v>
      </c>
      <c r="AR114" t="s">
        <v>83</v>
      </c>
      <c r="AS114" t="s">
        <v>84</v>
      </c>
      <c r="AT114" t="s">
        <v>85</v>
      </c>
      <c r="AU114" t="s">
        <v>85</v>
      </c>
      <c r="AV114" t="s">
        <v>85</v>
      </c>
      <c r="AW114" s="4">
        <v>1</v>
      </c>
      <c r="AX114" s="4">
        <v>0</v>
      </c>
      <c r="AY114" s="4">
        <v>0</v>
      </c>
      <c r="AZ114" s="3">
        <v>1.7</v>
      </c>
      <c r="BA114" s="3">
        <v>2.8899999999999997</v>
      </c>
      <c r="BB114" s="3">
        <v>23.529411764705884</v>
      </c>
      <c r="BC114" t="s">
        <v>85</v>
      </c>
      <c r="BD114" t="s">
        <v>86</v>
      </c>
      <c r="BE114" s="4">
        <v>1</v>
      </c>
      <c r="BF114" t="s">
        <v>87</v>
      </c>
      <c r="BG114" s="1" t="e">
        <v>#NULL!</v>
      </c>
      <c r="BH114" s="4">
        <v>0</v>
      </c>
      <c r="BI114" t="s">
        <v>85</v>
      </c>
      <c r="BJ114" s="4">
        <v>1</v>
      </c>
      <c r="BK114" t="s">
        <v>88</v>
      </c>
    </row>
    <row r="115" spans="1:63" x14ac:dyDescent="0.35">
      <c r="A115" s="4">
        <v>334</v>
      </c>
      <c r="B115" s="4">
        <v>30</v>
      </c>
      <c r="C115" t="s">
        <v>114</v>
      </c>
      <c r="D115" t="s">
        <v>64</v>
      </c>
      <c r="E115" t="s">
        <v>104</v>
      </c>
      <c r="F115" t="s">
        <v>101</v>
      </c>
      <c r="G115" t="s">
        <v>67</v>
      </c>
      <c r="H115" s="2">
        <v>1400</v>
      </c>
      <c r="I115" t="s">
        <v>116</v>
      </c>
      <c r="J115" t="s">
        <v>69</v>
      </c>
      <c r="K115" t="s">
        <v>70</v>
      </c>
      <c r="L115" t="s">
        <v>69</v>
      </c>
      <c r="M115" s="4">
        <v>3</v>
      </c>
      <c r="N115" t="s">
        <v>91</v>
      </c>
      <c r="O115" s="4">
        <v>3</v>
      </c>
      <c r="P115" t="s">
        <v>91</v>
      </c>
      <c r="Q115" s="4">
        <v>0</v>
      </c>
      <c r="R115" t="s">
        <v>71</v>
      </c>
      <c r="S115" s="4">
        <v>0</v>
      </c>
      <c r="T115" t="s">
        <v>71</v>
      </c>
      <c r="U115" t="s">
        <v>103</v>
      </c>
      <c r="V115" t="s">
        <v>93</v>
      </c>
      <c r="W115" t="s">
        <v>74</v>
      </c>
      <c r="X115" t="s">
        <v>76</v>
      </c>
      <c r="Y115" t="s">
        <v>69</v>
      </c>
      <c r="Z115" s="4">
        <v>6</v>
      </c>
      <c r="AA115" t="s">
        <v>77</v>
      </c>
      <c r="AB115" s="4">
        <v>122</v>
      </c>
      <c r="AC115" s="4">
        <v>84</v>
      </c>
      <c r="AD115" s="4">
        <v>76</v>
      </c>
      <c r="AE115" s="4">
        <v>178</v>
      </c>
      <c r="AF115" s="4">
        <v>87</v>
      </c>
      <c r="AG115" s="4">
        <v>107</v>
      </c>
      <c r="AH115" s="4">
        <v>71</v>
      </c>
      <c r="AI115" s="4">
        <v>144</v>
      </c>
      <c r="AJ115" s="4">
        <v>51</v>
      </c>
      <c r="AK115" t="s">
        <v>78</v>
      </c>
      <c r="AL115" t="s">
        <v>95</v>
      </c>
      <c r="AM115" t="s">
        <v>80</v>
      </c>
      <c r="AN115" t="s">
        <v>96</v>
      </c>
      <c r="AO115" t="s">
        <v>97</v>
      </c>
      <c r="AP115" t="s">
        <v>85</v>
      </c>
      <c r="AQ115" t="s">
        <v>85</v>
      </c>
      <c r="AR115" t="s">
        <v>85</v>
      </c>
      <c r="AS115" t="s">
        <v>84</v>
      </c>
      <c r="AT115" t="s">
        <v>85</v>
      </c>
      <c r="AU115" t="s">
        <v>83</v>
      </c>
      <c r="AV115" t="s">
        <v>85</v>
      </c>
      <c r="AW115" s="4">
        <v>0</v>
      </c>
      <c r="AX115" s="4">
        <v>0</v>
      </c>
      <c r="AY115" s="4">
        <v>0</v>
      </c>
      <c r="AZ115" s="3">
        <v>1.78</v>
      </c>
      <c r="BA115" s="3">
        <v>3.1684000000000001</v>
      </c>
      <c r="BB115" s="3">
        <v>23.98687034465345</v>
      </c>
      <c r="BC115" t="s">
        <v>85</v>
      </c>
      <c r="BD115" t="s">
        <v>86</v>
      </c>
      <c r="BE115" s="4">
        <v>0</v>
      </c>
      <c r="BF115" t="s">
        <v>87</v>
      </c>
      <c r="BG115" s="4">
        <v>0</v>
      </c>
      <c r="BH115" s="1" t="e">
        <v>#NULL!</v>
      </c>
      <c r="BI115" t="s">
        <v>85</v>
      </c>
      <c r="BJ115" s="4">
        <v>0</v>
      </c>
      <c r="BK115" t="s">
        <v>88</v>
      </c>
    </row>
    <row r="116" spans="1:63" x14ac:dyDescent="0.35">
      <c r="A116" s="4">
        <v>342</v>
      </c>
      <c r="B116" s="4">
        <v>30</v>
      </c>
      <c r="C116" t="s">
        <v>114</v>
      </c>
      <c r="D116" t="s">
        <v>89</v>
      </c>
      <c r="E116" t="s">
        <v>104</v>
      </c>
      <c r="F116" t="s">
        <v>66</v>
      </c>
      <c r="G116" t="s">
        <v>67</v>
      </c>
      <c r="H116" s="2">
        <v>600</v>
      </c>
      <c r="I116" t="s">
        <v>105</v>
      </c>
      <c r="J116" t="s">
        <v>69</v>
      </c>
      <c r="K116" t="s">
        <v>69</v>
      </c>
      <c r="L116" t="s">
        <v>69</v>
      </c>
      <c r="M116" s="4">
        <v>3</v>
      </c>
      <c r="N116" t="s">
        <v>91</v>
      </c>
      <c r="O116" s="4">
        <v>2</v>
      </c>
      <c r="P116" t="s">
        <v>71</v>
      </c>
      <c r="Q116" s="4">
        <v>4</v>
      </c>
      <c r="R116" t="s">
        <v>91</v>
      </c>
      <c r="S116" s="4">
        <v>3</v>
      </c>
      <c r="T116" t="s">
        <v>91</v>
      </c>
      <c r="U116" t="s">
        <v>92</v>
      </c>
      <c r="V116" t="s">
        <v>93</v>
      </c>
      <c r="W116" t="s">
        <v>93</v>
      </c>
      <c r="X116" t="s">
        <v>94</v>
      </c>
      <c r="Y116" t="s">
        <v>69</v>
      </c>
      <c r="Z116" s="4">
        <v>4</v>
      </c>
      <c r="AA116" t="s">
        <v>77</v>
      </c>
      <c r="AB116" s="4">
        <v>130</v>
      </c>
      <c r="AC116" s="4">
        <v>83</v>
      </c>
      <c r="AD116" s="4">
        <v>94</v>
      </c>
      <c r="AE116" s="4">
        <v>175</v>
      </c>
      <c r="AF116" s="4">
        <v>100</v>
      </c>
      <c r="AG116" s="4">
        <v>119</v>
      </c>
      <c r="AH116" s="4">
        <v>116</v>
      </c>
      <c r="AI116" s="4">
        <v>78</v>
      </c>
      <c r="AJ116" s="4">
        <v>54</v>
      </c>
      <c r="AK116" t="s">
        <v>78</v>
      </c>
      <c r="AL116" t="s">
        <v>79</v>
      </c>
      <c r="AM116" t="s">
        <v>80</v>
      </c>
      <c r="AN116" t="s">
        <v>81</v>
      </c>
      <c r="AO116" t="s">
        <v>82</v>
      </c>
      <c r="AP116" t="s">
        <v>85</v>
      </c>
      <c r="AQ116" t="s">
        <v>85</v>
      </c>
      <c r="AR116" t="s">
        <v>85</v>
      </c>
      <c r="AS116" t="s">
        <v>102</v>
      </c>
      <c r="AT116" t="s">
        <v>83</v>
      </c>
      <c r="AU116" t="s">
        <v>83</v>
      </c>
      <c r="AV116" t="s">
        <v>83</v>
      </c>
      <c r="AW116" s="4">
        <v>2</v>
      </c>
      <c r="AX116" s="4">
        <v>1</v>
      </c>
      <c r="AY116" s="4">
        <v>2</v>
      </c>
      <c r="AZ116" s="3">
        <v>1.75</v>
      </c>
      <c r="BA116" s="3">
        <v>3.0625</v>
      </c>
      <c r="BB116" s="3">
        <v>30.693877551020407</v>
      </c>
      <c r="BC116" t="s">
        <v>110</v>
      </c>
      <c r="BD116" t="s">
        <v>99</v>
      </c>
      <c r="BE116" s="4">
        <v>3</v>
      </c>
      <c r="BF116" t="s">
        <v>111</v>
      </c>
      <c r="BG116" s="1" t="e">
        <v>#NULL!</v>
      </c>
      <c r="BH116" s="4">
        <v>1</v>
      </c>
      <c r="BI116" t="s">
        <v>83</v>
      </c>
      <c r="BJ116" s="4">
        <v>3</v>
      </c>
      <c r="BK116" t="s">
        <v>112</v>
      </c>
    </row>
    <row r="117" spans="1:63" x14ac:dyDescent="0.35">
      <c r="A117" s="4">
        <v>368</v>
      </c>
      <c r="B117" s="4">
        <v>30</v>
      </c>
      <c r="C117" t="s">
        <v>114</v>
      </c>
      <c r="D117" t="s">
        <v>64</v>
      </c>
      <c r="E117" t="s">
        <v>104</v>
      </c>
      <c r="F117" t="s">
        <v>101</v>
      </c>
      <c r="G117" t="s">
        <v>67</v>
      </c>
      <c r="H117" s="2">
        <v>150</v>
      </c>
      <c r="I117" t="s">
        <v>68</v>
      </c>
      <c r="J117" t="s">
        <v>69</v>
      </c>
      <c r="K117" t="s">
        <v>69</v>
      </c>
      <c r="L117" t="s">
        <v>69</v>
      </c>
      <c r="M117" s="4">
        <v>5</v>
      </c>
      <c r="N117" t="s">
        <v>72</v>
      </c>
      <c r="O117" s="4">
        <v>2</v>
      </c>
      <c r="P117" t="s">
        <v>71</v>
      </c>
      <c r="Q117" s="4">
        <v>3</v>
      </c>
      <c r="R117" t="s">
        <v>91</v>
      </c>
      <c r="S117" s="4">
        <v>1</v>
      </c>
      <c r="T117" t="s">
        <v>71</v>
      </c>
      <c r="U117" t="s">
        <v>92</v>
      </c>
      <c r="V117" t="s">
        <v>93</v>
      </c>
      <c r="W117" t="s">
        <v>74</v>
      </c>
      <c r="X117" t="s">
        <v>76</v>
      </c>
      <c r="Y117" t="s">
        <v>69</v>
      </c>
      <c r="Z117" s="4">
        <v>1</v>
      </c>
      <c r="AA117" t="s">
        <v>77</v>
      </c>
      <c r="AB117" s="4">
        <v>120</v>
      </c>
      <c r="AC117" s="4">
        <v>67</v>
      </c>
      <c r="AD117" s="4">
        <v>50</v>
      </c>
      <c r="AE117" s="4">
        <v>176</v>
      </c>
      <c r="AF117" s="4">
        <v>68</v>
      </c>
      <c r="AG117" s="4">
        <v>79</v>
      </c>
      <c r="AH117" s="4">
        <v>90</v>
      </c>
      <c r="AI117" s="4">
        <v>43</v>
      </c>
      <c r="AJ117" s="4">
        <v>44</v>
      </c>
      <c r="AK117" t="s">
        <v>78</v>
      </c>
      <c r="AL117" t="s">
        <v>95</v>
      </c>
      <c r="AM117" t="s">
        <v>80</v>
      </c>
      <c r="AN117" t="s">
        <v>96</v>
      </c>
      <c r="AO117" t="s">
        <v>97</v>
      </c>
      <c r="AP117" t="s">
        <v>83</v>
      </c>
      <c r="AQ117" t="s">
        <v>85</v>
      </c>
      <c r="AR117" t="s">
        <v>85</v>
      </c>
      <c r="AS117" t="s">
        <v>84</v>
      </c>
      <c r="AT117" t="s">
        <v>85</v>
      </c>
      <c r="AU117" t="s">
        <v>85</v>
      </c>
      <c r="AV117" t="s">
        <v>85</v>
      </c>
      <c r="AW117" s="4">
        <v>0</v>
      </c>
      <c r="AX117" s="4">
        <v>0</v>
      </c>
      <c r="AY117" s="4">
        <v>0</v>
      </c>
      <c r="AZ117" s="3">
        <v>1.76</v>
      </c>
      <c r="BA117" s="3">
        <v>3.0975999999999999</v>
      </c>
      <c r="BB117" s="3">
        <v>16.141528925619834</v>
      </c>
      <c r="BC117" t="s">
        <v>100</v>
      </c>
      <c r="BD117" t="s">
        <v>86</v>
      </c>
      <c r="BE117" s="4">
        <v>0</v>
      </c>
      <c r="BF117" t="s">
        <v>87</v>
      </c>
      <c r="BG117" s="4">
        <v>0</v>
      </c>
      <c r="BH117" s="1" t="e">
        <v>#NULL!</v>
      </c>
      <c r="BI117" t="s">
        <v>85</v>
      </c>
      <c r="BJ117" s="4">
        <v>0</v>
      </c>
      <c r="BK117" t="s">
        <v>88</v>
      </c>
    </row>
    <row r="118" spans="1:63" x14ac:dyDescent="0.35">
      <c r="A118" s="4">
        <v>441</v>
      </c>
      <c r="B118" s="4">
        <v>30</v>
      </c>
      <c r="C118" t="s">
        <v>114</v>
      </c>
      <c r="D118" t="s">
        <v>89</v>
      </c>
      <c r="E118" t="s">
        <v>65</v>
      </c>
      <c r="F118" t="s">
        <v>115</v>
      </c>
      <c r="G118" t="s">
        <v>67</v>
      </c>
      <c r="H118" s="2">
        <v>380</v>
      </c>
      <c r="I118" t="s">
        <v>68</v>
      </c>
      <c r="J118" t="s">
        <v>69</v>
      </c>
      <c r="K118" t="s">
        <v>69</v>
      </c>
      <c r="L118" t="s">
        <v>69</v>
      </c>
      <c r="M118" s="4">
        <v>5</v>
      </c>
      <c r="N118" t="s">
        <v>72</v>
      </c>
      <c r="O118" s="4">
        <v>5</v>
      </c>
      <c r="P118" t="s">
        <v>72</v>
      </c>
      <c r="Q118" s="4">
        <v>5</v>
      </c>
      <c r="R118" t="s">
        <v>72</v>
      </c>
      <c r="S118" s="4">
        <v>5</v>
      </c>
      <c r="T118" t="s">
        <v>72</v>
      </c>
      <c r="U118" t="s">
        <v>92</v>
      </c>
      <c r="V118" t="s">
        <v>93</v>
      </c>
      <c r="W118" t="s">
        <v>93</v>
      </c>
      <c r="X118" t="s">
        <v>94</v>
      </c>
      <c r="Y118" t="s">
        <v>69</v>
      </c>
      <c r="Z118" s="4">
        <v>2</v>
      </c>
      <c r="AA118" t="s">
        <v>77</v>
      </c>
      <c r="AB118" s="4">
        <v>146</v>
      </c>
      <c r="AC118" s="4">
        <v>81</v>
      </c>
      <c r="AD118" s="4">
        <v>78</v>
      </c>
      <c r="AE118" s="4">
        <v>165</v>
      </c>
      <c r="AF118" s="4">
        <v>103</v>
      </c>
      <c r="AG118" s="4">
        <v>115</v>
      </c>
      <c r="AH118" s="4">
        <v>111</v>
      </c>
      <c r="AI118" s="4">
        <v>73</v>
      </c>
      <c r="AJ118" s="4">
        <v>70</v>
      </c>
      <c r="AK118" t="s">
        <v>78</v>
      </c>
      <c r="AL118" t="s">
        <v>79</v>
      </c>
      <c r="AM118" t="s">
        <v>80</v>
      </c>
      <c r="AN118" t="s">
        <v>81</v>
      </c>
      <c r="AO118" t="s">
        <v>82</v>
      </c>
      <c r="AP118" t="s">
        <v>85</v>
      </c>
      <c r="AQ118" t="s">
        <v>85</v>
      </c>
      <c r="AR118" t="s">
        <v>85</v>
      </c>
      <c r="AS118" t="s">
        <v>102</v>
      </c>
      <c r="AT118" t="s">
        <v>83</v>
      </c>
      <c r="AU118" t="s">
        <v>83</v>
      </c>
      <c r="AV118" t="s">
        <v>83</v>
      </c>
      <c r="AW118" s="4">
        <v>2</v>
      </c>
      <c r="AX118" s="4">
        <v>1</v>
      </c>
      <c r="AY118" s="4">
        <v>2</v>
      </c>
      <c r="AZ118" s="3">
        <v>1.65</v>
      </c>
      <c r="BA118" s="3">
        <v>2.7224999999999997</v>
      </c>
      <c r="BB118" s="3">
        <v>28.650137741046834</v>
      </c>
      <c r="BC118" t="s">
        <v>98</v>
      </c>
      <c r="BD118" t="s">
        <v>99</v>
      </c>
      <c r="BE118" s="4">
        <v>3</v>
      </c>
      <c r="BF118" t="s">
        <v>111</v>
      </c>
      <c r="BG118" s="1" t="e">
        <v>#NULL!</v>
      </c>
      <c r="BH118" s="4">
        <v>1</v>
      </c>
      <c r="BI118" t="s">
        <v>83</v>
      </c>
      <c r="BJ118" s="4">
        <v>3</v>
      </c>
      <c r="BK118" t="s">
        <v>112</v>
      </c>
    </row>
    <row r="119" spans="1:63" x14ac:dyDescent="0.35">
      <c r="A119" s="4">
        <v>170</v>
      </c>
      <c r="B119" s="4">
        <v>30</v>
      </c>
      <c r="C119" t="s">
        <v>114</v>
      </c>
      <c r="D119" t="s">
        <v>89</v>
      </c>
      <c r="E119" t="s">
        <v>113</v>
      </c>
      <c r="F119" t="s">
        <v>101</v>
      </c>
      <c r="G119" t="s">
        <v>67</v>
      </c>
      <c r="H119" s="2">
        <v>400</v>
      </c>
      <c r="I119" t="s">
        <v>68</v>
      </c>
      <c r="J119" t="s">
        <v>69</v>
      </c>
      <c r="K119" t="s">
        <v>69</v>
      </c>
      <c r="L119" t="s">
        <v>69</v>
      </c>
      <c r="M119" s="4">
        <v>5</v>
      </c>
      <c r="N119" t="s">
        <v>72</v>
      </c>
      <c r="O119" s="4">
        <v>3</v>
      </c>
      <c r="P119" t="s">
        <v>91</v>
      </c>
      <c r="Q119" s="4">
        <v>3</v>
      </c>
      <c r="R119" t="s">
        <v>91</v>
      </c>
      <c r="S119" s="4">
        <v>1</v>
      </c>
      <c r="T119" t="s">
        <v>71</v>
      </c>
      <c r="U119" t="s">
        <v>92</v>
      </c>
      <c r="V119" t="s">
        <v>93</v>
      </c>
      <c r="W119" t="s">
        <v>93</v>
      </c>
      <c r="X119" t="s">
        <v>94</v>
      </c>
      <c r="Y119" t="s">
        <v>69</v>
      </c>
      <c r="Z119" s="4">
        <v>8</v>
      </c>
      <c r="AA119" t="s">
        <v>117</v>
      </c>
      <c r="AB119" s="4">
        <v>120</v>
      </c>
      <c r="AC119" s="4">
        <v>70</v>
      </c>
      <c r="AD119" s="4">
        <v>68</v>
      </c>
      <c r="AE119" s="4">
        <v>170</v>
      </c>
      <c r="AF119" s="4">
        <v>79</v>
      </c>
      <c r="AG119" s="4">
        <v>110</v>
      </c>
      <c r="AH119" s="4">
        <v>83</v>
      </c>
      <c r="AI119" s="4">
        <v>61</v>
      </c>
      <c r="AJ119" s="4">
        <v>70</v>
      </c>
      <c r="AK119" t="s">
        <v>78</v>
      </c>
      <c r="AL119" t="s">
        <v>95</v>
      </c>
      <c r="AM119" t="s">
        <v>80</v>
      </c>
      <c r="AN119" t="s">
        <v>96</v>
      </c>
      <c r="AO119" t="s">
        <v>97</v>
      </c>
      <c r="AP119" t="s">
        <v>85</v>
      </c>
      <c r="AQ119" t="s">
        <v>85</v>
      </c>
      <c r="AR119" t="s">
        <v>85</v>
      </c>
      <c r="AS119" t="s">
        <v>84</v>
      </c>
      <c r="AT119" t="s">
        <v>85</v>
      </c>
      <c r="AU119" t="s">
        <v>85</v>
      </c>
      <c r="AV119" t="s">
        <v>85</v>
      </c>
      <c r="AW119" s="4">
        <v>0</v>
      </c>
      <c r="AX119" s="4">
        <v>0</v>
      </c>
      <c r="AY119" s="4">
        <v>0</v>
      </c>
      <c r="AZ119" s="3">
        <v>1.7</v>
      </c>
      <c r="BA119" s="3">
        <v>2.8899999999999997</v>
      </c>
      <c r="BB119" s="3">
        <v>23.529411764705884</v>
      </c>
      <c r="BC119" t="s">
        <v>85</v>
      </c>
      <c r="BD119" t="s">
        <v>86</v>
      </c>
      <c r="BE119" s="4">
        <v>0</v>
      </c>
      <c r="BF119" t="s">
        <v>87</v>
      </c>
      <c r="BG119" s="1" t="e">
        <v>#NULL!</v>
      </c>
      <c r="BH119" s="4">
        <v>0</v>
      </c>
      <c r="BI119" t="s">
        <v>85</v>
      </c>
      <c r="BJ119" s="4">
        <v>0</v>
      </c>
      <c r="BK119" t="s">
        <v>88</v>
      </c>
    </row>
    <row r="120" spans="1:63" x14ac:dyDescent="0.35">
      <c r="A120" s="4">
        <v>359</v>
      </c>
      <c r="B120" s="4">
        <v>31</v>
      </c>
      <c r="C120" t="s">
        <v>114</v>
      </c>
      <c r="D120" t="s">
        <v>64</v>
      </c>
      <c r="E120" t="s">
        <v>65</v>
      </c>
      <c r="F120" t="s">
        <v>101</v>
      </c>
      <c r="G120" t="s">
        <v>67</v>
      </c>
      <c r="H120" s="2">
        <v>350</v>
      </c>
      <c r="I120" t="s">
        <v>68</v>
      </c>
      <c r="J120" t="s">
        <v>70</v>
      </c>
      <c r="K120" t="s">
        <v>69</v>
      </c>
      <c r="L120" t="s">
        <v>69</v>
      </c>
      <c r="M120" s="4">
        <v>2</v>
      </c>
      <c r="N120" t="s">
        <v>71</v>
      </c>
      <c r="O120" s="4">
        <v>4</v>
      </c>
      <c r="P120" t="s">
        <v>91</v>
      </c>
      <c r="Q120" s="4">
        <v>1</v>
      </c>
      <c r="R120" t="s">
        <v>71</v>
      </c>
      <c r="S120" s="4">
        <v>1</v>
      </c>
      <c r="T120" t="s">
        <v>71</v>
      </c>
      <c r="U120" t="s">
        <v>92</v>
      </c>
      <c r="V120" t="s">
        <v>93</v>
      </c>
      <c r="W120" t="s">
        <v>93</v>
      </c>
      <c r="X120" t="s">
        <v>94</v>
      </c>
      <c r="Y120" t="s">
        <v>69</v>
      </c>
      <c r="Z120" s="4">
        <v>7</v>
      </c>
      <c r="AA120" t="s">
        <v>77</v>
      </c>
      <c r="AB120" s="4">
        <v>140</v>
      </c>
      <c r="AC120" s="4">
        <v>94</v>
      </c>
      <c r="AD120" s="4">
        <v>87</v>
      </c>
      <c r="AE120" s="4">
        <v>183</v>
      </c>
      <c r="AF120" s="4">
        <v>92</v>
      </c>
      <c r="AG120" s="4">
        <v>113</v>
      </c>
      <c r="AH120" s="4">
        <v>66</v>
      </c>
      <c r="AI120" s="4">
        <v>210</v>
      </c>
      <c r="AJ120" s="4">
        <v>41</v>
      </c>
      <c r="AK120" t="s">
        <v>107</v>
      </c>
      <c r="AL120" t="s">
        <v>79</v>
      </c>
      <c r="AM120" t="s">
        <v>108</v>
      </c>
      <c r="AN120" t="s">
        <v>109</v>
      </c>
      <c r="AO120" t="s">
        <v>82</v>
      </c>
      <c r="AP120" t="s">
        <v>83</v>
      </c>
      <c r="AQ120" t="s">
        <v>85</v>
      </c>
      <c r="AR120" t="s">
        <v>85</v>
      </c>
      <c r="AS120" t="s">
        <v>84</v>
      </c>
      <c r="AT120" t="s">
        <v>85</v>
      </c>
      <c r="AU120" t="s">
        <v>83</v>
      </c>
      <c r="AV120" t="s">
        <v>85</v>
      </c>
      <c r="AW120" s="4">
        <v>2</v>
      </c>
      <c r="AX120" s="4">
        <v>1</v>
      </c>
      <c r="AY120" s="4">
        <v>1</v>
      </c>
      <c r="AZ120" s="3">
        <v>1.83</v>
      </c>
      <c r="BA120" s="3">
        <v>3.3489000000000004</v>
      </c>
      <c r="BB120" s="3">
        <v>25.978679566424791</v>
      </c>
      <c r="BC120" t="s">
        <v>98</v>
      </c>
      <c r="BD120" t="s">
        <v>99</v>
      </c>
      <c r="BE120" s="4">
        <v>2</v>
      </c>
      <c r="BF120" t="s">
        <v>87</v>
      </c>
      <c r="BG120" s="4">
        <v>0</v>
      </c>
      <c r="BH120" s="1" t="e">
        <v>#NULL!</v>
      </c>
      <c r="BI120" t="s">
        <v>85</v>
      </c>
      <c r="BJ120" s="4">
        <v>2</v>
      </c>
      <c r="BK120" t="s">
        <v>88</v>
      </c>
    </row>
    <row r="121" spans="1:63" x14ac:dyDescent="0.35">
      <c r="A121" s="4">
        <v>20</v>
      </c>
      <c r="B121" s="4">
        <v>31</v>
      </c>
      <c r="C121" t="s">
        <v>114</v>
      </c>
      <c r="D121" t="s">
        <v>89</v>
      </c>
      <c r="E121" t="s">
        <v>104</v>
      </c>
      <c r="F121" t="s">
        <v>101</v>
      </c>
      <c r="G121" t="s">
        <v>67</v>
      </c>
      <c r="H121" s="2">
        <v>400</v>
      </c>
      <c r="I121" t="s">
        <v>68</v>
      </c>
      <c r="J121" t="s">
        <v>69</v>
      </c>
      <c r="K121" t="s">
        <v>69</v>
      </c>
      <c r="L121" t="s">
        <v>69</v>
      </c>
      <c r="M121" s="4">
        <v>2</v>
      </c>
      <c r="N121" t="s">
        <v>71</v>
      </c>
      <c r="O121" s="4">
        <v>2</v>
      </c>
      <c r="P121" t="s">
        <v>71</v>
      </c>
      <c r="Q121" s="4">
        <v>4</v>
      </c>
      <c r="R121" t="s">
        <v>91</v>
      </c>
      <c r="S121" s="4">
        <v>4</v>
      </c>
      <c r="T121" t="s">
        <v>91</v>
      </c>
      <c r="U121" t="s">
        <v>103</v>
      </c>
      <c r="V121" t="s">
        <v>93</v>
      </c>
      <c r="W121" t="s">
        <v>93</v>
      </c>
      <c r="X121" t="s">
        <v>94</v>
      </c>
      <c r="Y121" t="s">
        <v>69</v>
      </c>
      <c r="Z121" s="4">
        <v>3</v>
      </c>
      <c r="AA121" t="s">
        <v>77</v>
      </c>
      <c r="AB121" s="4">
        <v>143</v>
      </c>
      <c r="AC121" s="4">
        <v>89</v>
      </c>
      <c r="AD121" s="4">
        <v>102</v>
      </c>
      <c r="AE121" s="4">
        <v>172</v>
      </c>
      <c r="AF121" s="4">
        <v>100</v>
      </c>
      <c r="AG121" s="4">
        <v>125</v>
      </c>
      <c r="AH121" s="4">
        <v>178</v>
      </c>
      <c r="AI121" s="4">
        <v>124</v>
      </c>
      <c r="AJ121" s="4">
        <v>51</v>
      </c>
      <c r="AK121" t="s">
        <v>78</v>
      </c>
      <c r="AL121" t="s">
        <v>79</v>
      </c>
      <c r="AM121" t="s">
        <v>108</v>
      </c>
      <c r="AN121" t="s">
        <v>109</v>
      </c>
      <c r="AO121" t="s">
        <v>82</v>
      </c>
      <c r="AP121" t="s">
        <v>85</v>
      </c>
      <c r="AQ121" t="s">
        <v>85</v>
      </c>
      <c r="AR121" t="s">
        <v>85</v>
      </c>
      <c r="AS121" t="s">
        <v>102</v>
      </c>
      <c r="AT121" t="s">
        <v>83</v>
      </c>
      <c r="AU121" t="s">
        <v>83</v>
      </c>
      <c r="AV121" t="s">
        <v>83</v>
      </c>
      <c r="AW121" s="4">
        <v>2</v>
      </c>
      <c r="AX121" s="4">
        <v>1</v>
      </c>
      <c r="AY121" s="4">
        <v>2</v>
      </c>
      <c r="AZ121" s="3">
        <v>1.72</v>
      </c>
      <c r="BA121" s="3">
        <v>2.9583999999999997</v>
      </c>
      <c r="BB121" s="3">
        <v>34.478096268253111</v>
      </c>
      <c r="BC121" t="s">
        <v>110</v>
      </c>
      <c r="BD121" t="s">
        <v>99</v>
      </c>
      <c r="BE121" s="4">
        <v>3</v>
      </c>
      <c r="BF121" t="s">
        <v>111</v>
      </c>
      <c r="BG121" s="1" t="e">
        <v>#NULL!</v>
      </c>
      <c r="BH121" s="4">
        <v>1</v>
      </c>
      <c r="BI121" t="s">
        <v>83</v>
      </c>
      <c r="BJ121" s="4">
        <v>3</v>
      </c>
      <c r="BK121" t="s">
        <v>112</v>
      </c>
    </row>
    <row r="122" spans="1:63" x14ac:dyDescent="0.35">
      <c r="A122" s="4">
        <v>171</v>
      </c>
      <c r="B122" s="4">
        <v>31</v>
      </c>
      <c r="C122" t="s">
        <v>114</v>
      </c>
      <c r="D122" t="s">
        <v>89</v>
      </c>
      <c r="E122" t="s">
        <v>113</v>
      </c>
      <c r="F122" t="s">
        <v>101</v>
      </c>
      <c r="G122" t="s">
        <v>67</v>
      </c>
      <c r="H122" s="2">
        <v>900</v>
      </c>
      <c r="I122" t="s">
        <v>105</v>
      </c>
      <c r="J122" t="s">
        <v>69</v>
      </c>
      <c r="K122" t="s">
        <v>69</v>
      </c>
      <c r="L122" t="s">
        <v>69</v>
      </c>
      <c r="M122" s="4">
        <v>7</v>
      </c>
      <c r="N122" t="s">
        <v>72</v>
      </c>
      <c r="O122" s="4">
        <v>7</v>
      </c>
      <c r="P122" t="s">
        <v>72</v>
      </c>
      <c r="Q122" s="4">
        <v>7</v>
      </c>
      <c r="R122" t="s">
        <v>72</v>
      </c>
      <c r="S122" s="4">
        <v>7</v>
      </c>
      <c r="T122" t="s">
        <v>72</v>
      </c>
      <c r="U122" t="s">
        <v>73</v>
      </c>
      <c r="V122" t="s">
        <v>93</v>
      </c>
      <c r="W122" t="s">
        <v>93</v>
      </c>
      <c r="X122" t="s">
        <v>94</v>
      </c>
      <c r="Y122" t="s">
        <v>69</v>
      </c>
      <c r="Z122" s="4">
        <v>2</v>
      </c>
      <c r="AA122" t="s">
        <v>77</v>
      </c>
      <c r="AB122" s="4">
        <v>127</v>
      </c>
      <c r="AC122" s="4">
        <v>84</v>
      </c>
      <c r="AD122" s="4">
        <v>83</v>
      </c>
      <c r="AE122" s="4">
        <v>175</v>
      </c>
      <c r="AF122" s="4">
        <v>76</v>
      </c>
      <c r="AG122" s="4">
        <v>117</v>
      </c>
      <c r="AH122" s="4">
        <v>108</v>
      </c>
      <c r="AI122" s="4">
        <v>56</v>
      </c>
      <c r="AJ122" s="4">
        <v>43</v>
      </c>
      <c r="AK122" t="s">
        <v>78</v>
      </c>
      <c r="AL122" t="s">
        <v>95</v>
      </c>
      <c r="AM122" t="s">
        <v>80</v>
      </c>
      <c r="AN122" t="s">
        <v>96</v>
      </c>
      <c r="AO122" t="s">
        <v>97</v>
      </c>
      <c r="AP122" t="s">
        <v>83</v>
      </c>
      <c r="AQ122" t="s">
        <v>85</v>
      </c>
      <c r="AR122" t="s">
        <v>83</v>
      </c>
      <c r="AS122" t="s">
        <v>102</v>
      </c>
      <c r="AT122" t="s">
        <v>85</v>
      </c>
      <c r="AU122" t="s">
        <v>85</v>
      </c>
      <c r="AV122" t="s">
        <v>85</v>
      </c>
      <c r="AW122" s="4">
        <v>2</v>
      </c>
      <c r="AX122" s="4">
        <v>1</v>
      </c>
      <c r="AY122" s="4">
        <v>1</v>
      </c>
      <c r="AZ122" s="3">
        <v>1.75</v>
      </c>
      <c r="BA122" s="3">
        <v>3.0625</v>
      </c>
      <c r="BB122" s="3">
        <v>27.102040816326532</v>
      </c>
      <c r="BC122" t="s">
        <v>98</v>
      </c>
      <c r="BD122" t="s">
        <v>99</v>
      </c>
      <c r="BE122" s="4">
        <v>2</v>
      </c>
      <c r="BF122" t="s">
        <v>87</v>
      </c>
      <c r="BG122" s="1" t="e">
        <v>#NULL!</v>
      </c>
      <c r="BH122" s="4">
        <v>0</v>
      </c>
      <c r="BI122" t="s">
        <v>85</v>
      </c>
      <c r="BJ122" s="4">
        <v>2</v>
      </c>
      <c r="BK122" t="s">
        <v>88</v>
      </c>
    </row>
    <row r="123" spans="1:63" x14ac:dyDescent="0.35">
      <c r="A123" s="4">
        <v>177</v>
      </c>
      <c r="B123" s="4">
        <v>31</v>
      </c>
      <c r="C123" t="s">
        <v>114</v>
      </c>
      <c r="D123" t="s">
        <v>89</v>
      </c>
      <c r="E123" t="s">
        <v>104</v>
      </c>
      <c r="F123" t="s">
        <v>115</v>
      </c>
      <c r="G123" t="s">
        <v>67</v>
      </c>
      <c r="H123" s="2">
        <v>380</v>
      </c>
      <c r="I123" t="s">
        <v>68</v>
      </c>
      <c r="J123" t="s">
        <v>69</v>
      </c>
      <c r="K123" t="s">
        <v>69</v>
      </c>
      <c r="L123" t="s">
        <v>69</v>
      </c>
      <c r="M123" s="4">
        <v>5</v>
      </c>
      <c r="N123" t="s">
        <v>72</v>
      </c>
      <c r="O123" s="4">
        <v>5</v>
      </c>
      <c r="P123" t="s">
        <v>72</v>
      </c>
      <c r="Q123" s="4">
        <v>5</v>
      </c>
      <c r="R123" t="s">
        <v>72</v>
      </c>
      <c r="S123" s="4">
        <v>4</v>
      </c>
      <c r="T123" t="s">
        <v>91</v>
      </c>
      <c r="U123" t="s">
        <v>92</v>
      </c>
      <c r="V123" t="s">
        <v>93</v>
      </c>
      <c r="W123" t="s">
        <v>93</v>
      </c>
      <c r="X123" t="s">
        <v>94</v>
      </c>
      <c r="Y123" t="s">
        <v>70</v>
      </c>
      <c r="Z123" s="4">
        <v>2</v>
      </c>
      <c r="AA123" t="s">
        <v>77</v>
      </c>
      <c r="AB123" s="4">
        <v>146</v>
      </c>
      <c r="AC123" s="4">
        <v>81</v>
      </c>
      <c r="AD123" s="4">
        <v>78</v>
      </c>
      <c r="AE123" s="4">
        <v>165</v>
      </c>
      <c r="AF123" s="4">
        <v>103</v>
      </c>
      <c r="AG123" s="4">
        <v>115</v>
      </c>
      <c r="AH123" s="4">
        <v>111</v>
      </c>
      <c r="AI123" s="4">
        <v>73</v>
      </c>
      <c r="AJ123" s="4">
        <v>70</v>
      </c>
      <c r="AK123" t="s">
        <v>78</v>
      </c>
      <c r="AL123" t="s">
        <v>79</v>
      </c>
      <c r="AM123" t="s">
        <v>80</v>
      </c>
      <c r="AN123" t="s">
        <v>81</v>
      </c>
      <c r="AO123" t="s">
        <v>82</v>
      </c>
      <c r="AP123" t="s">
        <v>85</v>
      </c>
      <c r="AQ123" t="s">
        <v>85</v>
      </c>
      <c r="AR123" t="s">
        <v>85</v>
      </c>
      <c r="AS123" t="s">
        <v>102</v>
      </c>
      <c r="AT123" t="s">
        <v>83</v>
      </c>
      <c r="AU123" t="s">
        <v>83</v>
      </c>
      <c r="AV123" t="s">
        <v>83</v>
      </c>
      <c r="AW123" s="4">
        <v>2</v>
      </c>
      <c r="AX123" s="4">
        <v>1</v>
      </c>
      <c r="AY123" s="4">
        <v>2</v>
      </c>
      <c r="AZ123" s="3">
        <v>1.65</v>
      </c>
      <c r="BA123" s="3">
        <v>2.7224999999999997</v>
      </c>
      <c r="BB123" s="3">
        <v>28.650137741046834</v>
      </c>
      <c r="BC123" t="s">
        <v>98</v>
      </c>
      <c r="BD123" t="s">
        <v>99</v>
      </c>
      <c r="BE123" s="4">
        <v>3</v>
      </c>
      <c r="BF123" t="s">
        <v>111</v>
      </c>
      <c r="BG123" s="1" t="e">
        <v>#NULL!</v>
      </c>
      <c r="BH123" s="4">
        <v>1</v>
      </c>
      <c r="BI123" t="s">
        <v>83</v>
      </c>
      <c r="BJ123" s="4">
        <v>3</v>
      </c>
      <c r="BK123" t="s">
        <v>112</v>
      </c>
    </row>
    <row r="124" spans="1:63" x14ac:dyDescent="0.35">
      <c r="A124" s="4">
        <v>255</v>
      </c>
      <c r="B124" s="4">
        <v>31</v>
      </c>
      <c r="C124" t="s">
        <v>114</v>
      </c>
      <c r="D124" t="s">
        <v>89</v>
      </c>
      <c r="E124" t="s">
        <v>104</v>
      </c>
      <c r="F124" t="s">
        <v>101</v>
      </c>
      <c r="G124" t="s">
        <v>67</v>
      </c>
      <c r="H124" s="2">
        <v>700</v>
      </c>
      <c r="I124" t="s">
        <v>105</v>
      </c>
      <c r="J124" t="s">
        <v>69</v>
      </c>
      <c r="K124" t="s">
        <v>69</v>
      </c>
      <c r="L124" t="s">
        <v>69</v>
      </c>
      <c r="M124" s="4">
        <v>3</v>
      </c>
      <c r="N124" t="s">
        <v>91</v>
      </c>
      <c r="O124" s="4">
        <v>2</v>
      </c>
      <c r="P124" t="s">
        <v>71</v>
      </c>
      <c r="Q124" s="4">
        <v>5</v>
      </c>
      <c r="R124" t="s">
        <v>72</v>
      </c>
      <c r="S124" s="4">
        <v>5</v>
      </c>
      <c r="T124" t="s">
        <v>72</v>
      </c>
      <c r="U124" t="s">
        <v>73</v>
      </c>
      <c r="V124" t="s">
        <v>93</v>
      </c>
      <c r="W124" t="s">
        <v>93</v>
      </c>
      <c r="X124" t="s">
        <v>94</v>
      </c>
      <c r="Y124" t="s">
        <v>69</v>
      </c>
      <c r="Z124" s="4">
        <v>5</v>
      </c>
      <c r="AA124" t="s">
        <v>77</v>
      </c>
      <c r="AB124" s="4">
        <v>109</v>
      </c>
      <c r="AC124" s="4">
        <v>76</v>
      </c>
      <c r="AD124" s="4">
        <v>69</v>
      </c>
      <c r="AE124" s="4">
        <v>165</v>
      </c>
      <c r="AF124" s="4">
        <v>78</v>
      </c>
      <c r="AG124" s="4">
        <v>104</v>
      </c>
      <c r="AH124" s="4">
        <v>96</v>
      </c>
      <c r="AI124" s="4">
        <v>143</v>
      </c>
      <c r="AJ124" s="4">
        <v>40</v>
      </c>
      <c r="AK124" t="s">
        <v>78</v>
      </c>
      <c r="AL124" t="s">
        <v>95</v>
      </c>
      <c r="AM124" t="s">
        <v>80</v>
      </c>
      <c r="AN124" t="s">
        <v>96</v>
      </c>
      <c r="AO124" t="s">
        <v>97</v>
      </c>
      <c r="AP124" t="s">
        <v>83</v>
      </c>
      <c r="AQ124" t="s">
        <v>85</v>
      </c>
      <c r="AR124" t="s">
        <v>83</v>
      </c>
      <c r="AS124" t="s">
        <v>84</v>
      </c>
      <c r="AT124" t="s">
        <v>85</v>
      </c>
      <c r="AU124" t="s">
        <v>85</v>
      </c>
      <c r="AV124" t="s">
        <v>85</v>
      </c>
      <c r="AW124" s="4">
        <v>1</v>
      </c>
      <c r="AX124" s="4">
        <v>0</v>
      </c>
      <c r="AY124" s="4">
        <v>0</v>
      </c>
      <c r="AZ124" s="3">
        <v>1.65</v>
      </c>
      <c r="BA124" s="3">
        <v>2.7224999999999997</v>
      </c>
      <c r="BB124" s="3">
        <v>25.344352617079892</v>
      </c>
      <c r="BC124" t="s">
        <v>98</v>
      </c>
      <c r="BD124" t="s">
        <v>99</v>
      </c>
      <c r="BE124" s="4">
        <v>1</v>
      </c>
      <c r="BF124" t="s">
        <v>87</v>
      </c>
      <c r="BG124" s="1" t="e">
        <v>#NULL!</v>
      </c>
      <c r="BH124" s="4">
        <v>0</v>
      </c>
      <c r="BI124" t="s">
        <v>85</v>
      </c>
      <c r="BJ124" s="4">
        <v>1</v>
      </c>
      <c r="BK124" t="s">
        <v>88</v>
      </c>
    </row>
    <row r="125" spans="1:63" x14ac:dyDescent="0.35">
      <c r="A125" s="4">
        <v>260</v>
      </c>
      <c r="B125" s="4">
        <v>31</v>
      </c>
      <c r="C125" t="s">
        <v>114</v>
      </c>
      <c r="D125" t="s">
        <v>64</v>
      </c>
      <c r="E125" t="s">
        <v>104</v>
      </c>
      <c r="F125" t="s">
        <v>101</v>
      </c>
      <c r="G125" t="s">
        <v>67</v>
      </c>
      <c r="H125" s="2">
        <v>500</v>
      </c>
      <c r="I125" t="s">
        <v>68</v>
      </c>
      <c r="J125" t="s">
        <v>70</v>
      </c>
      <c r="K125" t="s">
        <v>69</v>
      </c>
      <c r="L125" t="s">
        <v>69</v>
      </c>
      <c r="M125" s="4">
        <v>3</v>
      </c>
      <c r="N125" t="s">
        <v>91</v>
      </c>
      <c r="O125" s="4">
        <v>3</v>
      </c>
      <c r="P125" t="s">
        <v>91</v>
      </c>
      <c r="Q125" s="4">
        <v>2</v>
      </c>
      <c r="R125" t="s">
        <v>71</v>
      </c>
      <c r="S125" s="4">
        <v>1</v>
      </c>
      <c r="T125" t="s">
        <v>71</v>
      </c>
      <c r="U125" t="s">
        <v>103</v>
      </c>
      <c r="V125" t="s">
        <v>93</v>
      </c>
      <c r="W125" t="s">
        <v>74</v>
      </c>
      <c r="X125" t="s">
        <v>76</v>
      </c>
      <c r="Y125" t="s">
        <v>69</v>
      </c>
      <c r="Z125" s="4">
        <v>4</v>
      </c>
      <c r="AA125" t="s">
        <v>77</v>
      </c>
      <c r="AB125" s="4">
        <v>144</v>
      </c>
      <c r="AC125" s="4">
        <v>75</v>
      </c>
      <c r="AD125" s="4">
        <v>74</v>
      </c>
      <c r="AE125" s="4">
        <v>174</v>
      </c>
      <c r="AF125" s="4">
        <v>90</v>
      </c>
      <c r="AG125" s="4">
        <v>109</v>
      </c>
      <c r="AH125" s="4">
        <v>98</v>
      </c>
      <c r="AI125" s="4">
        <v>91</v>
      </c>
      <c r="AJ125" s="4">
        <v>51</v>
      </c>
      <c r="AK125" t="s">
        <v>78</v>
      </c>
      <c r="AL125" t="s">
        <v>79</v>
      </c>
      <c r="AM125" t="s">
        <v>80</v>
      </c>
      <c r="AN125" t="s">
        <v>81</v>
      </c>
      <c r="AO125" t="s">
        <v>82</v>
      </c>
      <c r="AP125" t="s">
        <v>85</v>
      </c>
      <c r="AQ125" t="s">
        <v>85</v>
      </c>
      <c r="AR125" t="s">
        <v>85</v>
      </c>
      <c r="AS125" t="s">
        <v>84</v>
      </c>
      <c r="AT125" t="s">
        <v>85</v>
      </c>
      <c r="AU125" t="s">
        <v>83</v>
      </c>
      <c r="AV125" t="s">
        <v>85</v>
      </c>
      <c r="AW125" s="4">
        <v>1</v>
      </c>
      <c r="AX125" s="4">
        <v>0</v>
      </c>
      <c r="AY125" s="4">
        <v>0</v>
      </c>
      <c r="AZ125" s="3">
        <v>1.74</v>
      </c>
      <c r="BA125" s="3">
        <v>3.0276000000000001</v>
      </c>
      <c r="BB125" s="3">
        <v>24.441802087462015</v>
      </c>
      <c r="BC125" t="s">
        <v>85</v>
      </c>
      <c r="BD125" t="s">
        <v>86</v>
      </c>
      <c r="BE125" s="4">
        <v>1</v>
      </c>
      <c r="BF125" t="s">
        <v>87</v>
      </c>
      <c r="BG125" s="4">
        <v>0</v>
      </c>
      <c r="BH125" s="1" t="e">
        <v>#NULL!</v>
      </c>
      <c r="BI125" t="s">
        <v>85</v>
      </c>
      <c r="BJ125" s="4">
        <v>1</v>
      </c>
      <c r="BK125" t="s">
        <v>88</v>
      </c>
    </row>
    <row r="126" spans="1:63" x14ac:dyDescent="0.35">
      <c r="A126" s="4">
        <v>266</v>
      </c>
      <c r="B126" s="4">
        <v>31</v>
      </c>
      <c r="C126" t="s">
        <v>114</v>
      </c>
      <c r="D126" t="s">
        <v>89</v>
      </c>
      <c r="E126" t="s">
        <v>104</v>
      </c>
      <c r="F126" t="s">
        <v>101</v>
      </c>
      <c r="G126" t="s">
        <v>67</v>
      </c>
      <c r="H126" s="2">
        <v>400</v>
      </c>
      <c r="I126" t="s">
        <v>68</v>
      </c>
      <c r="J126" t="s">
        <v>69</v>
      </c>
      <c r="K126" t="s">
        <v>69</v>
      </c>
      <c r="L126" t="s">
        <v>69</v>
      </c>
      <c r="M126" s="4">
        <v>5</v>
      </c>
      <c r="N126" t="s">
        <v>72</v>
      </c>
      <c r="O126" s="4">
        <v>3</v>
      </c>
      <c r="P126" t="s">
        <v>91</v>
      </c>
      <c r="Q126" s="4">
        <v>3</v>
      </c>
      <c r="R126" t="s">
        <v>91</v>
      </c>
      <c r="S126" s="4">
        <v>1</v>
      </c>
      <c r="T126" t="s">
        <v>71</v>
      </c>
      <c r="U126" t="s">
        <v>92</v>
      </c>
      <c r="V126" t="s">
        <v>93</v>
      </c>
      <c r="W126" t="s">
        <v>93</v>
      </c>
      <c r="X126" t="s">
        <v>94</v>
      </c>
      <c r="Y126" t="s">
        <v>69</v>
      </c>
      <c r="Z126" s="4">
        <v>8</v>
      </c>
      <c r="AA126" t="s">
        <v>117</v>
      </c>
      <c r="AB126" s="4">
        <v>120</v>
      </c>
      <c r="AC126" s="4">
        <v>70</v>
      </c>
      <c r="AD126" s="4">
        <v>68</v>
      </c>
      <c r="AE126" s="4">
        <v>170</v>
      </c>
      <c r="AF126" s="4">
        <v>79</v>
      </c>
      <c r="AG126" s="4">
        <v>110</v>
      </c>
      <c r="AH126" s="4">
        <v>83</v>
      </c>
      <c r="AI126" s="4">
        <v>61</v>
      </c>
      <c r="AJ126" s="4">
        <v>92</v>
      </c>
      <c r="AK126" t="s">
        <v>78</v>
      </c>
      <c r="AL126" t="s">
        <v>95</v>
      </c>
      <c r="AM126" t="s">
        <v>80</v>
      </c>
      <c r="AN126" t="s">
        <v>96</v>
      </c>
      <c r="AO126" t="s">
        <v>97</v>
      </c>
      <c r="AP126" t="s">
        <v>85</v>
      </c>
      <c r="AQ126" t="s">
        <v>85</v>
      </c>
      <c r="AR126" t="s">
        <v>85</v>
      </c>
      <c r="AS126" t="s">
        <v>84</v>
      </c>
      <c r="AT126" t="s">
        <v>85</v>
      </c>
      <c r="AU126" t="s">
        <v>85</v>
      </c>
      <c r="AV126" t="s">
        <v>85</v>
      </c>
      <c r="AW126" s="4">
        <v>0</v>
      </c>
      <c r="AX126" s="4">
        <v>0</v>
      </c>
      <c r="AY126" s="4">
        <v>0</v>
      </c>
      <c r="AZ126" s="3">
        <v>1.7</v>
      </c>
      <c r="BA126" s="3">
        <v>2.8899999999999997</v>
      </c>
      <c r="BB126" s="3">
        <v>23.529411764705884</v>
      </c>
      <c r="BC126" t="s">
        <v>85</v>
      </c>
      <c r="BD126" t="s">
        <v>86</v>
      </c>
      <c r="BE126" s="4">
        <v>0</v>
      </c>
      <c r="BF126" t="s">
        <v>87</v>
      </c>
      <c r="BG126" s="1" t="e">
        <v>#NULL!</v>
      </c>
      <c r="BH126" s="4">
        <v>0</v>
      </c>
      <c r="BI126" t="s">
        <v>85</v>
      </c>
      <c r="BJ126" s="4">
        <v>0</v>
      </c>
      <c r="BK126" t="s">
        <v>88</v>
      </c>
    </row>
    <row r="127" spans="1:63" x14ac:dyDescent="0.35">
      <c r="A127" s="4">
        <v>293</v>
      </c>
      <c r="B127" s="4">
        <v>31</v>
      </c>
      <c r="C127" t="s">
        <v>114</v>
      </c>
      <c r="D127" t="s">
        <v>89</v>
      </c>
      <c r="E127" t="s">
        <v>104</v>
      </c>
      <c r="F127" t="s">
        <v>90</v>
      </c>
      <c r="G127" t="s">
        <v>67</v>
      </c>
      <c r="H127" s="2">
        <v>100</v>
      </c>
      <c r="I127" t="s">
        <v>68</v>
      </c>
      <c r="J127" t="s">
        <v>69</v>
      </c>
      <c r="K127" t="s">
        <v>69</v>
      </c>
      <c r="L127" t="s">
        <v>69</v>
      </c>
      <c r="M127" s="4">
        <v>0</v>
      </c>
      <c r="N127" t="s">
        <v>71</v>
      </c>
      <c r="O127" s="4">
        <v>1</v>
      </c>
      <c r="P127" t="s">
        <v>71</v>
      </c>
      <c r="Q127" s="4">
        <v>2</v>
      </c>
      <c r="R127" t="s">
        <v>71</v>
      </c>
      <c r="S127" s="4">
        <v>1</v>
      </c>
      <c r="T127" t="s">
        <v>71</v>
      </c>
      <c r="U127" t="s">
        <v>92</v>
      </c>
      <c r="V127" t="s">
        <v>93</v>
      </c>
      <c r="W127" t="s">
        <v>93</v>
      </c>
      <c r="X127" t="s">
        <v>94</v>
      </c>
      <c r="Y127" t="s">
        <v>69</v>
      </c>
      <c r="Z127" s="4">
        <v>2</v>
      </c>
      <c r="AA127" t="s">
        <v>77</v>
      </c>
      <c r="AB127" s="4">
        <v>116</v>
      </c>
      <c r="AC127" s="4">
        <v>70</v>
      </c>
      <c r="AD127" s="4">
        <v>51</v>
      </c>
      <c r="AE127" s="4">
        <v>167</v>
      </c>
      <c r="AF127" s="4">
        <v>77</v>
      </c>
      <c r="AG127" s="4">
        <v>92</v>
      </c>
      <c r="AH127" s="4">
        <v>95</v>
      </c>
      <c r="AI127" s="4">
        <v>48</v>
      </c>
      <c r="AJ127" s="4">
        <v>35</v>
      </c>
      <c r="AK127" t="s">
        <v>78</v>
      </c>
      <c r="AL127" t="s">
        <v>95</v>
      </c>
      <c r="AM127" t="s">
        <v>80</v>
      </c>
      <c r="AN127" t="s">
        <v>96</v>
      </c>
      <c r="AO127" t="s">
        <v>97</v>
      </c>
      <c r="AP127" t="s">
        <v>83</v>
      </c>
      <c r="AQ127" t="s">
        <v>83</v>
      </c>
      <c r="AR127" t="s">
        <v>83</v>
      </c>
      <c r="AS127" t="s">
        <v>84</v>
      </c>
      <c r="AT127" t="s">
        <v>85</v>
      </c>
      <c r="AU127" t="s">
        <v>85</v>
      </c>
      <c r="AV127" t="s">
        <v>85</v>
      </c>
      <c r="AW127" s="4">
        <v>1</v>
      </c>
      <c r="AX127" s="4">
        <v>0</v>
      </c>
      <c r="AY127" s="4">
        <v>0</v>
      </c>
      <c r="AZ127" s="3">
        <v>1.67</v>
      </c>
      <c r="BA127" s="3">
        <v>2.7888999999999999</v>
      </c>
      <c r="BB127" s="3">
        <v>18.286779733945284</v>
      </c>
      <c r="BC127" t="s">
        <v>100</v>
      </c>
      <c r="BD127" t="s">
        <v>86</v>
      </c>
      <c r="BE127" s="4">
        <v>1</v>
      </c>
      <c r="BF127" t="s">
        <v>87</v>
      </c>
      <c r="BG127" s="1" t="e">
        <v>#NULL!</v>
      </c>
      <c r="BH127" s="4">
        <v>0</v>
      </c>
      <c r="BI127" t="s">
        <v>85</v>
      </c>
      <c r="BJ127" s="4">
        <v>1</v>
      </c>
      <c r="BK127" t="s">
        <v>88</v>
      </c>
    </row>
    <row r="128" spans="1:63" x14ac:dyDescent="0.35">
      <c r="A128" s="4">
        <v>333</v>
      </c>
      <c r="B128" s="4">
        <v>31</v>
      </c>
      <c r="C128" t="s">
        <v>114</v>
      </c>
      <c r="D128" t="s">
        <v>89</v>
      </c>
      <c r="E128" t="s">
        <v>104</v>
      </c>
      <c r="F128" t="s">
        <v>101</v>
      </c>
      <c r="G128" t="s">
        <v>67</v>
      </c>
      <c r="H128" s="2">
        <v>700</v>
      </c>
      <c r="I128" t="s">
        <v>105</v>
      </c>
      <c r="J128" t="s">
        <v>69</v>
      </c>
      <c r="K128" t="s">
        <v>69</v>
      </c>
      <c r="L128" t="s">
        <v>69</v>
      </c>
      <c r="M128" s="4">
        <v>3</v>
      </c>
      <c r="N128" t="s">
        <v>91</v>
      </c>
      <c r="O128" s="4">
        <v>2</v>
      </c>
      <c r="P128" t="s">
        <v>71</v>
      </c>
      <c r="Q128" s="4">
        <v>4</v>
      </c>
      <c r="R128" t="s">
        <v>91</v>
      </c>
      <c r="S128" s="4">
        <v>4</v>
      </c>
      <c r="T128" t="s">
        <v>91</v>
      </c>
      <c r="U128" t="s">
        <v>73</v>
      </c>
      <c r="V128" t="s">
        <v>93</v>
      </c>
      <c r="W128" t="s">
        <v>93</v>
      </c>
      <c r="X128" t="s">
        <v>94</v>
      </c>
      <c r="Y128" t="s">
        <v>69</v>
      </c>
      <c r="Z128" s="4">
        <v>4</v>
      </c>
      <c r="AA128" t="s">
        <v>77</v>
      </c>
      <c r="AB128" s="4">
        <v>157</v>
      </c>
      <c r="AC128" s="4">
        <v>82</v>
      </c>
      <c r="AD128" s="4">
        <v>81</v>
      </c>
      <c r="AE128" s="4">
        <v>175</v>
      </c>
      <c r="AF128" s="4">
        <v>89</v>
      </c>
      <c r="AG128" s="4">
        <v>110</v>
      </c>
      <c r="AH128" s="4">
        <v>86</v>
      </c>
      <c r="AI128" s="4">
        <v>44</v>
      </c>
      <c r="AJ128" s="4">
        <v>40</v>
      </c>
      <c r="AK128" t="s">
        <v>78</v>
      </c>
      <c r="AL128" t="s">
        <v>79</v>
      </c>
      <c r="AM128" t="s">
        <v>80</v>
      </c>
      <c r="AN128" t="s">
        <v>81</v>
      </c>
      <c r="AO128" t="s">
        <v>82</v>
      </c>
      <c r="AP128" t="s">
        <v>83</v>
      </c>
      <c r="AQ128" t="s">
        <v>85</v>
      </c>
      <c r="AR128" t="s">
        <v>83</v>
      </c>
      <c r="AS128" t="s">
        <v>84</v>
      </c>
      <c r="AT128" t="s">
        <v>85</v>
      </c>
      <c r="AU128" t="s">
        <v>83</v>
      </c>
      <c r="AV128" t="s">
        <v>83</v>
      </c>
      <c r="AW128" s="4">
        <v>2</v>
      </c>
      <c r="AX128" s="4">
        <v>1</v>
      </c>
      <c r="AY128" s="4">
        <v>2</v>
      </c>
      <c r="AZ128" s="3">
        <v>1.75</v>
      </c>
      <c r="BA128" s="3">
        <v>3.0625</v>
      </c>
      <c r="BB128" s="3">
        <v>26.448979591836736</v>
      </c>
      <c r="BC128" t="s">
        <v>98</v>
      </c>
      <c r="BD128" t="s">
        <v>99</v>
      </c>
      <c r="BE128" s="4">
        <v>3</v>
      </c>
      <c r="BF128" t="s">
        <v>111</v>
      </c>
      <c r="BG128" s="1" t="e">
        <v>#NULL!</v>
      </c>
      <c r="BH128" s="4">
        <v>1</v>
      </c>
      <c r="BI128" t="s">
        <v>83</v>
      </c>
      <c r="BJ128" s="4">
        <v>3</v>
      </c>
      <c r="BK128" t="s">
        <v>112</v>
      </c>
    </row>
    <row r="129" spans="1:63" x14ac:dyDescent="0.35">
      <c r="A129" s="4">
        <v>336</v>
      </c>
      <c r="B129" s="4">
        <v>31</v>
      </c>
      <c r="C129" t="s">
        <v>114</v>
      </c>
      <c r="D129" t="s">
        <v>89</v>
      </c>
      <c r="E129" t="s">
        <v>104</v>
      </c>
      <c r="F129" t="s">
        <v>90</v>
      </c>
      <c r="G129" t="s">
        <v>67</v>
      </c>
      <c r="H129" s="2">
        <v>700</v>
      </c>
      <c r="I129" t="s">
        <v>105</v>
      </c>
      <c r="J129" t="s">
        <v>69</v>
      </c>
      <c r="K129" t="s">
        <v>69</v>
      </c>
      <c r="L129" t="s">
        <v>69</v>
      </c>
      <c r="M129" s="4">
        <v>1</v>
      </c>
      <c r="N129" t="s">
        <v>71</v>
      </c>
      <c r="O129" s="4">
        <v>2</v>
      </c>
      <c r="P129" t="s">
        <v>71</v>
      </c>
      <c r="Q129" s="4">
        <v>1</v>
      </c>
      <c r="R129" t="s">
        <v>71</v>
      </c>
      <c r="S129" s="4">
        <v>1</v>
      </c>
      <c r="T129" t="s">
        <v>71</v>
      </c>
      <c r="U129" t="s">
        <v>92</v>
      </c>
      <c r="V129" t="s">
        <v>93</v>
      </c>
      <c r="W129" t="s">
        <v>93</v>
      </c>
      <c r="X129" t="s">
        <v>94</v>
      </c>
      <c r="Y129" t="s">
        <v>69</v>
      </c>
      <c r="Z129" s="4">
        <v>4</v>
      </c>
      <c r="AA129" t="s">
        <v>77</v>
      </c>
      <c r="AB129" s="4">
        <v>118</v>
      </c>
      <c r="AC129" s="4">
        <v>65</v>
      </c>
      <c r="AD129" s="4">
        <v>45</v>
      </c>
      <c r="AE129" s="4">
        <v>155</v>
      </c>
      <c r="AF129" s="4">
        <v>76</v>
      </c>
      <c r="AG129" s="4">
        <v>98</v>
      </c>
      <c r="AH129" s="4">
        <v>89</v>
      </c>
      <c r="AI129" s="4">
        <v>51</v>
      </c>
      <c r="AJ129" s="4">
        <v>56</v>
      </c>
      <c r="AK129" t="s">
        <v>78</v>
      </c>
      <c r="AL129" t="s">
        <v>95</v>
      </c>
      <c r="AM129" t="s">
        <v>80</v>
      </c>
      <c r="AN129" t="s">
        <v>96</v>
      </c>
      <c r="AO129" t="s">
        <v>97</v>
      </c>
      <c r="AP129" t="s">
        <v>85</v>
      </c>
      <c r="AQ129" t="s">
        <v>85</v>
      </c>
      <c r="AR129" t="s">
        <v>85</v>
      </c>
      <c r="AS129" t="s">
        <v>84</v>
      </c>
      <c r="AT129" t="s">
        <v>85</v>
      </c>
      <c r="AU129" t="s">
        <v>85</v>
      </c>
      <c r="AV129" t="s">
        <v>85</v>
      </c>
      <c r="AW129" s="4">
        <v>0</v>
      </c>
      <c r="AX129" s="4">
        <v>0</v>
      </c>
      <c r="AY129" s="4">
        <v>0</v>
      </c>
      <c r="AZ129" s="3">
        <v>1.55</v>
      </c>
      <c r="BA129" s="3">
        <v>2.4025000000000003</v>
      </c>
      <c r="BB129" s="3">
        <v>18.730489073881373</v>
      </c>
      <c r="BC129" t="s">
        <v>85</v>
      </c>
      <c r="BD129" t="s">
        <v>86</v>
      </c>
      <c r="BE129" s="4">
        <v>0</v>
      </c>
      <c r="BF129" t="s">
        <v>87</v>
      </c>
      <c r="BG129" s="1" t="e">
        <v>#NULL!</v>
      </c>
      <c r="BH129" s="4">
        <v>0</v>
      </c>
      <c r="BI129" t="s">
        <v>85</v>
      </c>
      <c r="BJ129" s="4">
        <v>0</v>
      </c>
      <c r="BK129" t="s">
        <v>88</v>
      </c>
    </row>
    <row r="130" spans="1:63" x14ac:dyDescent="0.35">
      <c r="A130" s="4">
        <v>343</v>
      </c>
      <c r="B130" s="4">
        <v>31</v>
      </c>
      <c r="C130" t="s">
        <v>114</v>
      </c>
      <c r="D130" t="s">
        <v>89</v>
      </c>
      <c r="E130" t="s">
        <v>104</v>
      </c>
      <c r="F130" t="s">
        <v>90</v>
      </c>
      <c r="G130" t="s">
        <v>67</v>
      </c>
      <c r="H130" s="2">
        <v>250</v>
      </c>
      <c r="I130" t="s">
        <v>68</v>
      </c>
      <c r="J130" t="s">
        <v>69</v>
      </c>
      <c r="K130" t="s">
        <v>69</v>
      </c>
      <c r="L130" t="s">
        <v>69</v>
      </c>
      <c r="M130" s="4">
        <v>3</v>
      </c>
      <c r="N130" t="s">
        <v>91</v>
      </c>
      <c r="O130" s="4">
        <v>2</v>
      </c>
      <c r="P130" t="s">
        <v>71</v>
      </c>
      <c r="Q130" s="4">
        <v>4</v>
      </c>
      <c r="R130" t="s">
        <v>91</v>
      </c>
      <c r="S130" s="4">
        <v>1</v>
      </c>
      <c r="T130" t="s">
        <v>71</v>
      </c>
      <c r="U130" t="s">
        <v>73</v>
      </c>
      <c r="V130" t="s">
        <v>93</v>
      </c>
      <c r="W130" t="s">
        <v>93</v>
      </c>
      <c r="X130" t="s">
        <v>94</v>
      </c>
      <c r="Y130" t="s">
        <v>69</v>
      </c>
      <c r="Z130" s="4">
        <v>1</v>
      </c>
      <c r="AA130" t="s">
        <v>77</v>
      </c>
      <c r="AB130" s="4">
        <v>121</v>
      </c>
      <c r="AC130" s="4">
        <v>73</v>
      </c>
      <c r="AD130" s="4">
        <v>65</v>
      </c>
      <c r="AE130" s="4">
        <v>161</v>
      </c>
      <c r="AF130" s="4">
        <v>93</v>
      </c>
      <c r="AG130" s="4">
        <v>108</v>
      </c>
      <c r="AH130" s="4">
        <v>94</v>
      </c>
      <c r="AI130" s="4">
        <v>54</v>
      </c>
      <c r="AJ130" s="4">
        <v>63</v>
      </c>
      <c r="AK130" t="s">
        <v>78</v>
      </c>
      <c r="AL130" t="s">
        <v>95</v>
      </c>
      <c r="AM130" t="s">
        <v>80</v>
      </c>
      <c r="AN130" t="s">
        <v>96</v>
      </c>
      <c r="AO130" t="s">
        <v>97</v>
      </c>
      <c r="AP130" t="s">
        <v>85</v>
      </c>
      <c r="AQ130" t="s">
        <v>85</v>
      </c>
      <c r="AR130" t="s">
        <v>85</v>
      </c>
      <c r="AS130" t="s">
        <v>84</v>
      </c>
      <c r="AT130" t="s">
        <v>85</v>
      </c>
      <c r="AU130" t="s">
        <v>83</v>
      </c>
      <c r="AV130" t="s">
        <v>83</v>
      </c>
      <c r="AW130" s="4">
        <v>0</v>
      </c>
      <c r="AX130" s="4">
        <v>0</v>
      </c>
      <c r="AY130" s="4">
        <v>1</v>
      </c>
      <c r="AZ130" s="3">
        <v>1.61</v>
      </c>
      <c r="BA130" s="3">
        <v>2.5921000000000003</v>
      </c>
      <c r="BB130" s="3">
        <v>25.076193048107708</v>
      </c>
      <c r="BC130" t="s">
        <v>98</v>
      </c>
      <c r="BD130" t="s">
        <v>99</v>
      </c>
      <c r="BE130" s="4">
        <v>1</v>
      </c>
      <c r="BF130" t="s">
        <v>87</v>
      </c>
      <c r="BG130" s="1" t="e">
        <v>#NULL!</v>
      </c>
      <c r="BH130" s="4">
        <v>1</v>
      </c>
      <c r="BI130" t="s">
        <v>83</v>
      </c>
      <c r="BJ130" s="4">
        <v>1</v>
      </c>
      <c r="BK130" t="s">
        <v>88</v>
      </c>
    </row>
    <row r="131" spans="1:63" x14ac:dyDescent="0.35">
      <c r="A131" s="4">
        <v>364</v>
      </c>
      <c r="B131" s="4">
        <v>31</v>
      </c>
      <c r="C131" t="s">
        <v>114</v>
      </c>
      <c r="D131" t="s">
        <v>64</v>
      </c>
      <c r="E131" t="s">
        <v>104</v>
      </c>
      <c r="F131" t="s">
        <v>101</v>
      </c>
      <c r="G131" t="s">
        <v>67</v>
      </c>
      <c r="H131" s="2">
        <v>500</v>
      </c>
      <c r="I131" t="s">
        <v>68</v>
      </c>
      <c r="J131" t="s">
        <v>69</v>
      </c>
      <c r="K131" t="s">
        <v>69</v>
      </c>
      <c r="L131" t="s">
        <v>69</v>
      </c>
      <c r="M131" s="4">
        <v>3</v>
      </c>
      <c r="N131" t="s">
        <v>91</v>
      </c>
      <c r="O131" s="4">
        <v>4</v>
      </c>
      <c r="P131" t="s">
        <v>91</v>
      </c>
      <c r="Q131" s="4">
        <v>3</v>
      </c>
      <c r="R131" t="s">
        <v>91</v>
      </c>
      <c r="S131" s="4">
        <v>2</v>
      </c>
      <c r="T131" t="s">
        <v>71</v>
      </c>
      <c r="U131" t="s">
        <v>92</v>
      </c>
      <c r="V131" t="s">
        <v>93</v>
      </c>
      <c r="W131" t="s">
        <v>74</v>
      </c>
      <c r="X131" t="s">
        <v>76</v>
      </c>
      <c r="Y131" t="s">
        <v>69</v>
      </c>
      <c r="Z131" s="4">
        <v>2</v>
      </c>
      <c r="AA131" t="s">
        <v>77</v>
      </c>
      <c r="AB131" s="4">
        <v>116</v>
      </c>
      <c r="AC131" s="4">
        <v>70</v>
      </c>
      <c r="AD131" s="4">
        <v>46</v>
      </c>
      <c r="AE131" s="4">
        <v>172</v>
      </c>
      <c r="AF131" s="4">
        <v>66</v>
      </c>
      <c r="AG131" s="4">
        <v>90</v>
      </c>
      <c r="AH131" s="4">
        <v>95</v>
      </c>
      <c r="AI131" s="4">
        <v>62</v>
      </c>
      <c r="AJ131" s="4">
        <v>53</v>
      </c>
      <c r="AK131" t="s">
        <v>78</v>
      </c>
      <c r="AL131" t="s">
        <v>95</v>
      </c>
      <c r="AM131" t="s">
        <v>80</v>
      </c>
      <c r="AN131" t="s">
        <v>96</v>
      </c>
      <c r="AO131" t="s">
        <v>97</v>
      </c>
      <c r="AP131" t="s">
        <v>85</v>
      </c>
      <c r="AQ131" t="s">
        <v>85</v>
      </c>
      <c r="AR131" t="s">
        <v>85</v>
      </c>
      <c r="AS131" t="s">
        <v>84</v>
      </c>
      <c r="AT131" t="s">
        <v>85</v>
      </c>
      <c r="AU131" t="s">
        <v>85</v>
      </c>
      <c r="AV131" t="s">
        <v>85</v>
      </c>
      <c r="AW131" s="4">
        <v>0</v>
      </c>
      <c r="AX131" s="4">
        <v>0</v>
      </c>
      <c r="AY131" s="4">
        <v>0</v>
      </c>
      <c r="AZ131" s="3">
        <v>1.72</v>
      </c>
      <c r="BA131" s="3">
        <v>2.9583999999999997</v>
      </c>
      <c r="BB131" s="3">
        <v>15.548945375878855</v>
      </c>
      <c r="BC131" t="s">
        <v>100</v>
      </c>
      <c r="BD131" t="s">
        <v>86</v>
      </c>
      <c r="BE131" s="4">
        <v>0</v>
      </c>
      <c r="BF131" t="s">
        <v>87</v>
      </c>
      <c r="BG131" s="4">
        <v>0</v>
      </c>
      <c r="BH131" s="1" t="e">
        <v>#NULL!</v>
      </c>
      <c r="BI131" t="s">
        <v>85</v>
      </c>
      <c r="BJ131" s="4">
        <v>0</v>
      </c>
      <c r="BK131" t="s">
        <v>88</v>
      </c>
    </row>
    <row r="132" spans="1:63" x14ac:dyDescent="0.35">
      <c r="A132" s="4">
        <v>399</v>
      </c>
      <c r="B132" s="4">
        <v>31</v>
      </c>
      <c r="C132" t="s">
        <v>114</v>
      </c>
      <c r="D132" t="s">
        <v>89</v>
      </c>
      <c r="E132" t="s">
        <v>104</v>
      </c>
      <c r="F132" t="s">
        <v>66</v>
      </c>
      <c r="G132" t="s">
        <v>67</v>
      </c>
      <c r="H132" s="2">
        <v>200</v>
      </c>
      <c r="I132" t="s">
        <v>68</v>
      </c>
      <c r="J132" t="s">
        <v>69</v>
      </c>
      <c r="K132" t="s">
        <v>69</v>
      </c>
      <c r="L132" t="s">
        <v>69</v>
      </c>
      <c r="M132" s="4">
        <v>7</v>
      </c>
      <c r="N132" t="s">
        <v>72</v>
      </c>
      <c r="O132" s="4">
        <v>4</v>
      </c>
      <c r="P132" t="s">
        <v>91</v>
      </c>
      <c r="Q132" s="4">
        <v>7</v>
      </c>
      <c r="R132" t="s">
        <v>72</v>
      </c>
      <c r="S132" s="4">
        <v>4</v>
      </c>
      <c r="T132" t="s">
        <v>91</v>
      </c>
      <c r="U132" t="s">
        <v>73</v>
      </c>
      <c r="V132" t="s">
        <v>93</v>
      </c>
      <c r="W132" t="s">
        <v>93</v>
      </c>
      <c r="X132" t="s">
        <v>94</v>
      </c>
      <c r="Y132" t="s">
        <v>69</v>
      </c>
      <c r="Z132" s="4">
        <v>2</v>
      </c>
      <c r="AA132" t="s">
        <v>77</v>
      </c>
      <c r="AB132" s="4">
        <v>111</v>
      </c>
      <c r="AC132" s="4">
        <v>82</v>
      </c>
      <c r="AD132" s="4">
        <v>66</v>
      </c>
      <c r="AE132" s="4">
        <v>165</v>
      </c>
      <c r="AF132" s="4">
        <v>86</v>
      </c>
      <c r="AG132" s="4">
        <v>108</v>
      </c>
      <c r="AH132" s="4">
        <v>98</v>
      </c>
      <c r="AI132" s="4">
        <v>110</v>
      </c>
      <c r="AJ132" s="4">
        <v>38</v>
      </c>
      <c r="AK132" t="s">
        <v>78</v>
      </c>
      <c r="AL132" t="s">
        <v>95</v>
      </c>
      <c r="AM132" t="s">
        <v>80</v>
      </c>
      <c r="AN132" t="s">
        <v>96</v>
      </c>
      <c r="AO132" t="s">
        <v>97</v>
      </c>
      <c r="AP132" t="s">
        <v>83</v>
      </c>
      <c r="AQ132" t="s">
        <v>83</v>
      </c>
      <c r="AR132" t="s">
        <v>83</v>
      </c>
      <c r="AS132" t="s">
        <v>84</v>
      </c>
      <c r="AT132" t="s">
        <v>85</v>
      </c>
      <c r="AU132" t="s">
        <v>83</v>
      </c>
      <c r="AV132" t="s">
        <v>83</v>
      </c>
      <c r="AW132" s="4">
        <v>1</v>
      </c>
      <c r="AX132" s="4">
        <v>0</v>
      </c>
      <c r="AY132" s="4">
        <v>1</v>
      </c>
      <c r="AZ132" s="3">
        <v>1.65</v>
      </c>
      <c r="BA132" s="3">
        <v>2.7224999999999997</v>
      </c>
      <c r="BB132" s="3">
        <v>24.242424242424246</v>
      </c>
      <c r="BC132" t="s">
        <v>85</v>
      </c>
      <c r="BD132" t="s">
        <v>86</v>
      </c>
      <c r="BE132" s="4">
        <v>2</v>
      </c>
      <c r="BF132" t="s">
        <v>87</v>
      </c>
      <c r="BG132" s="1" t="e">
        <v>#NULL!</v>
      </c>
      <c r="BH132" s="4">
        <v>0</v>
      </c>
      <c r="BI132" t="s">
        <v>85</v>
      </c>
      <c r="BJ132" s="4">
        <v>1</v>
      </c>
      <c r="BK132" t="s">
        <v>88</v>
      </c>
    </row>
    <row r="133" spans="1:63" x14ac:dyDescent="0.35">
      <c r="A133" s="4">
        <v>413</v>
      </c>
      <c r="B133" s="4">
        <v>31</v>
      </c>
      <c r="C133" t="s">
        <v>114</v>
      </c>
      <c r="D133" t="s">
        <v>89</v>
      </c>
      <c r="E133" t="s">
        <v>104</v>
      </c>
      <c r="F133" t="s">
        <v>66</v>
      </c>
      <c r="G133" t="s">
        <v>67</v>
      </c>
      <c r="H133" s="2">
        <v>1200</v>
      </c>
      <c r="I133" t="s">
        <v>116</v>
      </c>
      <c r="J133" t="s">
        <v>69</v>
      </c>
      <c r="K133" t="s">
        <v>69</v>
      </c>
      <c r="L133" t="s">
        <v>69</v>
      </c>
      <c r="M133" s="4">
        <v>1</v>
      </c>
      <c r="N133" t="s">
        <v>71</v>
      </c>
      <c r="O133" s="4">
        <v>3</v>
      </c>
      <c r="P133" t="s">
        <v>91</v>
      </c>
      <c r="Q133" s="4">
        <v>1</v>
      </c>
      <c r="R133" t="s">
        <v>71</v>
      </c>
      <c r="S133" s="4">
        <v>2</v>
      </c>
      <c r="T133" t="s">
        <v>71</v>
      </c>
      <c r="U133" t="s">
        <v>92</v>
      </c>
      <c r="V133" t="s">
        <v>93</v>
      </c>
      <c r="W133" t="s">
        <v>74</v>
      </c>
      <c r="X133" t="s">
        <v>76</v>
      </c>
      <c r="Y133" t="s">
        <v>69</v>
      </c>
      <c r="Z133" s="4">
        <v>1</v>
      </c>
      <c r="AA133" t="s">
        <v>77</v>
      </c>
      <c r="AB133" s="4">
        <v>108</v>
      </c>
      <c r="AC133" s="4">
        <v>70</v>
      </c>
      <c r="AD133" s="4">
        <v>73</v>
      </c>
      <c r="AE133" s="4">
        <v>163</v>
      </c>
      <c r="AF133" s="4">
        <v>100</v>
      </c>
      <c r="AG133" s="4">
        <v>107</v>
      </c>
      <c r="AH133" s="4">
        <v>111</v>
      </c>
      <c r="AI133" s="4">
        <v>51</v>
      </c>
      <c r="AJ133" s="4">
        <v>53</v>
      </c>
      <c r="AK133" t="s">
        <v>78</v>
      </c>
      <c r="AL133" t="s">
        <v>95</v>
      </c>
      <c r="AM133" t="s">
        <v>80</v>
      </c>
      <c r="AN133" t="s">
        <v>96</v>
      </c>
      <c r="AO133" t="s">
        <v>97</v>
      </c>
      <c r="AP133" t="s">
        <v>85</v>
      </c>
      <c r="AQ133" t="s">
        <v>85</v>
      </c>
      <c r="AR133" t="s">
        <v>85</v>
      </c>
      <c r="AS133" t="s">
        <v>102</v>
      </c>
      <c r="AT133" t="s">
        <v>83</v>
      </c>
      <c r="AU133" t="s">
        <v>83</v>
      </c>
      <c r="AV133" t="s">
        <v>83</v>
      </c>
      <c r="AW133" s="4">
        <v>1</v>
      </c>
      <c r="AX133" s="4">
        <v>0</v>
      </c>
      <c r="AY133" s="4">
        <v>1</v>
      </c>
      <c r="AZ133" s="3">
        <v>1.63</v>
      </c>
      <c r="BA133" s="3">
        <v>2.6568999999999998</v>
      </c>
      <c r="BB133" s="3">
        <v>27.475629493018182</v>
      </c>
      <c r="BC133" t="s">
        <v>98</v>
      </c>
      <c r="BD133" t="s">
        <v>99</v>
      </c>
      <c r="BE133" s="4">
        <v>2</v>
      </c>
      <c r="BF133" t="s">
        <v>87</v>
      </c>
      <c r="BG133" s="1" t="e">
        <v>#NULL!</v>
      </c>
      <c r="BH133" s="4">
        <v>1</v>
      </c>
      <c r="BI133" t="s">
        <v>83</v>
      </c>
      <c r="BJ133" s="4">
        <v>2</v>
      </c>
      <c r="BK133" t="s">
        <v>88</v>
      </c>
    </row>
    <row r="134" spans="1:63" x14ac:dyDescent="0.35">
      <c r="A134" s="4">
        <v>435</v>
      </c>
      <c r="B134" s="4">
        <v>31</v>
      </c>
      <c r="C134" t="s">
        <v>114</v>
      </c>
      <c r="D134" t="s">
        <v>89</v>
      </c>
      <c r="E134" t="s">
        <v>104</v>
      </c>
      <c r="F134" t="s">
        <v>115</v>
      </c>
      <c r="G134" t="s">
        <v>67</v>
      </c>
      <c r="H134" s="2">
        <v>500</v>
      </c>
      <c r="I134" t="s">
        <v>68</v>
      </c>
      <c r="J134" t="s">
        <v>69</v>
      </c>
      <c r="K134" t="s">
        <v>69</v>
      </c>
      <c r="L134" t="s">
        <v>69</v>
      </c>
      <c r="M134" s="4">
        <v>1</v>
      </c>
      <c r="N134" t="s">
        <v>71</v>
      </c>
      <c r="O134" s="4">
        <v>4</v>
      </c>
      <c r="P134" t="s">
        <v>91</v>
      </c>
      <c r="Q134" s="4">
        <v>1</v>
      </c>
      <c r="R134" t="s">
        <v>71</v>
      </c>
      <c r="S134" s="4">
        <v>2</v>
      </c>
      <c r="T134" t="s">
        <v>71</v>
      </c>
      <c r="U134" t="s">
        <v>103</v>
      </c>
      <c r="V134" t="s">
        <v>93</v>
      </c>
      <c r="W134" t="s">
        <v>93</v>
      </c>
      <c r="X134" t="s">
        <v>94</v>
      </c>
      <c r="Y134" t="s">
        <v>69</v>
      </c>
      <c r="Z134" s="4">
        <v>4</v>
      </c>
      <c r="AA134" t="s">
        <v>77</v>
      </c>
      <c r="AB134" s="4">
        <v>112</v>
      </c>
      <c r="AC134" s="4">
        <v>95</v>
      </c>
      <c r="AD134" s="4">
        <v>52</v>
      </c>
      <c r="AE134" s="4">
        <v>169</v>
      </c>
      <c r="AF134" s="4">
        <v>73</v>
      </c>
      <c r="AG134" s="4">
        <v>96</v>
      </c>
      <c r="AH134" s="4">
        <v>99</v>
      </c>
      <c r="AI134" s="4">
        <v>60</v>
      </c>
      <c r="AJ134" s="4">
        <v>50</v>
      </c>
      <c r="AK134" t="s">
        <v>78</v>
      </c>
      <c r="AL134" t="s">
        <v>95</v>
      </c>
      <c r="AM134" t="s">
        <v>108</v>
      </c>
      <c r="AN134" t="s">
        <v>81</v>
      </c>
      <c r="AO134" t="s">
        <v>82</v>
      </c>
      <c r="AP134" t="s">
        <v>85</v>
      </c>
      <c r="AQ134" t="s">
        <v>85</v>
      </c>
      <c r="AR134" t="s">
        <v>85</v>
      </c>
      <c r="AS134" t="s">
        <v>84</v>
      </c>
      <c r="AT134" t="s">
        <v>85</v>
      </c>
      <c r="AU134" t="s">
        <v>85</v>
      </c>
      <c r="AV134" t="s">
        <v>85</v>
      </c>
      <c r="AW134" s="4">
        <v>1</v>
      </c>
      <c r="AX134" s="4">
        <v>0</v>
      </c>
      <c r="AY134" s="4">
        <v>0</v>
      </c>
      <c r="AZ134" s="3">
        <v>1.69</v>
      </c>
      <c r="BA134" s="3">
        <v>2.8560999999999996</v>
      </c>
      <c r="BB134" s="3">
        <v>18.206645425580341</v>
      </c>
      <c r="BC134" t="s">
        <v>100</v>
      </c>
      <c r="BD134" t="s">
        <v>86</v>
      </c>
      <c r="BE134" s="4">
        <v>1</v>
      </c>
      <c r="BF134" t="s">
        <v>87</v>
      </c>
      <c r="BG134" s="1" t="e">
        <v>#NULL!</v>
      </c>
      <c r="BH134" s="4">
        <v>0</v>
      </c>
      <c r="BI134" t="s">
        <v>85</v>
      </c>
      <c r="BJ134" s="4">
        <v>1</v>
      </c>
      <c r="BK134" t="s">
        <v>88</v>
      </c>
    </row>
    <row r="135" spans="1:63" x14ac:dyDescent="0.35">
      <c r="A135" s="4">
        <v>307</v>
      </c>
      <c r="B135" s="4">
        <v>31</v>
      </c>
      <c r="C135" t="s">
        <v>114</v>
      </c>
      <c r="D135" t="s">
        <v>89</v>
      </c>
      <c r="E135" t="s">
        <v>113</v>
      </c>
      <c r="F135" t="s">
        <v>115</v>
      </c>
      <c r="G135" t="s">
        <v>67</v>
      </c>
      <c r="H135" s="2">
        <v>800</v>
      </c>
      <c r="I135" t="s">
        <v>105</v>
      </c>
      <c r="J135" t="s">
        <v>69</v>
      </c>
      <c r="K135" t="s">
        <v>69</v>
      </c>
      <c r="L135" t="s">
        <v>69</v>
      </c>
      <c r="M135" s="4">
        <v>3</v>
      </c>
      <c r="N135" t="s">
        <v>91</v>
      </c>
      <c r="O135" s="4">
        <v>3</v>
      </c>
      <c r="P135" t="s">
        <v>91</v>
      </c>
      <c r="Q135" s="4">
        <v>4</v>
      </c>
      <c r="R135" t="s">
        <v>91</v>
      </c>
      <c r="S135" s="4">
        <v>4</v>
      </c>
      <c r="T135" t="s">
        <v>91</v>
      </c>
      <c r="U135" t="s">
        <v>73</v>
      </c>
      <c r="V135" t="s">
        <v>93</v>
      </c>
      <c r="W135" t="s">
        <v>93</v>
      </c>
      <c r="X135" t="s">
        <v>94</v>
      </c>
      <c r="Y135" t="s">
        <v>69</v>
      </c>
      <c r="Z135" s="4">
        <v>6</v>
      </c>
      <c r="AA135" t="s">
        <v>77</v>
      </c>
      <c r="AB135" s="4">
        <v>105</v>
      </c>
      <c r="AC135" s="4">
        <v>70</v>
      </c>
      <c r="AD135" s="4">
        <v>88</v>
      </c>
      <c r="AE135" s="4">
        <v>167</v>
      </c>
      <c r="AF135" s="4">
        <v>76</v>
      </c>
      <c r="AG135" s="4">
        <v>98</v>
      </c>
      <c r="AH135" s="4">
        <v>129</v>
      </c>
      <c r="AI135" s="4">
        <v>119</v>
      </c>
      <c r="AJ135" s="4">
        <v>54</v>
      </c>
      <c r="AK135" t="s">
        <v>78</v>
      </c>
      <c r="AL135" t="s">
        <v>95</v>
      </c>
      <c r="AM135" t="s">
        <v>80</v>
      </c>
      <c r="AN135" t="s">
        <v>96</v>
      </c>
      <c r="AO135" t="s">
        <v>97</v>
      </c>
      <c r="AP135" t="s">
        <v>85</v>
      </c>
      <c r="AQ135" t="s">
        <v>85</v>
      </c>
      <c r="AR135" t="s">
        <v>85</v>
      </c>
      <c r="AS135" t="s">
        <v>102</v>
      </c>
      <c r="AT135" t="s">
        <v>85</v>
      </c>
      <c r="AU135" t="s">
        <v>85</v>
      </c>
      <c r="AV135" t="s">
        <v>85</v>
      </c>
      <c r="AW135" s="4">
        <v>1</v>
      </c>
      <c r="AX135" s="4">
        <v>0</v>
      </c>
      <c r="AY135" s="4">
        <v>0</v>
      </c>
      <c r="AZ135" s="3">
        <v>1.67</v>
      </c>
      <c r="BA135" s="3">
        <v>2.7888999999999999</v>
      </c>
      <c r="BB135" s="3">
        <v>31.553659148768332</v>
      </c>
      <c r="BC135" t="s">
        <v>110</v>
      </c>
      <c r="BD135" t="s">
        <v>99</v>
      </c>
      <c r="BE135" s="4">
        <v>1</v>
      </c>
      <c r="BF135" t="s">
        <v>87</v>
      </c>
      <c r="BG135" s="1" t="e">
        <v>#NULL!</v>
      </c>
      <c r="BH135" s="4">
        <v>0</v>
      </c>
      <c r="BI135" t="s">
        <v>85</v>
      </c>
      <c r="BJ135" s="4">
        <v>1</v>
      </c>
      <c r="BK135" t="s">
        <v>88</v>
      </c>
    </row>
    <row r="136" spans="1:63" x14ac:dyDescent="0.35">
      <c r="A136" s="4">
        <v>5</v>
      </c>
      <c r="B136" s="4">
        <v>32</v>
      </c>
      <c r="C136" t="s">
        <v>114</v>
      </c>
      <c r="D136" t="s">
        <v>89</v>
      </c>
      <c r="E136" t="s">
        <v>104</v>
      </c>
      <c r="F136" t="s">
        <v>66</v>
      </c>
      <c r="G136" t="s">
        <v>67</v>
      </c>
      <c r="H136" s="2">
        <v>200</v>
      </c>
      <c r="I136" t="s">
        <v>68</v>
      </c>
      <c r="J136" t="s">
        <v>69</v>
      </c>
      <c r="K136" t="s">
        <v>69</v>
      </c>
      <c r="L136" t="s">
        <v>69</v>
      </c>
      <c r="M136" s="4">
        <v>7</v>
      </c>
      <c r="N136" t="s">
        <v>72</v>
      </c>
      <c r="O136" s="4">
        <v>4</v>
      </c>
      <c r="P136" t="s">
        <v>91</v>
      </c>
      <c r="Q136" s="4">
        <v>7</v>
      </c>
      <c r="R136" t="s">
        <v>72</v>
      </c>
      <c r="S136" s="4">
        <v>4</v>
      </c>
      <c r="T136" t="s">
        <v>91</v>
      </c>
      <c r="U136" t="s">
        <v>73</v>
      </c>
      <c r="V136" t="s">
        <v>93</v>
      </c>
      <c r="W136" t="s">
        <v>93</v>
      </c>
      <c r="X136" t="s">
        <v>94</v>
      </c>
      <c r="Y136" t="s">
        <v>69</v>
      </c>
      <c r="Z136" s="4">
        <v>2</v>
      </c>
      <c r="AA136" t="s">
        <v>77</v>
      </c>
      <c r="AB136" s="4">
        <v>111</v>
      </c>
      <c r="AC136" s="4">
        <v>82</v>
      </c>
      <c r="AD136" s="4">
        <v>66</v>
      </c>
      <c r="AE136" s="4">
        <v>165</v>
      </c>
      <c r="AF136" s="4">
        <v>85</v>
      </c>
      <c r="AG136" s="4">
        <v>108</v>
      </c>
      <c r="AH136" s="4">
        <v>98</v>
      </c>
      <c r="AI136" s="4">
        <v>110</v>
      </c>
      <c r="AJ136" s="4">
        <v>38</v>
      </c>
      <c r="AK136" t="s">
        <v>78</v>
      </c>
      <c r="AL136" t="s">
        <v>95</v>
      </c>
      <c r="AM136" t="s">
        <v>80</v>
      </c>
      <c r="AN136" t="s">
        <v>96</v>
      </c>
      <c r="AO136" t="s">
        <v>97</v>
      </c>
      <c r="AP136" t="s">
        <v>83</v>
      </c>
      <c r="AQ136" t="s">
        <v>83</v>
      </c>
      <c r="AR136" t="s">
        <v>83</v>
      </c>
      <c r="AS136" t="s">
        <v>84</v>
      </c>
      <c r="AT136" t="s">
        <v>85</v>
      </c>
      <c r="AU136" t="s">
        <v>83</v>
      </c>
      <c r="AV136" t="s">
        <v>83</v>
      </c>
      <c r="AW136" s="4">
        <v>1</v>
      </c>
      <c r="AX136" s="4">
        <v>0</v>
      </c>
      <c r="AY136" s="4">
        <v>1</v>
      </c>
      <c r="AZ136" s="3">
        <v>1.65</v>
      </c>
      <c r="BA136" s="3">
        <v>2.7224999999999997</v>
      </c>
      <c r="BB136" s="3">
        <v>24.242424242424246</v>
      </c>
      <c r="BC136" t="s">
        <v>85</v>
      </c>
      <c r="BD136" t="s">
        <v>86</v>
      </c>
      <c r="BE136" s="4">
        <v>2</v>
      </c>
      <c r="BF136" t="s">
        <v>87</v>
      </c>
      <c r="BG136" s="1" t="e">
        <v>#NULL!</v>
      </c>
      <c r="BH136" s="4">
        <v>0</v>
      </c>
      <c r="BI136" t="s">
        <v>85</v>
      </c>
      <c r="BJ136" s="4">
        <v>1</v>
      </c>
      <c r="BK136" t="s">
        <v>88</v>
      </c>
    </row>
    <row r="137" spans="1:63" x14ac:dyDescent="0.35">
      <c r="A137" s="4">
        <v>24</v>
      </c>
      <c r="B137" s="4">
        <v>32</v>
      </c>
      <c r="C137" t="s">
        <v>114</v>
      </c>
      <c r="D137" t="s">
        <v>89</v>
      </c>
      <c r="E137" t="s">
        <v>104</v>
      </c>
      <c r="F137" t="s">
        <v>101</v>
      </c>
      <c r="G137" t="s">
        <v>67</v>
      </c>
      <c r="H137" s="2">
        <v>600</v>
      </c>
      <c r="I137" t="s">
        <v>105</v>
      </c>
      <c r="J137" t="s">
        <v>69</v>
      </c>
      <c r="K137" t="s">
        <v>69</v>
      </c>
      <c r="L137" t="s">
        <v>69</v>
      </c>
      <c r="M137" s="4">
        <v>3</v>
      </c>
      <c r="N137" t="s">
        <v>91</v>
      </c>
      <c r="O137" s="4">
        <v>5</v>
      </c>
      <c r="P137" t="s">
        <v>72</v>
      </c>
      <c r="Q137" s="4">
        <v>7</v>
      </c>
      <c r="R137" t="s">
        <v>72</v>
      </c>
      <c r="S137" s="4">
        <v>7</v>
      </c>
      <c r="T137" t="s">
        <v>72</v>
      </c>
      <c r="U137" t="s">
        <v>92</v>
      </c>
      <c r="V137" t="s">
        <v>93</v>
      </c>
      <c r="W137" t="s">
        <v>93</v>
      </c>
      <c r="X137" t="s">
        <v>94</v>
      </c>
      <c r="Y137" t="s">
        <v>69</v>
      </c>
      <c r="Z137" s="4">
        <v>1</v>
      </c>
      <c r="AA137" t="s">
        <v>77</v>
      </c>
      <c r="AB137" s="4">
        <v>142</v>
      </c>
      <c r="AC137" s="4">
        <v>81</v>
      </c>
      <c r="AD137" s="4">
        <v>108</v>
      </c>
      <c r="AE137" s="4">
        <v>165</v>
      </c>
      <c r="AF137" s="4">
        <v>120</v>
      </c>
      <c r="AG137" s="4">
        <v>127</v>
      </c>
      <c r="AH137" s="4">
        <v>83</v>
      </c>
      <c r="AI137" s="4">
        <v>102</v>
      </c>
      <c r="AJ137" s="4">
        <v>53</v>
      </c>
      <c r="AK137" t="s">
        <v>78</v>
      </c>
      <c r="AL137" t="s">
        <v>79</v>
      </c>
      <c r="AM137" t="s">
        <v>80</v>
      </c>
      <c r="AN137" t="s">
        <v>81</v>
      </c>
      <c r="AO137" t="s">
        <v>82</v>
      </c>
      <c r="AP137" t="s">
        <v>85</v>
      </c>
      <c r="AQ137" t="s">
        <v>85</v>
      </c>
      <c r="AR137" t="s">
        <v>85</v>
      </c>
      <c r="AS137" t="s">
        <v>84</v>
      </c>
      <c r="AT137" t="s">
        <v>83</v>
      </c>
      <c r="AU137" t="s">
        <v>83</v>
      </c>
      <c r="AV137" t="s">
        <v>83</v>
      </c>
      <c r="AW137" s="4">
        <v>1</v>
      </c>
      <c r="AX137" s="4">
        <v>0</v>
      </c>
      <c r="AY137" s="4">
        <v>1</v>
      </c>
      <c r="AZ137" s="3">
        <v>1.65</v>
      </c>
      <c r="BA137" s="3">
        <v>2.7224999999999997</v>
      </c>
      <c r="BB137" s="3">
        <v>39.669421487603309</v>
      </c>
      <c r="BC137" t="s">
        <v>110</v>
      </c>
      <c r="BD137" t="s">
        <v>99</v>
      </c>
      <c r="BE137" s="4">
        <v>2</v>
      </c>
      <c r="BF137" t="s">
        <v>87</v>
      </c>
      <c r="BG137" s="1" t="e">
        <v>#NULL!</v>
      </c>
      <c r="BH137" s="4">
        <v>1</v>
      </c>
      <c r="BI137" t="s">
        <v>83</v>
      </c>
      <c r="BJ137" s="4">
        <v>2</v>
      </c>
      <c r="BK137" t="s">
        <v>88</v>
      </c>
    </row>
    <row r="138" spans="1:63" x14ac:dyDescent="0.35">
      <c r="A138" s="4">
        <v>52</v>
      </c>
      <c r="B138" s="4">
        <v>32</v>
      </c>
      <c r="C138" t="s">
        <v>114</v>
      </c>
      <c r="D138" t="s">
        <v>64</v>
      </c>
      <c r="E138" t="s">
        <v>104</v>
      </c>
      <c r="F138" t="s">
        <v>90</v>
      </c>
      <c r="G138" t="s">
        <v>67</v>
      </c>
      <c r="H138" s="2">
        <v>400</v>
      </c>
      <c r="I138" t="s">
        <v>68</v>
      </c>
      <c r="J138" t="s">
        <v>69</v>
      </c>
      <c r="K138" t="s">
        <v>69</v>
      </c>
      <c r="L138" t="s">
        <v>69</v>
      </c>
      <c r="M138" s="4">
        <v>5</v>
      </c>
      <c r="N138" t="s">
        <v>72</v>
      </c>
      <c r="O138" s="4">
        <v>6</v>
      </c>
      <c r="P138" t="s">
        <v>72</v>
      </c>
      <c r="Q138" s="4">
        <v>5</v>
      </c>
      <c r="R138" t="s">
        <v>72</v>
      </c>
      <c r="S138" s="4">
        <v>3</v>
      </c>
      <c r="T138" t="s">
        <v>91</v>
      </c>
      <c r="U138" t="s">
        <v>92</v>
      </c>
      <c r="V138" t="s">
        <v>93</v>
      </c>
      <c r="W138" t="s">
        <v>93</v>
      </c>
      <c r="X138" t="s">
        <v>94</v>
      </c>
      <c r="Y138" t="s">
        <v>69</v>
      </c>
      <c r="Z138" s="4">
        <v>4</v>
      </c>
      <c r="AA138" t="s">
        <v>77</v>
      </c>
      <c r="AB138" s="4">
        <v>143</v>
      </c>
      <c r="AC138" s="4">
        <v>83</v>
      </c>
      <c r="AD138" s="4">
        <v>77</v>
      </c>
      <c r="AE138" s="4">
        <v>171</v>
      </c>
      <c r="AF138" s="4">
        <v>84</v>
      </c>
      <c r="AG138" s="4">
        <v>106</v>
      </c>
      <c r="AH138" s="4">
        <v>99</v>
      </c>
      <c r="AI138" s="4">
        <v>116</v>
      </c>
      <c r="AJ138" s="4">
        <v>33</v>
      </c>
      <c r="AK138" t="s">
        <v>78</v>
      </c>
      <c r="AL138" t="s">
        <v>79</v>
      </c>
      <c r="AM138" t="s">
        <v>80</v>
      </c>
      <c r="AN138" t="s">
        <v>81</v>
      </c>
      <c r="AO138" t="s">
        <v>82</v>
      </c>
      <c r="AP138" t="s">
        <v>83</v>
      </c>
      <c r="AQ138" t="s">
        <v>83</v>
      </c>
      <c r="AR138" t="s">
        <v>83</v>
      </c>
      <c r="AS138" t="s">
        <v>84</v>
      </c>
      <c r="AT138" t="s">
        <v>85</v>
      </c>
      <c r="AU138" t="s">
        <v>83</v>
      </c>
      <c r="AV138" t="s">
        <v>85</v>
      </c>
      <c r="AW138" s="4">
        <v>2</v>
      </c>
      <c r="AX138" s="4">
        <v>1</v>
      </c>
      <c r="AY138" s="4">
        <v>1</v>
      </c>
      <c r="AZ138" s="3">
        <v>1.71</v>
      </c>
      <c r="BA138" s="3">
        <v>2.9240999999999997</v>
      </c>
      <c r="BB138" s="3">
        <v>26.332888752094664</v>
      </c>
      <c r="BC138" t="s">
        <v>98</v>
      </c>
      <c r="BD138" t="s">
        <v>99</v>
      </c>
      <c r="BE138" s="4">
        <v>2</v>
      </c>
      <c r="BF138" t="s">
        <v>87</v>
      </c>
      <c r="BG138" s="4">
        <v>0</v>
      </c>
      <c r="BH138" s="1" t="e">
        <v>#NULL!</v>
      </c>
      <c r="BI138" t="s">
        <v>85</v>
      </c>
      <c r="BJ138" s="4">
        <v>2</v>
      </c>
      <c r="BK138" t="s">
        <v>88</v>
      </c>
    </row>
    <row r="139" spans="1:63" x14ac:dyDescent="0.35">
      <c r="A139" s="4">
        <v>74</v>
      </c>
      <c r="B139" s="4">
        <v>32</v>
      </c>
      <c r="C139" t="s">
        <v>114</v>
      </c>
      <c r="D139" t="s">
        <v>64</v>
      </c>
      <c r="E139" t="s">
        <v>104</v>
      </c>
      <c r="F139" t="s">
        <v>101</v>
      </c>
      <c r="G139" t="s">
        <v>67</v>
      </c>
      <c r="H139" s="2">
        <v>1000</v>
      </c>
      <c r="I139" t="s">
        <v>105</v>
      </c>
      <c r="J139" t="s">
        <v>69</v>
      </c>
      <c r="K139" t="s">
        <v>69</v>
      </c>
      <c r="L139" t="s">
        <v>69</v>
      </c>
      <c r="M139" s="4">
        <v>3</v>
      </c>
      <c r="N139" t="s">
        <v>91</v>
      </c>
      <c r="O139" s="4">
        <v>4</v>
      </c>
      <c r="P139" t="s">
        <v>91</v>
      </c>
      <c r="Q139" s="4">
        <v>5</v>
      </c>
      <c r="R139" t="s">
        <v>72</v>
      </c>
      <c r="S139" s="4">
        <v>4</v>
      </c>
      <c r="T139" t="s">
        <v>91</v>
      </c>
      <c r="U139" t="s">
        <v>92</v>
      </c>
      <c r="V139" t="s">
        <v>93</v>
      </c>
      <c r="W139" t="s">
        <v>93</v>
      </c>
      <c r="X139" t="s">
        <v>94</v>
      </c>
      <c r="Y139" t="s">
        <v>69</v>
      </c>
      <c r="Z139" s="4">
        <v>8</v>
      </c>
      <c r="AA139" t="s">
        <v>117</v>
      </c>
      <c r="AB139" s="4">
        <v>122</v>
      </c>
      <c r="AC139" s="4">
        <v>78</v>
      </c>
      <c r="AD139" s="4">
        <v>86</v>
      </c>
      <c r="AE139" s="4">
        <v>176</v>
      </c>
      <c r="AF139" s="4">
        <v>93</v>
      </c>
      <c r="AG139" s="4">
        <v>115</v>
      </c>
      <c r="AH139" s="4">
        <v>109</v>
      </c>
      <c r="AI139" s="4">
        <v>84</v>
      </c>
      <c r="AJ139" s="4">
        <v>66</v>
      </c>
      <c r="AK139" t="s">
        <v>78</v>
      </c>
      <c r="AL139" t="s">
        <v>95</v>
      </c>
      <c r="AM139" t="s">
        <v>80</v>
      </c>
      <c r="AN139" t="s">
        <v>96</v>
      </c>
      <c r="AO139" t="s">
        <v>97</v>
      </c>
      <c r="AP139" t="s">
        <v>85</v>
      </c>
      <c r="AQ139" t="s">
        <v>85</v>
      </c>
      <c r="AR139" t="s">
        <v>85</v>
      </c>
      <c r="AS139" t="s">
        <v>102</v>
      </c>
      <c r="AT139" t="s">
        <v>85</v>
      </c>
      <c r="AU139" t="s">
        <v>83</v>
      </c>
      <c r="AV139" t="s">
        <v>85</v>
      </c>
      <c r="AW139" s="4">
        <v>1</v>
      </c>
      <c r="AX139" s="4">
        <v>0</v>
      </c>
      <c r="AY139" s="4">
        <v>0</v>
      </c>
      <c r="AZ139" s="3">
        <v>1.76</v>
      </c>
      <c r="BA139" s="3">
        <v>3.0975999999999999</v>
      </c>
      <c r="BB139" s="3">
        <v>27.763429752066116</v>
      </c>
      <c r="BC139" t="s">
        <v>98</v>
      </c>
      <c r="BD139" t="s">
        <v>99</v>
      </c>
      <c r="BE139" s="4">
        <v>1</v>
      </c>
      <c r="BF139" t="s">
        <v>87</v>
      </c>
      <c r="BG139" s="4">
        <v>0</v>
      </c>
      <c r="BH139" s="1" t="e">
        <v>#NULL!</v>
      </c>
      <c r="BI139" t="s">
        <v>85</v>
      </c>
      <c r="BJ139" s="4">
        <v>1</v>
      </c>
      <c r="BK139" t="s">
        <v>88</v>
      </c>
    </row>
    <row r="140" spans="1:63" x14ac:dyDescent="0.35">
      <c r="A140" s="4">
        <v>91</v>
      </c>
      <c r="B140" s="4">
        <v>32</v>
      </c>
      <c r="C140" t="s">
        <v>114</v>
      </c>
      <c r="D140" t="s">
        <v>64</v>
      </c>
      <c r="E140" t="s">
        <v>104</v>
      </c>
      <c r="F140" t="s">
        <v>90</v>
      </c>
      <c r="G140" t="s">
        <v>67</v>
      </c>
      <c r="H140" s="2">
        <v>300</v>
      </c>
      <c r="I140" t="s">
        <v>68</v>
      </c>
      <c r="J140" t="s">
        <v>69</v>
      </c>
      <c r="K140" t="s">
        <v>69</v>
      </c>
      <c r="L140" t="s">
        <v>69</v>
      </c>
      <c r="M140" s="4">
        <v>3</v>
      </c>
      <c r="N140" t="s">
        <v>91</v>
      </c>
      <c r="O140" s="4">
        <v>5</v>
      </c>
      <c r="P140" t="s">
        <v>72</v>
      </c>
      <c r="Q140" s="4">
        <v>1</v>
      </c>
      <c r="R140" t="s">
        <v>71</v>
      </c>
      <c r="S140" s="4">
        <v>1</v>
      </c>
      <c r="T140" t="s">
        <v>71</v>
      </c>
      <c r="U140" t="s">
        <v>92</v>
      </c>
      <c r="V140" t="s">
        <v>93</v>
      </c>
      <c r="W140" t="s">
        <v>93</v>
      </c>
      <c r="X140" t="s">
        <v>94</v>
      </c>
      <c r="Y140" t="s">
        <v>69</v>
      </c>
      <c r="Z140" s="4">
        <v>6</v>
      </c>
      <c r="AA140" t="s">
        <v>77</v>
      </c>
      <c r="AB140" s="4">
        <v>115</v>
      </c>
      <c r="AC140" s="4">
        <v>78</v>
      </c>
      <c r="AD140" s="4">
        <v>70</v>
      </c>
      <c r="AE140" s="4">
        <v>179</v>
      </c>
      <c r="AF140" s="4">
        <v>82</v>
      </c>
      <c r="AG140" s="4">
        <v>102</v>
      </c>
      <c r="AH140" s="4">
        <v>213</v>
      </c>
      <c r="AI140" s="4">
        <v>88</v>
      </c>
      <c r="AJ140" s="4">
        <v>51</v>
      </c>
      <c r="AK140" t="s">
        <v>78</v>
      </c>
      <c r="AL140" t="s">
        <v>95</v>
      </c>
      <c r="AM140" t="s">
        <v>80</v>
      </c>
      <c r="AN140" t="s">
        <v>96</v>
      </c>
      <c r="AO140" t="s">
        <v>97</v>
      </c>
      <c r="AP140" t="s">
        <v>85</v>
      </c>
      <c r="AQ140" t="s">
        <v>85</v>
      </c>
      <c r="AR140" t="s">
        <v>85</v>
      </c>
      <c r="AS140" t="s">
        <v>102</v>
      </c>
      <c r="AT140" t="s">
        <v>85</v>
      </c>
      <c r="AU140" t="s">
        <v>83</v>
      </c>
      <c r="AV140" t="s">
        <v>85</v>
      </c>
      <c r="AW140" s="4">
        <v>1</v>
      </c>
      <c r="AX140" s="4">
        <v>0</v>
      </c>
      <c r="AY140" s="4">
        <v>0</v>
      </c>
      <c r="AZ140" s="3">
        <v>1.79</v>
      </c>
      <c r="BA140" s="3">
        <v>3.2040999999999999</v>
      </c>
      <c r="BB140" s="3">
        <v>21.847008520333322</v>
      </c>
      <c r="BC140" t="s">
        <v>85</v>
      </c>
      <c r="BD140" t="s">
        <v>86</v>
      </c>
      <c r="BE140" s="4">
        <v>1</v>
      </c>
      <c r="BF140" t="s">
        <v>87</v>
      </c>
      <c r="BG140" s="4">
        <v>0</v>
      </c>
      <c r="BH140" s="1" t="e">
        <v>#NULL!</v>
      </c>
      <c r="BI140" t="s">
        <v>85</v>
      </c>
      <c r="BJ140" s="4">
        <v>1</v>
      </c>
      <c r="BK140" t="s">
        <v>88</v>
      </c>
    </row>
    <row r="141" spans="1:63" x14ac:dyDescent="0.35">
      <c r="A141" s="4">
        <v>117</v>
      </c>
      <c r="B141" s="4">
        <v>32</v>
      </c>
      <c r="C141" t="s">
        <v>114</v>
      </c>
      <c r="D141" t="s">
        <v>89</v>
      </c>
      <c r="E141" t="s">
        <v>104</v>
      </c>
      <c r="F141" t="s">
        <v>115</v>
      </c>
      <c r="G141" t="s">
        <v>67</v>
      </c>
      <c r="H141" s="2">
        <v>500</v>
      </c>
      <c r="I141" t="s">
        <v>68</v>
      </c>
      <c r="J141" t="s">
        <v>69</v>
      </c>
      <c r="K141" t="s">
        <v>69</v>
      </c>
      <c r="L141" t="s">
        <v>69</v>
      </c>
      <c r="M141" s="4">
        <v>1</v>
      </c>
      <c r="N141" t="s">
        <v>71</v>
      </c>
      <c r="O141" s="4">
        <v>4</v>
      </c>
      <c r="P141" t="s">
        <v>91</v>
      </c>
      <c r="Q141" s="4">
        <v>1</v>
      </c>
      <c r="R141" t="s">
        <v>71</v>
      </c>
      <c r="S141" s="4">
        <v>2</v>
      </c>
      <c r="T141" t="s">
        <v>71</v>
      </c>
      <c r="U141" t="s">
        <v>103</v>
      </c>
      <c r="V141" t="s">
        <v>93</v>
      </c>
      <c r="W141" t="s">
        <v>93</v>
      </c>
      <c r="X141" t="s">
        <v>94</v>
      </c>
      <c r="Y141" t="s">
        <v>69</v>
      </c>
      <c r="Z141" s="4">
        <v>4</v>
      </c>
      <c r="AA141" t="s">
        <v>77</v>
      </c>
      <c r="AB141" s="4">
        <v>112</v>
      </c>
      <c r="AC141" s="4">
        <v>95</v>
      </c>
      <c r="AD141" s="4">
        <v>52</v>
      </c>
      <c r="AE141" s="4">
        <v>169</v>
      </c>
      <c r="AF141" s="4">
        <v>73</v>
      </c>
      <c r="AG141" s="4">
        <v>96</v>
      </c>
      <c r="AH141" s="4">
        <v>98</v>
      </c>
      <c r="AI141" s="4">
        <v>60</v>
      </c>
      <c r="AJ141" s="4">
        <v>50</v>
      </c>
      <c r="AK141" t="s">
        <v>78</v>
      </c>
      <c r="AL141" t="s">
        <v>95</v>
      </c>
      <c r="AM141" t="s">
        <v>108</v>
      </c>
      <c r="AN141" t="s">
        <v>81</v>
      </c>
      <c r="AO141" t="s">
        <v>82</v>
      </c>
      <c r="AP141" t="s">
        <v>85</v>
      </c>
      <c r="AQ141" t="s">
        <v>85</v>
      </c>
      <c r="AR141" t="s">
        <v>85</v>
      </c>
      <c r="AS141" t="s">
        <v>84</v>
      </c>
      <c r="AT141" t="s">
        <v>85</v>
      </c>
      <c r="AU141" t="s">
        <v>85</v>
      </c>
      <c r="AV141" t="s">
        <v>85</v>
      </c>
      <c r="AW141" s="4">
        <v>1</v>
      </c>
      <c r="AX141" s="4">
        <v>0</v>
      </c>
      <c r="AY141" s="4">
        <v>0</v>
      </c>
      <c r="AZ141" s="3">
        <v>1.69</v>
      </c>
      <c r="BA141" s="3">
        <v>2.8560999999999996</v>
      </c>
      <c r="BB141" s="3">
        <v>18.206645425580341</v>
      </c>
      <c r="BC141" t="s">
        <v>100</v>
      </c>
      <c r="BD141" t="s">
        <v>86</v>
      </c>
      <c r="BE141" s="4">
        <v>1</v>
      </c>
      <c r="BF141" t="s">
        <v>87</v>
      </c>
      <c r="BG141" s="1" t="e">
        <v>#NULL!</v>
      </c>
      <c r="BH141" s="4">
        <v>0</v>
      </c>
      <c r="BI141" t="s">
        <v>85</v>
      </c>
      <c r="BJ141" s="4">
        <v>1</v>
      </c>
      <c r="BK141" t="s">
        <v>88</v>
      </c>
    </row>
    <row r="142" spans="1:63" x14ac:dyDescent="0.35">
      <c r="A142" s="4">
        <v>132</v>
      </c>
      <c r="B142" s="4">
        <v>32</v>
      </c>
      <c r="C142" t="s">
        <v>114</v>
      </c>
      <c r="D142" t="s">
        <v>89</v>
      </c>
      <c r="E142" t="s">
        <v>104</v>
      </c>
      <c r="F142" t="s">
        <v>101</v>
      </c>
      <c r="G142" t="s">
        <v>67</v>
      </c>
      <c r="H142" s="2">
        <v>300</v>
      </c>
      <c r="I142" t="s">
        <v>68</v>
      </c>
      <c r="J142" t="s">
        <v>69</v>
      </c>
      <c r="K142" t="s">
        <v>69</v>
      </c>
      <c r="L142" t="s">
        <v>69</v>
      </c>
      <c r="M142" s="4">
        <v>3</v>
      </c>
      <c r="N142" t="s">
        <v>91</v>
      </c>
      <c r="O142" s="4">
        <v>3</v>
      </c>
      <c r="P142" t="s">
        <v>91</v>
      </c>
      <c r="Q142" s="4">
        <v>4</v>
      </c>
      <c r="R142" t="s">
        <v>91</v>
      </c>
      <c r="S142" s="4">
        <v>4</v>
      </c>
      <c r="T142" t="s">
        <v>91</v>
      </c>
      <c r="U142" t="s">
        <v>92</v>
      </c>
      <c r="V142" t="s">
        <v>93</v>
      </c>
      <c r="W142" t="s">
        <v>74</v>
      </c>
      <c r="X142" t="s">
        <v>76</v>
      </c>
      <c r="Y142" t="s">
        <v>69</v>
      </c>
      <c r="Z142" s="4">
        <v>1</v>
      </c>
      <c r="AA142" t="s">
        <v>77</v>
      </c>
      <c r="AB142" s="4">
        <v>117</v>
      </c>
      <c r="AC142" s="4">
        <v>84</v>
      </c>
      <c r="AD142" s="4">
        <v>53</v>
      </c>
      <c r="AE142" s="4">
        <v>153</v>
      </c>
      <c r="AF142" s="4">
        <v>78</v>
      </c>
      <c r="AG142" s="4">
        <v>99</v>
      </c>
      <c r="AH142" s="4">
        <v>97</v>
      </c>
      <c r="AI142" s="4">
        <v>61</v>
      </c>
      <c r="AJ142" s="4">
        <v>39</v>
      </c>
      <c r="AK142" t="s">
        <v>78</v>
      </c>
      <c r="AL142" t="s">
        <v>95</v>
      </c>
      <c r="AM142" t="s">
        <v>80</v>
      </c>
      <c r="AN142" t="s">
        <v>96</v>
      </c>
      <c r="AO142" t="s">
        <v>97</v>
      </c>
      <c r="AP142" t="s">
        <v>83</v>
      </c>
      <c r="AQ142" t="s">
        <v>83</v>
      </c>
      <c r="AR142" t="s">
        <v>83</v>
      </c>
      <c r="AS142" t="s">
        <v>84</v>
      </c>
      <c r="AT142" t="s">
        <v>85</v>
      </c>
      <c r="AU142" t="s">
        <v>85</v>
      </c>
      <c r="AV142" t="s">
        <v>85</v>
      </c>
      <c r="AW142" s="4">
        <v>1</v>
      </c>
      <c r="AX142" s="4">
        <v>0</v>
      </c>
      <c r="AY142" s="4">
        <v>0</v>
      </c>
      <c r="AZ142" s="3">
        <v>1.53</v>
      </c>
      <c r="BA142" s="3">
        <v>2.3409</v>
      </c>
      <c r="BB142" s="3">
        <v>22.64086462471699</v>
      </c>
      <c r="BC142" t="s">
        <v>85</v>
      </c>
      <c r="BD142" t="s">
        <v>86</v>
      </c>
      <c r="BE142" s="4">
        <v>1</v>
      </c>
      <c r="BF142" t="s">
        <v>87</v>
      </c>
      <c r="BG142" s="1" t="e">
        <v>#NULL!</v>
      </c>
      <c r="BH142" s="4">
        <v>0</v>
      </c>
      <c r="BI142" t="s">
        <v>85</v>
      </c>
      <c r="BJ142" s="4">
        <v>1</v>
      </c>
      <c r="BK142" t="s">
        <v>88</v>
      </c>
    </row>
    <row r="143" spans="1:63" x14ac:dyDescent="0.35">
      <c r="A143" s="4">
        <v>145</v>
      </c>
      <c r="B143" s="4">
        <v>32</v>
      </c>
      <c r="C143" t="s">
        <v>114</v>
      </c>
      <c r="D143" t="s">
        <v>89</v>
      </c>
      <c r="E143" t="s">
        <v>104</v>
      </c>
      <c r="F143" t="s">
        <v>66</v>
      </c>
      <c r="G143" t="s">
        <v>67</v>
      </c>
      <c r="H143" s="2">
        <v>1200</v>
      </c>
      <c r="I143" t="s">
        <v>116</v>
      </c>
      <c r="J143" t="s">
        <v>69</v>
      </c>
      <c r="K143" t="s">
        <v>69</v>
      </c>
      <c r="L143" t="s">
        <v>69</v>
      </c>
      <c r="M143" s="4">
        <v>1</v>
      </c>
      <c r="N143" t="s">
        <v>71</v>
      </c>
      <c r="O143" s="4">
        <v>3</v>
      </c>
      <c r="P143" t="s">
        <v>91</v>
      </c>
      <c r="Q143" s="4">
        <v>1</v>
      </c>
      <c r="R143" t="s">
        <v>71</v>
      </c>
      <c r="S143" s="4">
        <v>2</v>
      </c>
      <c r="T143" t="s">
        <v>71</v>
      </c>
      <c r="U143" t="s">
        <v>92</v>
      </c>
      <c r="V143" t="s">
        <v>93</v>
      </c>
      <c r="W143" t="s">
        <v>74</v>
      </c>
      <c r="X143" t="s">
        <v>76</v>
      </c>
      <c r="Y143" t="s">
        <v>69</v>
      </c>
      <c r="Z143" s="4">
        <v>1</v>
      </c>
      <c r="AA143" t="s">
        <v>77</v>
      </c>
      <c r="AB143" s="4">
        <v>108</v>
      </c>
      <c r="AC143" s="4">
        <v>70</v>
      </c>
      <c r="AD143" s="4">
        <v>73</v>
      </c>
      <c r="AE143" s="4">
        <v>163</v>
      </c>
      <c r="AF143" s="4">
        <v>100</v>
      </c>
      <c r="AG143" s="4">
        <v>107</v>
      </c>
      <c r="AH143" s="4">
        <v>111</v>
      </c>
      <c r="AI143" s="4">
        <v>51</v>
      </c>
      <c r="AJ143" s="4">
        <v>53</v>
      </c>
      <c r="AK143" t="s">
        <v>78</v>
      </c>
      <c r="AL143" t="s">
        <v>95</v>
      </c>
      <c r="AM143" t="s">
        <v>80</v>
      </c>
      <c r="AN143" t="s">
        <v>96</v>
      </c>
      <c r="AO143" t="s">
        <v>97</v>
      </c>
      <c r="AP143" t="s">
        <v>85</v>
      </c>
      <c r="AQ143" t="s">
        <v>85</v>
      </c>
      <c r="AR143" t="s">
        <v>85</v>
      </c>
      <c r="AS143" t="s">
        <v>102</v>
      </c>
      <c r="AT143" t="s">
        <v>83</v>
      </c>
      <c r="AU143" t="s">
        <v>83</v>
      </c>
      <c r="AV143" t="s">
        <v>83</v>
      </c>
      <c r="AW143" s="4">
        <v>1</v>
      </c>
      <c r="AX143" s="4">
        <v>0</v>
      </c>
      <c r="AY143" s="4">
        <v>1</v>
      </c>
      <c r="AZ143" s="3">
        <v>1.63</v>
      </c>
      <c r="BA143" s="3">
        <v>2.6568999999999998</v>
      </c>
      <c r="BB143" s="3">
        <v>27.475629493018182</v>
      </c>
      <c r="BC143" t="s">
        <v>98</v>
      </c>
      <c r="BD143" t="s">
        <v>99</v>
      </c>
      <c r="BE143" s="4">
        <v>2</v>
      </c>
      <c r="BF143" t="s">
        <v>87</v>
      </c>
      <c r="BG143" s="1" t="e">
        <v>#NULL!</v>
      </c>
      <c r="BH143" s="4">
        <v>1</v>
      </c>
      <c r="BI143" t="s">
        <v>83</v>
      </c>
      <c r="BJ143" s="4">
        <v>2</v>
      </c>
      <c r="BK143" t="s">
        <v>88</v>
      </c>
    </row>
    <row r="144" spans="1:63" x14ac:dyDescent="0.35">
      <c r="A144" s="4">
        <v>158</v>
      </c>
      <c r="B144" s="4">
        <v>32</v>
      </c>
      <c r="C144" t="s">
        <v>114</v>
      </c>
      <c r="D144" t="s">
        <v>89</v>
      </c>
      <c r="E144" t="s">
        <v>104</v>
      </c>
      <c r="F144" t="s">
        <v>101</v>
      </c>
      <c r="G144" t="s">
        <v>67</v>
      </c>
      <c r="H144" s="2">
        <v>720</v>
      </c>
      <c r="I144" t="s">
        <v>105</v>
      </c>
      <c r="J144" t="s">
        <v>69</v>
      </c>
      <c r="K144" t="s">
        <v>69</v>
      </c>
      <c r="L144" t="s">
        <v>69</v>
      </c>
      <c r="M144" s="4">
        <v>4</v>
      </c>
      <c r="N144" t="s">
        <v>91</v>
      </c>
      <c r="O144" s="4">
        <v>4</v>
      </c>
      <c r="P144" t="s">
        <v>91</v>
      </c>
      <c r="Q144" s="4">
        <v>4</v>
      </c>
      <c r="R144" t="s">
        <v>91</v>
      </c>
      <c r="S144" s="4">
        <v>4</v>
      </c>
      <c r="T144" t="s">
        <v>91</v>
      </c>
      <c r="U144" t="s">
        <v>73</v>
      </c>
      <c r="V144" t="s">
        <v>93</v>
      </c>
      <c r="W144" t="s">
        <v>93</v>
      </c>
      <c r="X144" t="s">
        <v>94</v>
      </c>
      <c r="Y144" t="s">
        <v>69</v>
      </c>
      <c r="Z144" s="4">
        <v>4</v>
      </c>
      <c r="AA144" t="s">
        <v>77</v>
      </c>
      <c r="AB144" s="4">
        <v>97</v>
      </c>
      <c r="AC144" s="4">
        <v>53</v>
      </c>
      <c r="AD144" s="4">
        <v>40</v>
      </c>
      <c r="AE144" s="4">
        <v>157</v>
      </c>
      <c r="AF144" s="4">
        <v>62</v>
      </c>
      <c r="AG144" s="4">
        <v>87</v>
      </c>
      <c r="AH144" s="4">
        <v>92</v>
      </c>
      <c r="AI144" s="4">
        <v>35</v>
      </c>
      <c r="AJ144" s="4">
        <v>61</v>
      </c>
      <c r="AK144" t="s">
        <v>78</v>
      </c>
      <c r="AL144" t="s">
        <v>95</v>
      </c>
      <c r="AM144" t="s">
        <v>80</v>
      </c>
      <c r="AN144" t="s">
        <v>96</v>
      </c>
      <c r="AO144" t="s">
        <v>97</v>
      </c>
      <c r="AP144" t="s">
        <v>85</v>
      </c>
      <c r="AQ144" t="s">
        <v>85</v>
      </c>
      <c r="AR144" t="s">
        <v>85</v>
      </c>
      <c r="AS144" t="s">
        <v>84</v>
      </c>
      <c r="AT144" t="s">
        <v>85</v>
      </c>
      <c r="AU144" t="s">
        <v>85</v>
      </c>
      <c r="AV144" t="s">
        <v>85</v>
      </c>
      <c r="AW144" s="4">
        <v>0</v>
      </c>
      <c r="AX144" s="4">
        <v>0</v>
      </c>
      <c r="AY144" s="4">
        <v>0</v>
      </c>
      <c r="AZ144" s="3">
        <v>1.57</v>
      </c>
      <c r="BA144" s="3">
        <v>2.4649000000000001</v>
      </c>
      <c r="BB144" s="3">
        <v>16.227838857560144</v>
      </c>
      <c r="BC144" t="s">
        <v>100</v>
      </c>
      <c r="BD144" t="s">
        <v>86</v>
      </c>
      <c r="BE144" s="4">
        <v>0</v>
      </c>
      <c r="BF144" t="s">
        <v>87</v>
      </c>
      <c r="BG144" s="1" t="e">
        <v>#NULL!</v>
      </c>
      <c r="BH144" s="4">
        <v>0</v>
      </c>
      <c r="BI144" t="s">
        <v>85</v>
      </c>
      <c r="BJ144" s="4">
        <v>0</v>
      </c>
      <c r="BK144" t="s">
        <v>88</v>
      </c>
    </row>
    <row r="145" spans="1:63" x14ac:dyDescent="0.35">
      <c r="A145" s="4">
        <v>168</v>
      </c>
      <c r="B145" s="4">
        <v>32</v>
      </c>
      <c r="C145" t="s">
        <v>114</v>
      </c>
      <c r="D145" t="s">
        <v>89</v>
      </c>
      <c r="E145" t="s">
        <v>104</v>
      </c>
      <c r="F145" t="s">
        <v>90</v>
      </c>
      <c r="G145" t="s">
        <v>67</v>
      </c>
      <c r="H145" s="2">
        <v>1500</v>
      </c>
      <c r="I145" t="s">
        <v>116</v>
      </c>
      <c r="J145" t="s">
        <v>69</v>
      </c>
      <c r="K145" t="s">
        <v>69</v>
      </c>
      <c r="L145" t="s">
        <v>69</v>
      </c>
      <c r="M145" s="4">
        <v>5</v>
      </c>
      <c r="N145" t="s">
        <v>72</v>
      </c>
      <c r="O145" s="4">
        <v>5</v>
      </c>
      <c r="P145" t="s">
        <v>72</v>
      </c>
      <c r="Q145" s="4">
        <v>2</v>
      </c>
      <c r="R145" t="s">
        <v>71</v>
      </c>
      <c r="S145" s="4">
        <v>1</v>
      </c>
      <c r="T145" t="s">
        <v>71</v>
      </c>
      <c r="U145" t="s">
        <v>92</v>
      </c>
      <c r="V145" t="s">
        <v>93</v>
      </c>
      <c r="W145" t="s">
        <v>93</v>
      </c>
      <c r="X145" t="s">
        <v>94</v>
      </c>
      <c r="Y145" t="s">
        <v>69</v>
      </c>
      <c r="Z145" s="4">
        <v>3</v>
      </c>
      <c r="AA145" t="s">
        <v>77</v>
      </c>
      <c r="AB145" s="4">
        <v>122</v>
      </c>
      <c r="AC145" s="4">
        <v>84</v>
      </c>
      <c r="AD145" s="4">
        <v>94</v>
      </c>
      <c r="AE145" s="4">
        <v>178</v>
      </c>
      <c r="AF145" s="4">
        <v>110</v>
      </c>
      <c r="AG145" s="4">
        <v>135</v>
      </c>
      <c r="AH145" s="4">
        <v>82</v>
      </c>
      <c r="AI145" s="4">
        <v>64</v>
      </c>
      <c r="AJ145" s="4">
        <v>54</v>
      </c>
      <c r="AK145" t="s">
        <v>78</v>
      </c>
      <c r="AL145" t="s">
        <v>95</v>
      </c>
      <c r="AM145" t="s">
        <v>80</v>
      </c>
      <c r="AN145" t="s">
        <v>96</v>
      </c>
      <c r="AO145" t="s">
        <v>97</v>
      </c>
      <c r="AP145" t="s">
        <v>85</v>
      </c>
      <c r="AQ145" t="s">
        <v>85</v>
      </c>
      <c r="AR145" t="s">
        <v>85</v>
      </c>
      <c r="AS145" t="s">
        <v>84</v>
      </c>
      <c r="AT145" t="s">
        <v>83</v>
      </c>
      <c r="AU145" t="s">
        <v>83</v>
      </c>
      <c r="AV145" t="s">
        <v>83</v>
      </c>
      <c r="AW145" s="4">
        <v>0</v>
      </c>
      <c r="AX145" s="4">
        <v>0</v>
      </c>
      <c r="AY145" s="4">
        <v>1</v>
      </c>
      <c r="AZ145" s="3">
        <v>1.78</v>
      </c>
      <c r="BA145" s="3">
        <v>3.1684000000000001</v>
      </c>
      <c r="BB145" s="3">
        <v>29.667971215755585</v>
      </c>
      <c r="BC145" t="s">
        <v>98</v>
      </c>
      <c r="BD145" t="s">
        <v>99</v>
      </c>
      <c r="BE145" s="4">
        <v>1</v>
      </c>
      <c r="BF145" t="s">
        <v>87</v>
      </c>
      <c r="BG145" s="1" t="e">
        <v>#NULL!</v>
      </c>
      <c r="BH145" s="4">
        <v>1</v>
      </c>
      <c r="BI145" t="s">
        <v>83</v>
      </c>
      <c r="BJ145" s="4">
        <v>1</v>
      </c>
      <c r="BK145" t="s">
        <v>88</v>
      </c>
    </row>
    <row r="146" spans="1:63" x14ac:dyDescent="0.35">
      <c r="A146" s="4">
        <v>222</v>
      </c>
      <c r="B146" s="4">
        <v>32</v>
      </c>
      <c r="C146" t="s">
        <v>114</v>
      </c>
      <c r="D146" t="s">
        <v>64</v>
      </c>
      <c r="E146" t="s">
        <v>104</v>
      </c>
      <c r="F146" t="s">
        <v>101</v>
      </c>
      <c r="G146" t="s">
        <v>67</v>
      </c>
      <c r="H146" s="2">
        <v>700</v>
      </c>
      <c r="I146" t="s">
        <v>105</v>
      </c>
      <c r="J146" t="s">
        <v>69</v>
      </c>
      <c r="K146" t="s">
        <v>69</v>
      </c>
      <c r="L146" t="s">
        <v>69</v>
      </c>
      <c r="M146" s="4">
        <v>2</v>
      </c>
      <c r="N146" t="s">
        <v>71</v>
      </c>
      <c r="O146" s="4">
        <v>2</v>
      </c>
      <c r="P146" t="s">
        <v>71</v>
      </c>
      <c r="Q146" s="4">
        <v>2</v>
      </c>
      <c r="R146" t="s">
        <v>71</v>
      </c>
      <c r="S146" s="4">
        <v>1</v>
      </c>
      <c r="T146" t="s">
        <v>71</v>
      </c>
      <c r="U146" t="s">
        <v>92</v>
      </c>
      <c r="V146" t="s">
        <v>93</v>
      </c>
      <c r="W146" t="s">
        <v>93</v>
      </c>
      <c r="X146" t="s">
        <v>94</v>
      </c>
      <c r="Y146" t="s">
        <v>69</v>
      </c>
      <c r="Z146" s="4">
        <v>3</v>
      </c>
      <c r="AA146" t="s">
        <v>77</v>
      </c>
      <c r="AB146" s="4">
        <v>98</v>
      </c>
      <c r="AC146" s="4">
        <v>60</v>
      </c>
      <c r="AD146" s="4">
        <v>76</v>
      </c>
      <c r="AE146" s="4">
        <v>168</v>
      </c>
      <c r="AF146" s="4">
        <v>90</v>
      </c>
      <c r="AG146" s="4">
        <v>100</v>
      </c>
      <c r="AH146" s="4">
        <v>88</v>
      </c>
      <c r="AI146" s="4">
        <v>128</v>
      </c>
      <c r="AJ146" s="4">
        <v>38</v>
      </c>
      <c r="AK146" t="s">
        <v>78</v>
      </c>
      <c r="AL146" t="s">
        <v>95</v>
      </c>
      <c r="AM146" t="s">
        <v>80</v>
      </c>
      <c r="AN146" t="s">
        <v>96</v>
      </c>
      <c r="AO146" t="s">
        <v>97</v>
      </c>
      <c r="AP146" t="s">
        <v>83</v>
      </c>
      <c r="AQ146" t="s">
        <v>83</v>
      </c>
      <c r="AR146" t="s">
        <v>83</v>
      </c>
      <c r="AS146" t="s">
        <v>84</v>
      </c>
      <c r="AT146" t="s">
        <v>85</v>
      </c>
      <c r="AU146" t="s">
        <v>83</v>
      </c>
      <c r="AV146" t="s">
        <v>85</v>
      </c>
      <c r="AW146" s="4">
        <v>1</v>
      </c>
      <c r="AX146" s="4">
        <v>0</v>
      </c>
      <c r="AY146" s="4">
        <v>0</v>
      </c>
      <c r="AZ146" s="3">
        <v>1.68</v>
      </c>
      <c r="BA146" s="3">
        <v>2.8223999999999996</v>
      </c>
      <c r="BB146" s="3">
        <v>26.927437641723358</v>
      </c>
      <c r="BC146" t="s">
        <v>98</v>
      </c>
      <c r="BD146" t="s">
        <v>99</v>
      </c>
      <c r="BE146" s="4">
        <v>1</v>
      </c>
      <c r="BF146" t="s">
        <v>87</v>
      </c>
      <c r="BG146" s="4">
        <v>0</v>
      </c>
      <c r="BH146" s="1" t="e">
        <v>#NULL!</v>
      </c>
      <c r="BI146" t="s">
        <v>85</v>
      </c>
      <c r="BJ146" s="4">
        <v>1</v>
      </c>
      <c r="BK146" t="s">
        <v>88</v>
      </c>
    </row>
    <row r="147" spans="1:63" x14ac:dyDescent="0.35">
      <c r="A147" s="4">
        <v>234</v>
      </c>
      <c r="B147" s="4">
        <v>32</v>
      </c>
      <c r="C147" t="s">
        <v>114</v>
      </c>
      <c r="D147" t="s">
        <v>64</v>
      </c>
      <c r="E147" t="s">
        <v>104</v>
      </c>
      <c r="F147" t="s">
        <v>115</v>
      </c>
      <c r="G147" t="s">
        <v>67</v>
      </c>
      <c r="H147" s="2">
        <v>400</v>
      </c>
      <c r="I147" t="s">
        <v>68</v>
      </c>
      <c r="J147" t="s">
        <v>69</v>
      </c>
      <c r="K147" t="s">
        <v>69</v>
      </c>
      <c r="L147" t="s">
        <v>69</v>
      </c>
      <c r="M147" s="4">
        <v>3</v>
      </c>
      <c r="N147" t="s">
        <v>91</v>
      </c>
      <c r="O147" s="4">
        <v>2</v>
      </c>
      <c r="P147" t="s">
        <v>71</v>
      </c>
      <c r="Q147" s="4">
        <v>3</v>
      </c>
      <c r="R147" t="s">
        <v>91</v>
      </c>
      <c r="S147" s="4">
        <v>1</v>
      </c>
      <c r="T147" t="s">
        <v>71</v>
      </c>
      <c r="U147" t="s">
        <v>92</v>
      </c>
      <c r="V147" t="s">
        <v>93</v>
      </c>
      <c r="W147" t="s">
        <v>93</v>
      </c>
      <c r="X147" t="s">
        <v>94</v>
      </c>
      <c r="Y147" t="s">
        <v>69</v>
      </c>
      <c r="Z147" s="4">
        <v>4</v>
      </c>
      <c r="AA147" t="s">
        <v>77</v>
      </c>
      <c r="AB147" s="4">
        <v>120</v>
      </c>
      <c r="AC147" s="4">
        <v>78</v>
      </c>
      <c r="AD147" s="4">
        <v>86</v>
      </c>
      <c r="AE147" s="4">
        <v>174</v>
      </c>
      <c r="AF147" s="4">
        <v>91</v>
      </c>
      <c r="AG147" s="4">
        <v>100</v>
      </c>
      <c r="AH147" s="4">
        <v>96</v>
      </c>
      <c r="AI147" s="4">
        <v>130</v>
      </c>
      <c r="AJ147" s="4">
        <v>58</v>
      </c>
      <c r="AK147" t="s">
        <v>78</v>
      </c>
      <c r="AL147" t="s">
        <v>95</v>
      </c>
      <c r="AM147" t="s">
        <v>80</v>
      </c>
      <c r="AN147" t="s">
        <v>96</v>
      </c>
      <c r="AO147" t="s">
        <v>97</v>
      </c>
      <c r="AP147" t="s">
        <v>85</v>
      </c>
      <c r="AQ147" t="s">
        <v>85</v>
      </c>
      <c r="AR147" t="s">
        <v>85</v>
      </c>
      <c r="AS147" t="s">
        <v>84</v>
      </c>
      <c r="AT147" t="s">
        <v>85</v>
      </c>
      <c r="AU147" t="s">
        <v>83</v>
      </c>
      <c r="AV147" t="s">
        <v>85</v>
      </c>
      <c r="AW147" s="4">
        <v>0</v>
      </c>
      <c r="AX147" s="4">
        <v>0</v>
      </c>
      <c r="AY147" s="4">
        <v>0</v>
      </c>
      <c r="AZ147" s="3">
        <v>1.74</v>
      </c>
      <c r="BA147" s="3">
        <v>3.0276000000000001</v>
      </c>
      <c r="BB147" s="3">
        <v>28.405337561104506</v>
      </c>
      <c r="BC147" t="s">
        <v>98</v>
      </c>
      <c r="BD147" t="s">
        <v>99</v>
      </c>
      <c r="BE147" s="4">
        <v>0</v>
      </c>
      <c r="BF147" t="s">
        <v>87</v>
      </c>
      <c r="BG147" s="4">
        <v>0</v>
      </c>
      <c r="BH147" s="1" t="e">
        <v>#NULL!</v>
      </c>
      <c r="BI147" t="s">
        <v>85</v>
      </c>
      <c r="BJ147" s="4">
        <v>0</v>
      </c>
      <c r="BK147" t="s">
        <v>88</v>
      </c>
    </row>
    <row r="148" spans="1:63" x14ac:dyDescent="0.35">
      <c r="A148" s="4">
        <v>291</v>
      </c>
      <c r="B148" s="4">
        <v>32</v>
      </c>
      <c r="C148" t="s">
        <v>114</v>
      </c>
      <c r="D148" t="s">
        <v>89</v>
      </c>
      <c r="E148" t="s">
        <v>104</v>
      </c>
      <c r="F148" t="s">
        <v>101</v>
      </c>
      <c r="G148" t="s">
        <v>67</v>
      </c>
      <c r="H148" s="2">
        <v>900</v>
      </c>
      <c r="I148" t="s">
        <v>105</v>
      </c>
      <c r="J148" t="s">
        <v>69</v>
      </c>
      <c r="K148" t="s">
        <v>69</v>
      </c>
      <c r="L148" t="s">
        <v>69</v>
      </c>
      <c r="M148" s="4">
        <v>7</v>
      </c>
      <c r="N148" t="s">
        <v>72</v>
      </c>
      <c r="O148" s="4">
        <v>7</v>
      </c>
      <c r="P148" t="s">
        <v>72</v>
      </c>
      <c r="Q148" s="4">
        <v>7</v>
      </c>
      <c r="R148" t="s">
        <v>72</v>
      </c>
      <c r="S148" s="4">
        <v>7</v>
      </c>
      <c r="T148" t="s">
        <v>72</v>
      </c>
      <c r="U148" t="s">
        <v>73</v>
      </c>
      <c r="V148" t="s">
        <v>93</v>
      </c>
      <c r="W148" t="s">
        <v>93</v>
      </c>
      <c r="X148" t="s">
        <v>94</v>
      </c>
      <c r="Y148" t="s">
        <v>69</v>
      </c>
      <c r="Z148" s="4">
        <v>2</v>
      </c>
      <c r="AA148" t="s">
        <v>77</v>
      </c>
      <c r="AB148" s="4">
        <v>127</v>
      </c>
      <c r="AC148" s="4">
        <v>84</v>
      </c>
      <c r="AD148" s="4">
        <v>83</v>
      </c>
      <c r="AE148" s="4">
        <v>175</v>
      </c>
      <c r="AF148" s="4">
        <v>76</v>
      </c>
      <c r="AG148" s="4">
        <v>117</v>
      </c>
      <c r="AH148" s="4">
        <v>108</v>
      </c>
      <c r="AI148" s="4">
        <v>56</v>
      </c>
      <c r="AJ148" s="4">
        <v>43</v>
      </c>
      <c r="AK148" t="s">
        <v>78</v>
      </c>
      <c r="AL148" t="s">
        <v>95</v>
      </c>
      <c r="AM148" t="s">
        <v>80</v>
      </c>
      <c r="AN148" t="s">
        <v>96</v>
      </c>
      <c r="AO148" t="s">
        <v>97</v>
      </c>
      <c r="AP148" t="s">
        <v>83</v>
      </c>
      <c r="AQ148" t="s">
        <v>85</v>
      </c>
      <c r="AR148" t="s">
        <v>83</v>
      </c>
      <c r="AS148" t="s">
        <v>102</v>
      </c>
      <c r="AT148" t="s">
        <v>85</v>
      </c>
      <c r="AU148" t="s">
        <v>85</v>
      </c>
      <c r="AV148" t="s">
        <v>85</v>
      </c>
      <c r="AW148" s="4">
        <v>2</v>
      </c>
      <c r="AX148" s="4">
        <v>1</v>
      </c>
      <c r="AY148" s="4">
        <v>1</v>
      </c>
      <c r="AZ148" s="3">
        <v>1.75</v>
      </c>
      <c r="BA148" s="3">
        <v>3.0625</v>
      </c>
      <c r="BB148" s="3">
        <v>27.102040816326532</v>
      </c>
      <c r="BC148" t="s">
        <v>98</v>
      </c>
      <c r="BD148" t="s">
        <v>99</v>
      </c>
      <c r="BE148" s="4">
        <v>2</v>
      </c>
      <c r="BF148" t="s">
        <v>87</v>
      </c>
      <c r="BG148" s="1" t="e">
        <v>#NULL!</v>
      </c>
      <c r="BH148" s="4">
        <v>0</v>
      </c>
      <c r="BI148" t="s">
        <v>85</v>
      </c>
      <c r="BJ148" s="4">
        <v>2</v>
      </c>
      <c r="BK148" t="s">
        <v>88</v>
      </c>
    </row>
    <row r="149" spans="1:63" x14ac:dyDescent="0.35">
      <c r="A149" s="4">
        <v>385</v>
      </c>
      <c r="B149" s="4">
        <v>32</v>
      </c>
      <c r="C149" t="s">
        <v>114</v>
      </c>
      <c r="D149" t="s">
        <v>89</v>
      </c>
      <c r="E149" t="s">
        <v>104</v>
      </c>
      <c r="F149" t="s">
        <v>66</v>
      </c>
      <c r="G149" t="s">
        <v>67</v>
      </c>
      <c r="H149" s="2">
        <v>100</v>
      </c>
      <c r="I149" t="s">
        <v>68</v>
      </c>
      <c r="J149" t="s">
        <v>69</v>
      </c>
      <c r="K149" t="s">
        <v>69</v>
      </c>
      <c r="L149" t="s">
        <v>69</v>
      </c>
      <c r="M149" s="4">
        <v>1</v>
      </c>
      <c r="N149" t="s">
        <v>71</v>
      </c>
      <c r="O149" s="4">
        <v>2</v>
      </c>
      <c r="P149" t="s">
        <v>71</v>
      </c>
      <c r="Q149" s="4">
        <v>2</v>
      </c>
      <c r="R149" t="s">
        <v>71</v>
      </c>
      <c r="S149" s="4">
        <v>1</v>
      </c>
      <c r="T149" t="s">
        <v>71</v>
      </c>
      <c r="U149" t="s">
        <v>73</v>
      </c>
      <c r="V149" t="s">
        <v>93</v>
      </c>
      <c r="W149" t="s">
        <v>93</v>
      </c>
      <c r="X149" t="s">
        <v>94</v>
      </c>
      <c r="Y149" t="s">
        <v>69</v>
      </c>
      <c r="Z149" s="4">
        <v>1</v>
      </c>
      <c r="AA149" t="s">
        <v>77</v>
      </c>
      <c r="AB149" s="4">
        <v>87</v>
      </c>
      <c r="AC149" s="4">
        <v>59</v>
      </c>
      <c r="AD149" s="4">
        <v>40</v>
      </c>
      <c r="AE149" s="4">
        <v>159</v>
      </c>
      <c r="AF149" s="4">
        <v>72</v>
      </c>
      <c r="AG149" s="4">
        <v>86</v>
      </c>
      <c r="AH149" s="4">
        <v>98</v>
      </c>
      <c r="AI149" s="4">
        <v>68</v>
      </c>
      <c r="AJ149" s="4">
        <v>40</v>
      </c>
      <c r="AK149" t="s">
        <v>78</v>
      </c>
      <c r="AL149" t="s">
        <v>95</v>
      </c>
      <c r="AM149" t="s">
        <v>80</v>
      </c>
      <c r="AN149" t="s">
        <v>96</v>
      </c>
      <c r="AO149" t="s">
        <v>97</v>
      </c>
      <c r="AP149" t="s">
        <v>83</v>
      </c>
      <c r="AQ149" t="s">
        <v>85</v>
      </c>
      <c r="AR149" t="s">
        <v>83</v>
      </c>
      <c r="AS149" t="s">
        <v>84</v>
      </c>
      <c r="AT149" t="s">
        <v>85</v>
      </c>
      <c r="AU149" t="s">
        <v>85</v>
      </c>
      <c r="AV149" t="s">
        <v>85</v>
      </c>
      <c r="AW149" s="4">
        <v>1</v>
      </c>
      <c r="AX149" s="4">
        <v>0</v>
      </c>
      <c r="AY149" s="4">
        <v>0</v>
      </c>
      <c r="AZ149" s="3">
        <v>1.59</v>
      </c>
      <c r="BA149" s="3">
        <v>2.5281000000000002</v>
      </c>
      <c r="BB149" s="3">
        <v>15.822158933586486</v>
      </c>
      <c r="BC149" t="s">
        <v>100</v>
      </c>
      <c r="BD149" t="s">
        <v>86</v>
      </c>
      <c r="BE149" s="4">
        <v>1</v>
      </c>
      <c r="BF149" t="s">
        <v>87</v>
      </c>
      <c r="BG149" s="1" t="e">
        <v>#NULL!</v>
      </c>
      <c r="BH149" s="4">
        <v>0</v>
      </c>
      <c r="BI149" t="s">
        <v>85</v>
      </c>
      <c r="BJ149" s="4">
        <v>1</v>
      </c>
      <c r="BK149" t="s">
        <v>88</v>
      </c>
    </row>
    <row r="150" spans="1:63" x14ac:dyDescent="0.35">
      <c r="A150" s="4">
        <v>400</v>
      </c>
      <c r="B150" s="4">
        <v>32</v>
      </c>
      <c r="C150" t="s">
        <v>114</v>
      </c>
      <c r="D150" t="s">
        <v>89</v>
      </c>
      <c r="E150" t="s">
        <v>104</v>
      </c>
      <c r="F150" t="s">
        <v>101</v>
      </c>
      <c r="G150" t="s">
        <v>67</v>
      </c>
      <c r="H150" s="2">
        <v>800</v>
      </c>
      <c r="I150" t="s">
        <v>105</v>
      </c>
      <c r="J150" t="s">
        <v>69</v>
      </c>
      <c r="K150" t="s">
        <v>69</v>
      </c>
      <c r="L150" t="s">
        <v>69</v>
      </c>
      <c r="M150" s="4">
        <v>2</v>
      </c>
      <c r="N150" t="s">
        <v>71</v>
      </c>
      <c r="O150" s="4">
        <v>4</v>
      </c>
      <c r="P150" t="s">
        <v>91</v>
      </c>
      <c r="Q150" s="4">
        <v>3</v>
      </c>
      <c r="R150" t="s">
        <v>91</v>
      </c>
      <c r="S150" s="4">
        <v>3</v>
      </c>
      <c r="T150" t="s">
        <v>91</v>
      </c>
      <c r="U150" t="s">
        <v>103</v>
      </c>
      <c r="V150" t="s">
        <v>93</v>
      </c>
      <c r="W150" t="s">
        <v>93</v>
      </c>
      <c r="X150" t="s">
        <v>94</v>
      </c>
      <c r="Y150" t="s">
        <v>69</v>
      </c>
      <c r="Z150" s="4">
        <v>6</v>
      </c>
      <c r="AA150" t="s">
        <v>77</v>
      </c>
      <c r="AB150" s="4">
        <v>125</v>
      </c>
      <c r="AC150" s="4">
        <v>91</v>
      </c>
      <c r="AD150" s="4">
        <v>64</v>
      </c>
      <c r="AE150" s="4">
        <v>161</v>
      </c>
      <c r="AF150" s="4">
        <v>92</v>
      </c>
      <c r="AG150" s="4">
        <v>110</v>
      </c>
      <c r="AH150" s="4">
        <v>91</v>
      </c>
      <c r="AI150" s="4">
        <v>95</v>
      </c>
      <c r="AJ150" s="4">
        <v>38</v>
      </c>
      <c r="AK150" t="s">
        <v>78</v>
      </c>
      <c r="AL150" t="s">
        <v>95</v>
      </c>
      <c r="AM150" t="s">
        <v>108</v>
      </c>
      <c r="AN150" t="s">
        <v>81</v>
      </c>
      <c r="AO150" t="s">
        <v>82</v>
      </c>
      <c r="AP150" t="s">
        <v>83</v>
      </c>
      <c r="AQ150" t="s">
        <v>83</v>
      </c>
      <c r="AR150" t="s">
        <v>83</v>
      </c>
      <c r="AS150" t="s">
        <v>84</v>
      </c>
      <c r="AT150" t="s">
        <v>85</v>
      </c>
      <c r="AU150" t="s">
        <v>83</v>
      </c>
      <c r="AV150" t="s">
        <v>83</v>
      </c>
      <c r="AW150" s="4">
        <v>2</v>
      </c>
      <c r="AX150" s="4">
        <v>1</v>
      </c>
      <c r="AY150" s="4">
        <v>2</v>
      </c>
      <c r="AZ150" s="3">
        <v>1.61</v>
      </c>
      <c r="BA150" s="3">
        <v>2.5921000000000003</v>
      </c>
      <c r="BB150" s="3">
        <v>24.690405462752206</v>
      </c>
      <c r="BC150" t="s">
        <v>85</v>
      </c>
      <c r="BD150" t="s">
        <v>86</v>
      </c>
      <c r="BE150" s="4">
        <v>3</v>
      </c>
      <c r="BF150" t="s">
        <v>111</v>
      </c>
      <c r="BG150" s="1" t="e">
        <v>#NULL!</v>
      </c>
      <c r="BH150" s="4">
        <v>1</v>
      </c>
      <c r="BI150" t="s">
        <v>83</v>
      </c>
      <c r="BJ150" s="4">
        <v>3</v>
      </c>
      <c r="BK150" t="s">
        <v>112</v>
      </c>
    </row>
    <row r="151" spans="1:63" x14ac:dyDescent="0.35">
      <c r="A151" s="4">
        <v>466</v>
      </c>
      <c r="B151" s="4">
        <v>32</v>
      </c>
      <c r="C151" t="s">
        <v>114</v>
      </c>
      <c r="D151" t="s">
        <v>64</v>
      </c>
      <c r="E151" t="s">
        <v>104</v>
      </c>
      <c r="F151" t="s">
        <v>101</v>
      </c>
      <c r="G151" t="s">
        <v>67</v>
      </c>
      <c r="H151" s="2">
        <v>400</v>
      </c>
      <c r="I151" t="s">
        <v>68</v>
      </c>
      <c r="J151" t="s">
        <v>69</v>
      </c>
      <c r="K151" t="s">
        <v>70</v>
      </c>
      <c r="L151" t="s">
        <v>69</v>
      </c>
      <c r="M151" s="4">
        <v>2</v>
      </c>
      <c r="N151" t="s">
        <v>71</v>
      </c>
      <c r="O151" s="4">
        <v>2</v>
      </c>
      <c r="P151" t="s">
        <v>71</v>
      </c>
      <c r="Q151" s="4">
        <v>2</v>
      </c>
      <c r="R151" t="s">
        <v>71</v>
      </c>
      <c r="S151" s="4">
        <v>1</v>
      </c>
      <c r="T151" t="s">
        <v>71</v>
      </c>
      <c r="U151" t="s">
        <v>92</v>
      </c>
      <c r="V151" t="s">
        <v>93</v>
      </c>
      <c r="W151" t="s">
        <v>93</v>
      </c>
      <c r="X151" t="s">
        <v>94</v>
      </c>
      <c r="Y151" t="s">
        <v>69</v>
      </c>
      <c r="Z151" s="4">
        <v>3</v>
      </c>
      <c r="AA151" t="s">
        <v>77</v>
      </c>
      <c r="AB151" s="4">
        <v>100</v>
      </c>
      <c r="AC151" s="4">
        <v>68</v>
      </c>
      <c r="AD151" s="4">
        <v>68</v>
      </c>
      <c r="AE151" s="4">
        <v>173</v>
      </c>
      <c r="AF151" s="4">
        <v>86</v>
      </c>
      <c r="AG151" s="4">
        <v>98</v>
      </c>
      <c r="AH151" s="4">
        <v>88</v>
      </c>
      <c r="AI151" s="4">
        <v>120</v>
      </c>
      <c r="AJ151" s="4">
        <v>65</v>
      </c>
      <c r="AK151" t="s">
        <v>78</v>
      </c>
      <c r="AL151" t="s">
        <v>95</v>
      </c>
      <c r="AM151" t="s">
        <v>80</v>
      </c>
      <c r="AN151" t="s">
        <v>96</v>
      </c>
      <c r="AO151" t="s">
        <v>97</v>
      </c>
      <c r="AP151" t="s">
        <v>85</v>
      </c>
      <c r="AQ151" t="s">
        <v>85</v>
      </c>
      <c r="AR151" t="s">
        <v>85</v>
      </c>
      <c r="AS151" t="s">
        <v>84</v>
      </c>
      <c r="AT151" t="s">
        <v>85</v>
      </c>
      <c r="AU151" t="s">
        <v>83</v>
      </c>
      <c r="AV151" t="s">
        <v>85</v>
      </c>
      <c r="AW151" s="4">
        <v>0</v>
      </c>
      <c r="AX151" s="4">
        <v>0</v>
      </c>
      <c r="AY151" s="4">
        <v>0</v>
      </c>
      <c r="AZ151" s="3">
        <v>1.73</v>
      </c>
      <c r="BA151" s="3">
        <v>2.9929000000000001</v>
      </c>
      <c r="BB151" s="3">
        <v>22.720438370810918</v>
      </c>
      <c r="BC151" t="s">
        <v>85</v>
      </c>
      <c r="BD151" t="s">
        <v>86</v>
      </c>
      <c r="BE151" s="4">
        <v>0</v>
      </c>
      <c r="BF151" t="s">
        <v>87</v>
      </c>
      <c r="BG151" s="4">
        <v>0</v>
      </c>
      <c r="BH151" s="1" t="e">
        <v>#NULL!</v>
      </c>
      <c r="BI151" t="s">
        <v>85</v>
      </c>
      <c r="BJ151" s="4">
        <v>0</v>
      </c>
      <c r="BK151" t="s">
        <v>88</v>
      </c>
    </row>
    <row r="152" spans="1:63" x14ac:dyDescent="0.35">
      <c r="A152" s="4">
        <v>283</v>
      </c>
      <c r="B152" s="4">
        <v>33</v>
      </c>
      <c r="C152" t="s">
        <v>114</v>
      </c>
      <c r="D152" t="s">
        <v>64</v>
      </c>
      <c r="E152" t="s">
        <v>65</v>
      </c>
      <c r="F152" t="s">
        <v>90</v>
      </c>
      <c r="G152" t="s">
        <v>67</v>
      </c>
      <c r="H152" s="2">
        <v>300</v>
      </c>
      <c r="I152" t="s">
        <v>68</v>
      </c>
      <c r="J152" t="s">
        <v>69</v>
      </c>
      <c r="K152" t="s">
        <v>69</v>
      </c>
      <c r="L152" t="s">
        <v>69</v>
      </c>
      <c r="M152" s="4">
        <v>3</v>
      </c>
      <c r="N152" t="s">
        <v>91</v>
      </c>
      <c r="O152" s="4">
        <v>5</v>
      </c>
      <c r="P152" t="s">
        <v>72</v>
      </c>
      <c r="Q152" s="4">
        <v>1</v>
      </c>
      <c r="R152" t="s">
        <v>71</v>
      </c>
      <c r="S152" s="4">
        <v>1</v>
      </c>
      <c r="T152" t="s">
        <v>71</v>
      </c>
      <c r="U152" t="s">
        <v>92</v>
      </c>
      <c r="V152" t="s">
        <v>93</v>
      </c>
      <c r="W152" t="s">
        <v>93</v>
      </c>
      <c r="X152" t="s">
        <v>94</v>
      </c>
      <c r="Y152" t="s">
        <v>69</v>
      </c>
      <c r="Z152" s="4">
        <v>6</v>
      </c>
      <c r="AA152" t="s">
        <v>77</v>
      </c>
      <c r="AB152" s="4">
        <v>115</v>
      </c>
      <c r="AC152" s="4">
        <v>78</v>
      </c>
      <c r="AD152" s="4">
        <v>70</v>
      </c>
      <c r="AE152" s="4">
        <v>179</v>
      </c>
      <c r="AF152" s="4">
        <v>82</v>
      </c>
      <c r="AG152" s="4">
        <v>102</v>
      </c>
      <c r="AH152" s="4">
        <v>213</v>
      </c>
      <c r="AI152" s="4">
        <v>88</v>
      </c>
      <c r="AJ152" s="4">
        <v>51</v>
      </c>
      <c r="AK152" t="s">
        <v>78</v>
      </c>
      <c r="AL152" t="s">
        <v>95</v>
      </c>
      <c r="AM152" t="s">
        <v>80</v>
      </c>
      <c r="AN152" t="s">
        <v>96</v>
      </c>
      <c r="AO152" t="s">
        <v>97</v>
      </c>
      <c r="AP152" t="s">
        <v>85</v>
      </c>
      <c r="AQ152" t="s">
        <v>85</v>
      </c>
      <c r="AR152" t="s">
        <v>85</v>
      </c>
      <c r="AS152" t="s">
        <v>102</v>
      </c>
      <c r="AT152" t="s">
        <v>85</v>
      </c>
      <c r="AU152" t="s">
        <v>83</v>
      </c>
      <c r="AV152" t="s">
        <v>85</v>
      </c>
      <c r="AW152" s="4">
        <v>1</v>
      </c>
      <c r="AX152" s="4">
        <v>0</v>
      </c>
      <c r="AY152" s="4">
        <v>0</v>
      </c>
      <c r="AZ152" s="3">
        <v>1.79</v>
      </c>
      <c r="BA152" s="3">
        <v>3.2040999999999999</v>
      </c>
      <c r="BB152" s="3">
        <v>21.847008520333322</v>
      </c>
      <c r="BC152" t="s">
        <v>85</v>
      </c>
      <c r="BD152" t="s">
        <v>86</v>
      </c>
      <c r="BE152" s="4">
        <v>1</v>
      </c>
      <c r="BF152" t="s">
        <v>87</v>
      </c>
      <c r="BG152" s="4">
        <v>0</v>
      </c>
      <c r="BH152" s="1" t="e">
        <v>#NULL!</v>
      </c>
      <c r="BI152" t="s">
        <v>85</v>
      </c>
      <c r="BJ152" s="4">
        <v>1</v>
      </c>
      <c r="BK152" t="s">
        <v>88</v>
      </c>
    </row>
    <row r="153" spans="1:63" x14ac:dyDescent="0.35">
      <c r="A153" s="4">
        <v>15</v>
      </c>
      <c r="B153" s="4">
        <v>33</v>
      </c>
      <c r="C153" t="s">
        <v>114</v>
      </c>
      <c r="D153" t="s">
        <v>89</v>
      </c>
      <c r="E153" t="s">
        <v>104</v>
      </c>
      <c r="F153" t="s">
        <v>101</v>
      </c>
      <c r="G153" t="s">
        <v>67</v>
      </c>
      <c r="H153" s="2">
        <v>800</v>
      </c>
      <c r="I153" t="s">
        <v>105</v>
      </c>
      <c r="J153" t="s">
        <v>69</v>
      </c>
      <c r="K153" t="s">
        <v>70</v>
      </c>
      <c r="L153" t="s">
        <v>69</v>
      </c>
      <c r="M153" s="4">
        <v>3</v>
      </c>
      <c r="N153" t="s">
        <v>91</v>
      </c>
      <c r="O153" s="4">
        <v>4</v>
      </c>
      <c r="P153" t="s">
        <v>91</v>
      </c>
      <c r="Q153" s="4">
        <v>3</v>
      </c>
      <c r="R153" t="s">
        <v>91</v>
      </c>
      <c r="S153" s="4">
        <v>5</v>
      </c>
      <c r="T153" t="s">
        <v>72</v>
      </c>
      <c r="U153" t="s">
        <v>103</v>
      </c>
      <c r="V153" t="s">
        <v>93</v>
      </c>
      <c r="W153" t="s">
        <v>93</v>
      </c>
      <c r="X153" t="s">
        <v>94</v>
      </c>
      <c r="Y153" t="s">
        <v>70</v>
      </c>
      <c r="Z153" s="4">
        <v>6</v>
      </c>
      <c r="AA153" t="s">
        <v>77</v>
      </c>
      <c r="AB153" s="4">
        <v>125</v>
      </c>
      <c r="AC153" s="4">
        <v>91</v>
      </c>
      <c r="AD153" s="4">
        <v>64</v>
      </c>
      <c r="AE153" s="4">
        <v>161</v>
      </c>
      <c r="AF153" s="4">
        <v>92</v>
      </c>
      <c r="AG153" s="4">
        <v>110</v>
      </c>
      <c r="AH153" s="4">
        <v>91</v>
      </c>
      <c r="AI153" s="4">
        <v>95</v>
      </c>
      <c r="AJ153" s="4">
        <v>38</v>
      </c>
      <c r="AK153" t="s">
        <v>78</v>
      </c>
      <c r="AL153" t="s">
        <v>95</v>
      </c>
      <c r="AM153" t="s">
        <v>108</v>
      </c>
      <c r="AN153" t="s">
        <v>81</v>
      </c>
      <c r="AO153" t="s">
        <v>82</v>
      </c>
      <c r="AP153" t="s">
        <v>83</v>
      </c>
      <c r="AQ153" t="s">
        <v>83</v>
      </c>
      <c r="AR153" t="s">
        <v>83</v>
      </c>
      <c r="AS153" t="s">
        <v>84</v>
      </c>
      <c r="AT153" t="s">
        <v>85</v>
      </c>
      <c r="AU153" t="s">
        <v>83</v>
      </c>
      <c r="AV153" t="s">
        <v>83</v>
      </c>
      <c r="AW153" s="4">
        <v>2</v>
      </c>
      <c r="AX153" s="4">
        <v>1</v>
      </c>
      <c r="AY153" s="4">
        <v>2</v>
      </c>
      <c r="AZ153" s="3">
        <v>1.61</v>
      </c>
      <c r="BA153" s="3">
        <v>2.5921000000000003</v>
      </c>
      <c r="BB153" s="3">
        <v>24.690405462752206</v>
      </c>
      <c r="BC153" t="s">
        <v>85</v>
      </c>
      <c r="BD153" t="s">
        <v>86</v>
      </c>
      <c r="BE153" s="4">
        <v>3</v>
      </c>
      <c r="BF153" t="s">
        <v>111</v>
      </c>
      <c r="BG153" s="1" t="e">
        <v>#NULL!</v>
      </c>
      <c r="BH153" s="4">
        <v>1</v>
      </c>
      <c r="BI153" t="s">
        <v>83</v>
      </c>
      <c r="BJ153" s="4">
        <v>3</v>
      </c>
      <c r="BK153" t="s">
        <v>112</v>
      </c>
    </row>
    <row r="154" spans="1:63" x14ac:dyDescent="0.35">
      <c r="A154" s="4">
        <v>116</v>
      </c>
      <c r="B154" s="4">
        <v>33</v>
      </c>
      <c r="C154" t="s">
        <v>114</v>
      </c>
      <c r="D154" t="s">
        <v>89</v>
      </c>
      <c r="E154" t="s">
        <v>104</v>
      </c>
      <c r="F154" t="s">
        <v>66</v>
      </c>
      <c r="G154" t="s">
        <v>67</v>
      </c>
      <c r="H154" s="2">
        <v>100</v>
      </c>
      <c r="I154" t="s">
        <v>68</v>
      </c>
      <c r="J154" t="s">
        <v>69</v>
      </c>
      <c r="K154" t="s">
        <v>69</v>
      </c>
      <c r="L154" t="s">
        <v>69</v>
      </c>
      <c r="M154" s="4">
        <v>1</v>
      </c>
      <c r="N154" t="s">
        <v>71</v>
      </c>
      <c r="O154" s="4">
        <v>2</v>
      </c>
      <c r="P154" t="s">
        <v>71</v>
      </c>
      <c r="Q154" s="4">
        <v>2</v>
      </c>
      <c r="R154" t="s">
        <v>71</v>
      </c>
      <c r="S154" s="4">
        <v>1</v>
      </c>
      <c r="T154" t="s">
        <v>71</v>
      </c>
      <c r="U154" t="s">
        <v>73</v>
      </c>
      <c r="V154" t="s">
        <v>93</v>
      </c>
      <c r="W154" t="s">
        <v>93</v>
      </c>
      <c r="X154" t="s">
        <v>94</v>
      </c>
      <c r="Y154" t="s">
        <v>69</v>
      </c>
      <c r="Z154" s="4">
        <v>1</v>
      </c>
      <c r="AA154" t="s">
        <v>77</v>
      </c>
      <c r="AB154" s="4">
        <v>87</v>
      </c>
      <c r="AC154" s="4">
        <v>59</v>
      </c>
      <c r="AD154" s="4">
        <v>40</v>
      </c>
      <c r="AE154" s="4">
        <v>159</v>
      </c>
      <c r="AF154" s="4">
        <v>72</v>
      </c>
      <c r="AG154" s="4">
        <v>86</v>
      </c>
      <c r="AH154" s="4">
        <v>98</v>
      </c>
      <c r="AI154" s="4">
        <v>68</v>
      </c>
      <c r="AJ154" s="4">
        <v>40</v>
      </c>
      <c r="AK154" t="s">
        <v>78</v>
      </c>
      <c r="AL154" t="s">
        <v>95</v>
      </c>
      <c r="AM154" t="s">
        <v>80</v>
      </c>
      <c r="AN154" t="s">
        <v>96</v>
      </c>
      <c r="AO154" t="s">
        <v>97</v>
      </c>
      <c r="AP154" t="s">
        <v>83</v>
      </c>
      <c r="AQ154" t="s">
        <v>85</v>
      </c>
      <c r="AR154" t="s">
        <v>83</v>
      </c>
      <c r="AS154" t="s">
        <v>84</v>
      </c>
      <c r="AT154" t="s">
        <v>85</v>
      </c>
      <c r="AU154" t="s">
        <v>85</v>
      </c>
      <c r="AV154" t="s">
        <v>85</v>
      </c>
      <c r="AW154" s="4">
        <v>1</v>
      </c>
      <c r="AX154" s="4">
        <v>0</v>
      </c>
      <c r="AY154" s="4">
        <v>0</v>
      </c>
      <c r="AZ154" s="3">
        <v>1.59</v>
      </c>
      <c r="BA154" s="3">
        <v>2.5281000000000002</v>
      </c>
      <c r="BB154" s="3">
        <v>15.822158933586486</v>
      </c>
      <c r="BC154" t="s">
        <v>100</v>
      </c>
      <c r="BD154" t="s">
        <v>86</v>
      </c>
      <c r="BE154" s="4">
        <v>1</v>
      </c>
      <c r="BF154" t="s">
        <v>87</v>
      </c>
      <c r="BG154" s="1" t="e">
        <v>#NULL!</v>
      </c>
      <c r="BH154" s="4">
        <v>0</v>
      </c>
      <c r="BI154" t="s">
        <v>85</v>
      </c>
      <c r="BJ154" s="4">
        <v>1</v>
      </c>
      <c r="BK154" t="s">
        <v>88</v>
      </c>
    </row>
    <row r="155" spans="1:63" x14ac:dyDescent="0.35">
      <c r="A155" s="4">
        <v>133</v>
      </c>
      <c r="B155" s="4">
        <v>33</v>
      </c>
      <c r="C155" t="s">
        <v>114</v>
      </c>
      <c r="D155" t="s">
        <v>89</v>
      </c>
      <c r="E155" t="s">
        <v>104</v>
      </c>
      <c r="F155" t="s">
        <v>90</v>
      </c>
      <c r="G155" t="s">
        <v>67</v>
      </c>
      <c r="H155" s="2">
        <v>500</v>
      </c>
      <c r="I155" t="s">
        <v>68</v>
      </c>
      <c r="J155" t="s">
        <v>69</v>
      </c>
      <c r="K155" t="s">
        <v>69</v>
      </c>
      <c r="L155" t="s">
        <v>69</v>
      </c>
      <c r="M155" s="4">
        <v>7</v>
      </c>
      <c r="N155" t="s">
        <v>72</v>
      </c>
      <c r="O155" s="4">
        <v>6</v>
      </c>
      <c r="P155" t="s">
        <v>72</v>
      </c>
      <c r="Q155" s="4">
        <v>7</v>
      </c>
      <c r="R155" t="s">
        <v>72</v>
      </c>
      <c r="S155" s="4">
        <v>5</v>
      </c>
      <c r="T155" t="s">
        <v>72</v>
      </c>
      <c r="U155" t="s">
        <v>92</v>
      </c>
      <c r="V155" t="s">
        <v>93</v>
      </c>
      <c r="W155" t="s">
        <v>93</v>
      </c>
      <c r="X155" t="s">
        <v>94</v>
      </c>
      <c r="Y155" t="s">
        <v>69</v>
      </c>
      <c r="Z155" s="4">
        <v>2</v>
      </c>
      <c r="AA155" t="s">
        <v>77</v>
      </c>
      <c r="AB155" s="4">
        <v>124</v>
      </c>
      <c r="AC155" s="4">
        <v>82</v>
      </c>
      <c r="AD155" s="4">
        <v>72</v>
      </c>
      <c r="AE155" s="4">
        <v>166</v>
      </c>
      <c r="AF155" s="4">
        <v>99</v>
      </c>
      <c r="AG155" s="4">
        <v>110</v>
      </c>
      <c r="AH155" s="4">
        <v>89</v>
      </c>
      <c r="AI155" s="4">
        <v>42</v>
      </c>
      <c r="AJ155" s="4">
        <v>38</v>
      </c>
      <c r="AK155" t="s">
        <v>78</v>
      </c>
      <c r="AL155" t="s">
        <v>95</v>
      </c>
      <c r="AM155" t="s">
        <v>80</v>
      </c>
      <c r="AN155" t="s">
        <v>96</v>
      </c>
      <c r="AO155" t="s">
        <v>97</v>
      </c>
      <c r="AP155" t="s">
        <v>83</v>
      </c>
      <c r="AQ155" t="s">
        <v>83</v>
      </c>
      <c r="AR155" t="s">
        <v>83</v>
      </c>
      <c r="AS155" t="s">
        <v>84</v>
      </c>
      <c r="AT155" t="s">
        <v>83</v>
      </c>
      <c r="AU155" t="s">
        <v>83</v>
      </c>
      <c r="AV155" t="s">
        <v>83</v>
      </c>
      <c r="AW155" s="4">
        <v>1</v>
      </c>
      <c r="AX155" s="4">
        <v>0</v>
      </c>
      <c r="AY155" s="4">
        <v>1</v>
      </c>
      <c r="AZ155" s="3">
        <v>1.66</v>
      </c>
      <c r="BA155" s="3">
        <v>2.7555999999999998</v>
      </c>
      <c r="BB155" s="3">
        <v>26.1286108288576</v>
      </c>
      <c r="BC155" t="s">
        <v>98</v>
      </c>
      <c r="BD155" t="s">
        <v>99</v>
      </c>
      <c r="BE155" s="4">
        <v>2</v>
      </c>
      <c r="BF155" t="s">
        <v>87</v>
      </c>
      <c r="BG155" s="1" t="e">
        <v>#NULL!</v>
      </c>
      <c r="BH155" s="4">
        <v>1</v>
      </c>
      <c r="BI155" t="s">
        <v>83</v>
      </c>
      <c r="BJ155" s="4">
        <v>2</v>
      </c>
      <c r="BK155" t="s">
        <v>88</v>
      </c>
    </row>
    <row r="156" spans="1:63" x14ac:dyDescent="0.35">
      <c r="A156" s="4">
        <v>181</v>
      </c>
      <c r="B156" s="4">
        <v>33</v>
      </c>
      <c r="C156" t="s">
        <v>114</v>
      </c>
      <c r="D156" t="s">
        <v>89</v>
      </c>
      <c r="E156" t="s">
        <v>104</v>
      </c>
      <c r="F156" t="s">
        <v>101</v>
      </c>
      <c r="G156" t="s">
        <v>67</v>
      </c>
      <c r="H156" s="2">
        <v>800</v>
      </c>
      <c r="I156" t="s">
        <v>105</v>
      </c>
      <c r="J156" t="s">
        <v>69</v>
      </c>
      <c r="K156" t="s">
        <v>69</v>
      </c>
      <c r="L156" t="s">
        <v>69</v>
      </c>
      <c r="M156" s="4">
        <v>4</v>
      </c>
      <c r="N156" t="s">
        <v>91</v>
      </c>
      <c r="O156" s="4">
        <v>5</v>
      </c>
      <c r="P156" t="s">
        <v>72</v>
      </c>
      <c r="Q156" s="4">
        <v>3</v>
      </c>
      <c r="R156" t="s">
        <v>91</v>
      </c>
      <c r="S156" s="4">
        <v>5</v>
      </c>
      <c r="T156" t="s">
        <v>72</v>
      </c>
      <c r="U156" t="s">
        <v>118</v>
      </c>
      <c r="V156" t="s">
        <v>93</v>
      </c>
      <c r="W156" t="s">
        <v>74</v>
      </c>
      <c r="X156" t="s">
        <v>76</v>
      </c>
      <c r="Y156" t="s">
        <v>69</v>
      </c>
      <c r="Z156" s="4">
        <v>5</v>
      </c>
      <c r="AA156" t="s">
        <v>77</v>
      </c>
      <c r="AB156" s="4">
        <v>95</v>
      </c>
      <c r="AC156" s="4">
        <v>70</v>
      </c>
      <c r="AD156" s="4">
        <v>80</v>
      </c>
      <c r="AE156" s="4">
        <v>164</v>
      </c>
      <c r="AF156" s="4">
        <v>76</v>
      </c>
      <c r="AG156" s="4">
        <v>90</v>
      </c>
      <c r="AH156" s="4">
        <v>104</v>
      </c>
      <c r="AI156" s="4">
        <v>36</v>
      </c>
      <c r="AJ156" s="4">
        <v>60</v>
      </c>
      <c r="AK156" t="s">
        <v>78</v>
      </c>
      <c r="AL156" t="s">
        <v>95</v>
      </c>
      <c r="AM156" t="s">
        <v>80</v>
      </c>
      <c r="AN156" t="s">
        <v>96</v>
      </c>
      <c r="AO156" t="s">
        <v>97</v>
      </c>
      <c r="AP156" t="s">
        <v>85</v>
      </c>
      <c r="AQ156" t="s">
        <v>85</v>
      </c>
      <c r="AR156" t="s">
        <v>85</v>
      </c>
      <c r="AS156" t="s">
        <v>102</v>
      </c>
      <c r="AT156" t="s">
        <v>85</v>
      </c>
      <c r="AU156" t="s">
        <v>85</v>
      </c>
      <c r="AV156" t="s">
        <v>85</v>
      </c>
      <c r="AW156" s="4">
        <v>1</v>
      </c>
      <c r="AX156" s="4">
        <v>0</v>
      </c>
      <c r="AY156" s="4">
        <v>0</v>
      </c>
      <c r="AZ156" s="3">
        <v>1.64</v>
      </c>
      <c r="BA156" s="3">
        <v>2.6895999999999995</v>
      </c>
      <c r="BB156" s="3">
        <v>29.744199881023206</v>
      </c>
      <c r="BC156" t="s">
        <v>98</v>
      </c>
      <c r="BD156" t="s">
        <v>99</v>
      </c>
      <c r="BE156" s="4">
        <v>1</v>
      </c>
      <c r="BF156" t="s">
        <v>87</v>
      </c>
      <c r="BG156" s="1" t="e">
        <v>#NULL!</v>
      </c>
      <c r="BH156" s="4">
        <v>0</v>
      </c>
      <c r="BI156" t="s">
        <v>85</v>
      </c>
      <c r="BJ156" s="4">
        <v>1</v>
      </c>
      <c r="BK156" t="s">
        <v>88</v>
      </c>
    </row>
    <row r="157" spans="1:63" x14ac:dyDescent="0.35">
      <c r="A157" s="4">
        <v>239</v>
      </c>
      <c r="B157" s="4">
        <v>33</v>
      </c>
      <c r="C157" t="s">
        <v>114</v>
      </c>
      <c r="D157" t="s">
        <v>64</v>
      </c>
      <c r="E157" t="s">
        <v>104</v>
      </c>
      <c r="F157" t="s">
        <v>101</v>
      </c>
      <c r="G157" t="s">
        <v>67</v>
      </c>
      <c r="H157" s="2">
        <v>400</v>
      </c>
      <c r="I157" t="s">
        <v>68</v>
      </c>
      <c r="J157" t="s">
        <v>69</v>
      </c>
      <c r="K157" t="s">
        <v>69</v>
      </c>
      <c r="L157" t="s">
        <v>69</v>
      </c>
      <c r="M157" s="4">
        <v>2</v>
      </c>
      <c r="N157" t="s">
        <v>71</v>
      </c>
      <c r="O157" s="4">
        <v>2</v>
      </c>
      <c r="P157" t="s">
        <v>71</v>
      </c>
      <c r="Q157" s="4">
        <v>2</v>
      </c>
      <c r="R157" t="s">
        <v>71</v>
      </c>
      <c r="S157" s="4">
        <v>1</v>
      </c>
      <c r="T157" t="s">
        <v>71</v>
      </c>
      <c r="U157" t="s">
        <v>92</v>
      </c>
      <c r="V157" t="s">
        <v>93</v>
      </c>
      <c r="W157" t="s">
        <v>93</v>
      </c>
      <c r="X157" t="s">
        <v>94</v>
      </c>
      <c r="Y157" t="s">
        <v>69</v>
      </c>
      <c r="Z157" s="4">
        <v>3</v>
      </c>
      <c r="AA157" t="s">
        <v>77</v>
      </c>
      <c r="AB157" s="4">
        <v>100</v>
      </c>
      <c r="AC157" s="4">
        <v>68</v>
      </c>
      <c r="AD157" s="4">
        <v>68</v>
      </c>
      <c r="AE157" s="4">
        <v>173</v>
      </c>
      <c r="AF157" s="4">
        <v>86</v>
      </c>
      <c r="AG157" s="4">
        <v>98</v>
      </c>
      <c r="AH157" s="4">
        <v>88</v>
      </c>
      <c r="AI157" s="4">
        <v>120</v>
      </c>
      <c r="AJ157" s="4">
        <v>65</v>
      </c>
      <c r="AK157" t="s">
        <v>78</v>
      </c>
      <c r="AL157" t="s">
        <v>95</v>
      </c>
      <c r="AM157" t="s">
        <v>80</v>
      </c>
      <c r="AN157" t="s">
        <v>96</v>
      </c>
      <c r="AO157" t="s">
        <v>97</v>
      </c>
      <c r="AP157" t="s">
        <v>85</v>
      </c>
      <c r="AQ157" t="s">
        <v>85</v>
      </c>
      <c r="AR157" t="s">
        <v>85</v>
      </c>
      <c r="AS157" t="s">
        <v>84</v>
      </c>
      <c r="AT157" t="s">
        <v>85</v>
      </c>
      <c r="AU157" t="s">
        <v>83</v>
      </c>
      <c r="AV157" t="s">
        <v>85</v>
      </c>
      <c r="AW157" s="4">
        <v>0</v>
      </c>
      <c r="AX157" s="4">
        <v>0</v>
      </c>
      <c r="AY157" s="4">
        <v>0</v>
      </c>
      <c r="AZ157" s="3">
        <v>1.73</v>
      </c>
      <c r="BA157" s="3">
        <v>2.9929000000000001</v>
      </c>
      <c r="BB157" s="3">
        <v>22.720438370810918</v>
      </c>
      <c r="BC157" t="s">
        <v>85</v>
      </c>
      <c r="BD157" t="s">
        <v>86</v>
      </c>
      <c r="BE157" s="4">
        <v>0</v>
      </c>
      <c r="BF157" t="s">
        <v>87</v>
      </c>
      <c r="BG157" s="4">
        <v>0</v>
      </c>
      <c r="BH157" s="1" t="e">
        <v>#NULL!</v>
      </c>
      <c r="BI157" t="s">
        <v>85</v>
      </c>
      <c r="BJ157" s="4">
        <v>0</v>
      </c>
      <c r="BK157" t="s">
        <v>88</v>
      </c>
    </row>
    <row r="158" spans="1:63" x14ac:dyDescent="0.35">
      <c r="A158" s="4">
        <v>304</v>
      </c>
      <c r="B158" s="4">
        <v>33</v>
      </c>
      <c r="C158" t="s">
        <v>114</v>
      </c>
      <c r="D158" t="s">
        <v>64</v>
      </c>
      <c r="E158" t="s">
        <v>104</v>
      </c>
      <c r="F158" t="s">
        <v>90</v>
      </c>
      <c r="G158" t="s">
        <v>67</v>
      </c>
      <c r="H158" s="2">
        <v>400</v>
      </c>
      <c r="I158" t="s">
        <v>68</v>
      </c>
      <c r="J158" t="s">
        <v>69</v>
      </c>
      <c r="K158" t="s">
        <v>69</v>
      </c>
      <c r="L158" t="s">
        <v>69</v>
      </c>
      <c r="M158" s="4">
        <v>5</v>
      </c>
      <c r="N158" t="s">
        <v>72</v>
      </c>
      <c r="O158" s="4">
        <v>6</v>
      </c>
      <c r="P158" t="s">
        <v>72</v>
      </c>
      <c r="Q158" s="4">
        <v>5</v>
      </c>
      <c r="R158" t="s">
        <v>72</v>
      </c>
      <c r="S158" s="4">
        <v>3</v>
      </c>
      <c r="T158" t="s">
        <v>91</v>
      </c>
      <c r="U158" t="s">
        <v>92</v>
      </c>
      <c r="V158" t="s">
        <v>93</v>
      </c>
      <c r="W158" t="s">
        <v>93</v>
      </c>
      <c r="X158" t="s">
        <v>94</v>
      </c>
      <c r="Y158" t="s">
        <v>69</v>
      </c>
      <c r="Z158" s="4">
        <v>4</v>
      </c>
      <c r="AA158" t="s">
        <v>77</v>
      </c>
      <c r="AB158" s="4">
        <v>143</v>
      </c>
      <c r="AC158" s="4">
        <v>83</v>
      </c>
      <c r="AD158" s="4">
        <v>77</v>
      </c>
      <c r="AE158" s="4">
        <v>171</v>
      </c>
      <c r="AF158" s="4">
        <v>84</v>
      </c>
      <c r="AG158" s="4">
        <v>106</v>
      </c>
      <c r="AH158" s="4">
        <v>99</v>
      </c>
      <c r="AI158" s="4">
        <v>116</v>
      </c>
      <c r="AJ158" s="4">
        <v>33</v>
      </c>
      <c r="AK158" t="s">
        <v>78</v>
      </c>
      <c r="AL158" t="s">
        <v>79</v>
      </c>
      <c r="AM158" t="s">
        <v>80</v>
      </c>
      <c r="AN158" t="s">
        <v>81</v>
      </c>
      <c r="AO158" t="s">
        <v>82</v>
      </c>
      <c r="AP158" t="s">
        <v>83</v>
      </c>
      <c r="AQ158" t="s">
        <v>83</v>
      </c>
      <c r="AR158" t="s">
        <v>83</v>
      </c>
      <c r="AS158" t="s">
        <v>84</v>
      </c>
      <c r="AT158" t="s">
        <v>85</v>
      </c>
      <c r="AU158" t="s">
        <v>83</v>
      </c>
      <c r="AV158" t="s">
        <v>85</v>
      </c>
      <c r="AW158" s="4">
        <v>2</v>
      </c>
      <c r="AX158" s="4">
        <v>1</v>
      </c>
      <c r="AY158" s="4">
        <v>1</v>
      </c>
      <c r="AZ158" s="3">
        <v>1.71</v>
      </c>
      <c r="BA158" s="3">
        <v>2.9240999999999997</v>
      </c>
      <c r="BB158" s="3">
        <v>26.332888752094664</v>
      </c>
      <c r="BC158" t="s">
        <v>98</v>
      </c>
      <c r="BD158" t="s">
        <v>99</v>
      </c>
      <c r="BE158" s="4">
        <v>2</v>
      </c>
      <c r="BF158" t="s">
        <v>87</v>
      </c>
      <c r="BG158" s="4">
        <v>0</v>
      </c>
      <c r="BH158" s="1" t="e">
        <v>#NULL!</v>
      </c>
      <c r="BI158" t="s">
        <v>85</v>
      </c>
      <c r="BJ158" s="4">
        <v>2</v>
      </c>
      <c r="BK158" t="s">
        <v>88</v>
      </c>
    </row>
    <row r="159" spans="1:63" x14ac:dyDescent="0.35">
      <c r="A159" s="4">
        <v>312</v>
      </c>
      <c r="B159" s="4">
        <v>33</v>
      </c>
      <c r="C159" t="s">
        <v>114</v>
      </c>
      <c r="D159" t="s">
        <v>89</v>
      </c>
      <c r="E159" t="s">
        <v>104</v>
      </c>
      <c r="F159" t="s">
        <v>101</v>
      </c>
      <c r="G159" t="s">
        <v>67</v>
      </c>
      <c r="H159" s="2">
        <v>300</v>
      </c>
      <c r="I159" t="s">
        <v>68</v>
      </c>
      <c r="J159" t="s">
        <v>69</v>
      </c>
      <c r="K159" t="s">
        <v>69</v>
      </c>
      <c r="L159" t="s">
        <v>69</v>
      </c>
      <c r="M159" s="4">
        <v>3</v>
      </c>
      <c r="N159" t="s">
        <v>91</v>
      </c>
      <c r="O159" s="4">
        <v>3</v>
      </c>
      <c r="P159" t="s">
        <v>91</v>
      </c>
      <c r="Q159" s="4">
        <v>4</v>
      </c>
      <c r="R159" t="s">
        <v>91</v>
      </c>
      <c r="S159" s="4">
        <v>4</v>
      </c>
      <c r="T159" t="s">
        <v>91</v>
      </c>
      <c r="U159" t="s">
        <v>92</v>
      </c>
      <c r="V159" t="s">
        <v>93</v>
      </c>
      <c r="W159" t="s">
        <v>74</v>
      </c>
      <c r="X159" t="s">
        <v>76</v>
      </c>
      <c r="Y159" t="s">
        <v>69</v>
      </c>
      <c r="Z159" s="4">
        <v>1</v>
      </c>
      <c r="AA159" t="s">
        <v>77</v>
      </c>
      <c r="AB159" s="4">
        <v>117</v>
      </c>
      <c r="AC159" s="4">
        <v>84</v>
      </c>
      <c r="AD159" s="4">
        <v>53</v>
      </c>
      <c r="AE159" s="4">
        <v>153</v>
      </c>
      <c r="AF159" s="4">
        <v>78</v>
      </c>
      <c r="AG159" s="4">
        <v>99</v>
      </c>
      <c r="AH159" s="4">
        <v>97</v>
      </c>
      <c r="AI159" s="4">
        <v>61</v>
      </c>
      <c r="AJ159" s="4">
        <v>39</v>
      </c>
      <c r="AK159" t="s">
        <v>78</v>
      </c>
      <c r="AL159" t="s">
        <v>95</v>
      </c>
      <c r="AM159" t="s">
        <v>80</v>
      </c>
      <c r="AN159" t="s">
        <v>96</v>
      </c>
      <c r="AO159" t="s">
        <v>97</v>
      </c>
      <c r="AP159" t="s">
        <v>83</v>
      </c>
      <c r="AQ159" t="s">
        <v>83</v>
      </c>
      <c r="AR159" t="s">
        <v>83</v>
      </c>
      <c r="AS159" t="s">
        <v>84</v>
      </c>
      <c r="AT159" t="s">
        <v>85</v>
      </c>
      <c r="AU159" t="s">
        <v>85</v>
      </c>
      <c r="AV159" t="s">
        <v>85</v>
      </c>
      <c r="AW159" s="4">
        <v>1</v>
      </c>
      <c r="AX159" s="4">
        <v>0</v>
      </c>
      <c r="AY159" s="4">
        <v>0</v>
      </c>
      <c r="AZ159" s="3">
        <v>1.53</v>
      </c>
      <c r="BA159" s="3">
        <v>2.3409</v>
      </c>
      <c r="BB159" s="3">
        <v>22.64086462471699</v>
      </c>
      <c r="BC159" t="s">
        <v>85</v>
      </c>
      <c r="BD159" t="s">
        <v>86</v>
      </c>
      <c r="BE159" s="4">
        <v>1</v>
      </c>
      <c r="BF159" t="s">
        <v>87</v>
      </c>
      <c r="BG159" s="1" t="e">
        <v>#NULL!</v>
      </c>
      <c r="BH159" s="4">
        <v>0</v>
      </c>
      <c r="BI159" t="s">
        <v>85</v>
      </c>
      <c r="BJ159" s="4">
        <v>1</v>
      </c>
      <c r="BK159" t="s">
        <v>88</v>
      </c>
    </row>
    <row r="160" spans="1:63" x14ac:dyDescent="0.35">
      <c r="A160" s="4">
        <v>321</v>
      </c>
      <c r="B160" s="4">
        <v>33</v>
      </c>
      <c r="C160" t="s">
        <v>114</v>
      </c>
      <c r="D160" t="s">
        <v>64</v>
      </c>
      <c r="E160" t="s">
        <v>104</v>
      </c>
      <c r="F160" t="s">
        <v>101</v>
      </c>
      <c r="G160" t="s">
        <v>67</v>
      </c>
      <c r="H160" s="2">
        <v>700</v>
      </c>
      <c r="I160" t="s">
        <v>105</v>
      </c>
      <c r="J160" t="s">
        <v>69</v>
      </c>
      <c r="K160" t="s">
        <v>69</v>
      </c>
      <c r="L160" t="s">
        <v>69</v>
      </c>
      <c r="M160" s="4">
        <v>2</v>
      </c>
      <c r="N160" t="s">
        <v>71</v>
      </c>
      <c r="O160" s="4">
        <v>2</v>
      </c>
      <c r="P160" t="s">
        <v>71</v>
      </c>
      <c r="Q160" s="4">
        <v>2</v>
      </c>
      <c r="R160" t="s">
        <v>71</v>
      </c>
      <c r="S160" s="4">
        <v>1</v>
      </c>
      <c r="T160" t="s">
        <v>71</v>
      </c>
      <c r="U160" t="s">
        <v>92</v>
      </c>
      <c r="V160" t="s">
        <v>93</v>
      </c>
      <c r="W160" t="s">
        <v>93</v>
      </c>
      <c r="X160" t="s">
        <v>94</v>
      </c>
      <c r="Y160" t="s">
        <v>69</v>
      </c>
      <c r="Z160" s="4">
        <v>3</v>
      </c>
      <c r="AA160" t="s">
        <v>77</v>
      </c>
      <c r="AB160" s="4">
        <v>98</v>
      </c>
      <c r="AC160" s="4">
        <v>60</v>
      </c>
      <c r="AD160" s="4">
        <v>76</v>
      </c>
      <c r="AE160" s="4">
        <v>168</v>
      </c>
      <c r="AF160" s="4">
        <v>90</v>
      </c>
      <c r="AG160" s="4">
        <v>100</v>
      </c>
      <c r="AH160" s="4">
        <v>88</v>
      </c>
      <c r="AI160" s="4">
        <v>128</v>
      </c>
      <c r="AJ160" s="4">
        <v>38</v>
      </c>
      <c r="AK160" t="s">
        <v>78</v>
      </c>
      <c r="AL160" t="s">
        <v>95</v>
      </c>
      <c r="AM160" t="s">
        <v>80</v>
      </c>
      <c r="AN160" t="s">
        <v>96</v>
      </c>
      <c r="AO160" t="s">
        <v>97</v>
      </c>
      <c r="AP160" t="s">
        <v>83</v>
      </c>
      <c r="AQ160" t="s">
        <v>83</v>
      </c>
      <c r="AR160" t="s">
        <v>83</v>
      </c>
      <c r="AS160" t="s">
        <v>84</v>
      </c>
      <c r="AT160" t="s">
        <v>85</v>
      </c>
      <c r="AU160" t="s">
        <v>83</v>
      </c>
      <c r="AV160" t="s">
        <v>85</v>
      </c>
      <c r="AW160" s="4">
        <v>1</v>
      </c>
      <c r="AX160" s="4">
        <v>0</v>
      </c>
      <c r="AY160" s="4">
        <v>0</v>
      </c>
      <c r="AZ160" s="3">
        <v>1.68</v>
      </c>
      <c r="BA160" s="3">
        <v>2.8223999999999996</v>
      </c>
      <c r="BB160" s="3">
        <v>26.927437641723358</v>
      </c>
      <c r="BC160" t="s">
        <v>98</v>
      </c>
      <c r="BD160" t="s">
        <v>99</v>
      </c>
      <c r="BE160" s="4">
        <v>1</v>
      </c>
      <c r="BF160" t="s">
        <v>87</v>
      </c>
      <c r="BG160" s="4">
        <v>0</v>
      </c>
      <c r="BH160" s="1" t="e">
        <v>#NULL!</v>
      </c>
      <c r="BI160" t="s">
        <v>85</v>
      </c>
      <c r="BJ160" s="4">
        <v>1</v>
      </c>
      <c r="BK160" t="s">
        <v>88</v>
      </c>
    </row>
    <row r="161" spans="1:63" x14ac:dyDescent="0.35">
      <c r="A161" s="4">
        <v>351</v>
      </c>
      <c r="B161" s="4">
        <v>33</v>
      </c>
      <c r="C161" t="s">
        <v>114</v>
      </c>
      <c r="D161" t="s">
        <v>89</v>
      </c>
      <c r="E161" t="s">
        <v>104</v>
      </c>
      <c r="F161" t="s">
        <v>101</v>
      </c>
      <c r="G161" t="s">
        <v>67</v>
      </c>
      <c r="H161" s="2">
        <v>600</v>
      </c>
      <c r="I161" t="s">
        <v>105</v>
      </c>
      <c r="J161" t="s">
        <v>69</v>
      </c>
      <c r="K161" t="s">
        <v>69</v>
      </c>
      <c r="L161" t="s">
        <v>69</v>
      </c>
      <c r="M161" s="4">
        <v>3</v>
      </c>
      <c r="N161" t="s">
        <v>91</v>
      </c>
      <c r="O161" s="4">
        <v>5</v>
      </c>
      <c r="P161" t="s">
        <v>72</v>
      </c>
      <c r="Q161" s="4">
        <v>7</v>
      </c>
      <c r="R161" t="s">
        <v>72</v>
      </c>
      <c r="S161" s="4">
        <v>7</v>
      </c>
      <c r="T161" t="s">
        <v>72</v>
      </c>
      <c r="U161" t="s">
        <v>92</v>
      </c>
      <c r="V161" t="s">
        <v>93</v>
      </c>
      <c r="W161" t="s">
        <v>93</v>
      </c>
      <c r="X161" t="s">
        <v>94</v>
      </c>
      <c r="Y161" t="s">
        <v>69</v>
      </c>
      <c r="Z161" s="4">
        <v>1</v>
      </c>
      <c r="AA161" t="s">
        <v>77</v>
      </c>
      <c r="AB161" s="4">
        <v>142</v>
      </c>
      <c r="AC161" s="4">
        <v>81</v>
      </c>
      <c r="AD161" s="4">
        <v>108</v>
      </c>
      <c r="AE161" s="4">
        <v>165</v>
      </c>
      <c r="AF161" s="4">
        <v>120</v>
      </c>
      <c r="AG161" s="4">
        <v>127</v>
      </c>
      <c r="AH161" s="4">
        <v>83</v>
      </c>
      <c r="AI161" s="4">
        <v>102</v>
      </c>
      <c r="AJ161" s="4">
        <v>53</v>
      </c>
      <c r="AK161" t="s">
        <v>78</v>
      </c>
      <c r="AL161" t="s">
        <v>79</v>
      </c>
      <c r="AM161" t="s">
        <v>80</v>
      </c>
      <c r="AN161" t="s">
        <v>81</v>
      </c>
      <c r="AO161" t="s">
        <v>82</v>
      </c>
      <c r="AP161" t="s">
        <v>85</v>
      </c>
      <c r="AQ161" t="s">
        <v>85</v>
      </c>
      <c r="AR161" t="s">
        <v>85</v>
      </c>
      <c r="AS161" t="s">
        <v>84</v>
      </c>
      <c r="AT161" t="s">
        <v>83</v>
      </c>
      <c r="AU161" t="s">
        <v>83</v>
      </c>
      <c r="AV161" t="s">
        <v>83</v>
      </c>
      <c r="AW161" s="4">
        <v>1</v>
      </c>
      <c r="AX161" s="4">
        <v>0</v>
      </c>
      <c r="AY161" s="4">
        <v>1</v>
      </c>
      <c r="AZ161" s="3">
        <v>1.65</v>
      </c>
      <c r="BA161" s="3">
        <v>2.7224999999999997</v>
      </c>
      <c r="BB161" s="3">
        <v>39.669421487603309</v>
      </c>
      <c r="BC161" t="s">
        <v>110</v>
      </c>
      <c r="BD161" t="s">
        <v>99</v>
      </c>
      <c r="BE161" s="4">
        <v>2</v>
      </c>
      <c r="BF161" t="s">
        <v>87</v>
      </c>
      <c r="BG161" s="1" t="e">
        <v>#NULL!</v>
      </c>
      <c r="BH161" s="4">
        <v>1</v>
      </c>
      <c r="BI161" t="s">
        <v>83</v>
      </c>
      <c r="BJ161" s="4">
        <v>2</v>
      </c>
      <c r="BK161" t="s">
        <v>88</v>
      </c>
    </row>
    <row r="162" spans="1:63" x14ac:dyDescent="0.35">
      <c r="A162" s="4">
        <v>356</v>
      </c>
      <c r="B162" s="4">
        <v>33</v>
      </c>
      <c r="C162" t="s">
        <v>114</v>
      </c>
      <c r="D162" t="s">
        <v>64</v>
      </c>
      <c r="E162" t="s">
        <v>104</v>
      </c>
      <c r="F162" t="s">
        <v>101</v>
      </c>
      <c r="G162" t="s">
        <v>67</v>
      </c>
      <c r="H162" s="2">
        <v>1000</v>
      </c>
      <c r="I162" t="s">
        <v>105</v>
      </c>
      <c r="J162" t="s">
        <v>69</v>
      </c>
      <c r="K162" t="s">
        <v>70</v>
      </c>
      <c r="L162" t="s">
        <v>69</v>
      </c>
      <c r="M162" s="4">
        <v>3</v>
      </c>
      <c r="N162" t="s">
        <v>91</v>
      </c>
      <c r="O162" s="4">
        <v>4</v>
      </c>
      <c r="P162" t="s">
        <v>91</v>
      </c>
      <c r="Q162" s="4">
        <v>5</v>
      </c>
      <c r="R162" t="s">
        <v>72</v>
      </c>
      <c r="S162" s="4">
        <v>4</v>
      </c>
      <c r="T162" t="s">
        <v>91</v>
      </c>
      <c r="U162" t="s">
        <v>92</v>
      </c>
      <c r="V162" t="s">
        <v>93</v>
      </c>
      <c r="W162" t="s">
        <v>93</v>
      </c>
      <c r="X162" t="s">
        <v>94</v>
      </c>
      <c r="Y162" t="s">
        <v>69</v>
      </c>
      <c r="Z162" s="4">
        <v>8</v>
      </c>
      <c r="AA162" t="s">
        <v>117</v>
      </c>
      <c r="AB162" s="4">
        <v>122</v>
      </c>
      <c r="AC162" s="4">
        <v>78</v>
      </c>
      <c r="AD162" s="4">
        <v>86</v>
      </c>
      <c r="AE162" s="4">
        <v>176</v>
      </c>
      <c r="AF162" s="4">
        <v>93</v>
      </c>
      <c r="AG162" s="4">
        <v>115</v>
      </c>
      <c r="AH162" s="4">
        <v>109</v>
      </c>
      <c r="AI162" s="4">
        <v>84</v>
      </c>
      <c r="AJ162" s="4">
        <v>66</v>
      </c>
      <c r="AK162" t="s">
        <v>78</v>
      </c>
      <c r="AL162" t="s">
        <v>95</v>
      </c>
      <c r="AM162" t="s">
        <v>80</v>
      </c>
      <c r="AN162" t="s">
        <v>96</v>
      </c>
      <c r="AO162" t="s">
        <v>97</v>
      </c>
      <c r="AP162" t="s">
        <v>85</v>
      </c>
      <c r="AQ162" t="s">
        <v>85</v>
      </c>
      <c r="AR162" t="s">
        <v>85</v>
      </c>
      <c r="AS162" t="s">
        <v>102</v>
      </c>
      <c r="AT162" t="s">
        <v>85</v>
      </c>
      <c r="AU162" t="s">
        <v>83</v>
      </c>
      <c r="AV162" t="s">
        <v>85</v>
      </c>
      <c r="AW162" s="4">
        <v>1</v>
      </c>
      <c r="AX162" s="4">
        <v>0</v>
      </c>
      <c r="AY162" s="4">
        <v>0</v>
      </c>
      <c r="AZ162" s="3">
        <v>1.76</v>
      </c>
      <c r="BA162" s="3">
        <v>3.0975999999999999</v>
      </c>
      <c r="BB162" s="3">
        <v>27.763429752066116</v>
      </c>
      <c r="BC162" t="s">
        <v>98</v>
      </c>
      <c r="BD162" t="s">
        <v>99</v>
      </c>
      <c r="BE162" s="4">
        <v>1</v>
      </c>
      <c r="BF162" t="s">
        <v>87</v>
      </c>
      <c r="BG162" s="4">
        <v>0</v>
      </c>
      <c r="BH162" s="1" t="e">
        <v>#NULL!</v>
      </c>
      <c r="BI162" t="s">
        <v>85</v>
      </c>
      <c r="BJ162" s="4">
        <v>1</v>
      </c>
      <c r="BK162" t="s">
        <v>88</v>
      </c>
    </row>
    <row r="163" spans="1:63" x14ac:dyDescent="0.35">
      <c r="A163" s="4">
        <v>372</v>
      </c>
      <c r="B163" s="4">
        <v>33</v>
      </c>
      <c r="C163" t="s">
        <v>114</v>
      </c>
      <c r="D163" t="s">
        <v>64</v>
      </c>
      <c r="E163" t="s">
        <v>104</v>
      </c>
      <c r="F163" t="s">
        <v>115</v>
      </c>
      <c r="G163" t="s">
        <v>67</v>
      </c>
      <c r="H163" s="2">
        <v>400</v>
      </c>
      <c r="I163" t="s">
        <v>68</v>
      </c>
      <c r="J163" t="s">
        <v>69</v>
      </c>
      <c r="K163" t="s">
        <v>69</v>
      </c>
      <c r="L163" t="s">
        <v>69</v>
      </c>
      <c r="M163" s="4">
        <v>3</v>
      </c>
      <c r="N163" t="s">
        <v>91</v>
      </c>
      <c r="O163" s="4">
        <v>2</v>
      </c>
      <c r="P163" t="s">
        <v>71</v>
      </c>
      <c r="Q163" s="4">
        <v>3</v>
      </c>
      <c r="R163" t="s">
        <v>91</v>
      </c>
      <c r="S163" s="4">
        <v>1</v>
      </c>
      <c r="T163" t="s">
        <v>71</v>
      </c>
      <c r="U163" t="s">
        <v>92</v>
      </c>
      <c r="V163" t="s">
        <v>93</v>
      </c>
      <c r="W163" t="s">
        <v>93</v>
      </c>
      <c r="X163" t="s">
        <v>94</v>
      </c>
      <c r="Y163" t="s">
        <v>69</v>
      </c>
      <c r="Z163" s="4">
        <v>4</v>
      </c>
      <c r="AA163" t="s">
        <v>77</v>
      </c>
      <c r="AB163" s="4">
        <v>120</v>
      </c>
      <c r="AC163" s="4">
        <v>78</v>
      </c>
      <c r="AD163" s="4">
        <v>86</v>
      </c>
      <c r="AE163" s="4">
        <v>174</v>
      </c>
      <c r="AF163" s="4">
        <v>91</v>
      </c>
      <c r="AG163" s="4">
        <v>100</v>
      </c>
      <c r="AH163" s="4">
        <v>97</v>
      </c>
      <c r="AI163" s="4">
        <v>130</v>
      </c>
      <c r="AJ163" s="4">
        <v>58</v>
      </c>
      <c r="AK163" t="s">
        <v>78</v>
      </c>
      <c r="AL163" t="s">
        <v>95</v>
      </c>
      <c r="AM163" t="s">
        <v>80</v>
      </c>
      <c r="AN163" t="s">
        <v>96</v>
      </c>
      <c r="AO163" t="s">
        <v>97</v>
      </c>
      <c r="AP163" t="s">
        <v>85</v>
      </c>
      <c r="AQ163" t="s">
        <v>85</v>
      </c>
      <c r="AR163" t="s">
        <v>85</v>
      </c>
      <c r="AS163" t="s">
        <v>84</v>
      </c>
      <c r="AT163" t="s">
        <v>85</v>
      </c>
      <c r="AU163" t="s">
        <v>83</v>
      </c>
      <c r="AV163" t="s">
        <v>85</v>
      </c>
      <c r="AW163" s="4">
        <v>0</v>
      </c>
      <c r="AX163" s="4">
        <v>0</v>
      </c>
      <c r="AY163" s="4">
        <v>0</v>
      </c>
      <c r="AZ163" s="3">
        <v>1.74</v>
      </c>
      <c r="BA163" s="3">
        <v>3.0276000000000001</v>
      </c>
      <c r="BB163" s="3">
        <v>28.405337561104506</v>
      </c>
      <c r="BC163" t="s">
        <v>98</v>
      </c>
      <c r="BD163" t="s">
        <v>99</v>
      </c>
      <c r="BE163" s="4">
        <v>0</v>
      </c>
      <c r="BF163" t="s">
        <v>87</v>
      </c>
      <c r="BG163" s="4">
        <v>0</v>
      </c>
      <c r="BH163" s="1" t="e">
        <v>#NULL!</v>
      </c>
      <c r="BI163" t="s">
        <v>85</v>
      </c>
      <c r="BJ163" s="4">
        <v>0</v>
      </c>
      <c r="BK163" t="s">
        <v>88</v>
      </c>
    </row>
    <row r="164" spans="1:63" x14ac:dyDescent="0.35">
      <c r="A164" s="4">
        <v>455</v>
      </c>
      <c r="B164" s="4">
        <v>33</v>
      </c>
      <c r="C164" t="s">
        <v>114</v>
      </c>
      <c r="D164" t="s">
        <v>64</v>
      </c>
      <c r="E164" t="s">
        <v>104</v>
      </c>
      <c r="F164" t="s">
        <v>101</v>
      </c>
      <c r="G164" t="s">
        <v>67</v>
      </c>
      <c r="H164" s="2">
        <v>350</v>
      </c>
      <c r="I164" t="s">
        <v>68</v>
      </c>
      <c r="J164" t="s">
        <v>69</v>
      </c>
      <c r="K164" t="s">
        <v>69</v>
      </c>
      <c r="L164" t="s">
        <v>69</v>
      </c>
      <c r="M164" s="4">
        <v>3</v>
      </c>
      <c r="N164" t="s">
        <v>91</v>
      </c>
      <c r="O164" s="4">
        <v>2</v>
      </c>
      <c r="P164" t="s">
        <v>71</v>
      </c>
      <c r="Q164" s="4">
        <v>3</v>
      </c>
      <c r="R164" t="s">
        <v>91</v>
      </c>
      <c r="S164" s="4">
        <v>1</v>
      </c>
      <c r="T164" t="s">
        <v>71</v>
      </c>
      <c r="U164" t="s">
        <v>73</v>
      </c>
      <c r="V164" t="s">
        <v>93</v>
      </c>
      <c r="W164" t="s">
        <v>93</v>
      </c>
      <c r="X164" t="s">
        <v>94</v>
      </c>
      <c r="Y164" t="s">
        <v>69</v>
      </c>
      <c r="Z164" s="4">
        <v>3</v>
      </c>
      <c r="AA164" t="s">
        <v>77</v>
      </c>
      <c r="AB164" s="4">
        <v>98</v>
      </c>
      <c r="AC164" s="4">
        <v>70</v>
      </c>
      <c r="AD164" s="4">
        <v>76</v>
      </c>
      <c r="AE164" s="4">
        <v>168</v>
      </c>
      <c r="AF164" s="4">
        <v>90</v>
      </c>
      <c r="AG164" s="4">
        <v>98</v>
      </c>
      <c r="AH164" s="4">
        <v>110</v>
      </c>
      <c r="AI164" s="4">
        <v>108</v>
      </c>
      <c r="AJ164" s="4">
        <v>70</v>
      </c>
      <c r="AK164" t="s">
        <v>78</v>
      </c>
      <c r="AL164" t="s">
        <v>95</v>
      </c>
      <c r="AM164" t="s">
        <v>80</v>
      </c>
      <c r="AN164" t="s">
        <v>96</v>
      </c>
      <c r="AO164" t="s">
        <v>97</v>
      </c>
      <c r="AP164" t="s">
        <v>85</v>
      </c>
      <c r="AQ164" t="s">
        <v>85</v>
      </c>
      <c r="AR164" t="s">
        <v>85</v>
      </c>
      <c r="AS164" t="s">
        <v>102</v>
      </c>
      <c r="AT164" t="s">
        <v>85</v>
      </c>
      <c r="AU164" t="s">
        <v>83</v>
      </c>
      <c r="AV164" t="s">
        <v>85</v>
      </c>
      <c r="AW164" s="4">
        <v>1</v>
      </c>
      <c r="AX164" s="4">
        <v>0</v>
      </c>
      <c r="AY164" s="4">
        <v>0</v>
      </c>
      <c r="AZ164" s="3">
        <v>1.68</v>
      </c>
      <c r="BA164" s="3">
        <v>2.8223999999999996</v>
      </c>
      <c r="BB164" s="3">
        <v>26.927437641723358</v>
      </c>
      <c r="BC164" t="s">
        <v>98</v>
      </c>
      <c r="BD164" t="s">
        <v>99</v>
      </c>
      <c r="BE164" s="4">
        <v>1</v>
      </c>
      <c r="BF164" t="s">
        <v>87</v>
      </c>
      <c r="BG164" s="4">
        <v>0</v>
      </c>
      <c r="BH164" s="1" t="e">
        <v>#NULL!</v>
      </c>
      <c r="BI164" t="s">
        <v>85</v>
      </c>
      <c r="BJ164" s="4">
        <v>1</v>
      </c>
      <c r="BK164" t="s">
        <v>88</v>
      </c>
    </row>
    <row r="165" spans="1:63" x14ac:dyDescent="0.35">
      <c r="A165" s="4">
        <v>122</v>
      </c>
      <c r="B165" s="4">
        <v>34</v>
      </c>
      <c r="C165" t="s">
        <v>114</v>
      </c>
      <c r="D165" t="s">
        <v>89</v>
      </c>
      <c r="E165" t="s">
        <v>104</v>
      </c>
      <c r="F165" t="s">
        <v>115</v>
      </c>
      <c r="G165" t="s">
        <v>67</v>
      </c>
      <c r="H165" s="2">
        <v>700</v>
      </c>
      <c r="I165" t="s">
        <v>105</v>
      </c>
      <c r="J165" t="s">
        <v>69</v>
      </c>
      <c r="K165" t="s">
        <v>69</v>
      </c>
      <c r="L165" t="s">
        <v>69</v>
      </c>
      <c r="M165" s="4">
        <v>1</v>
      </c>
      <c r="N165" t="s">
        <v>71</v>
      </c>
      <c r="O165" s="4">
        <v>2</v>
      </c>
      <c r="P165" t="s">
        <v>71</v>
      </c>
      <c r="Q165" s="4">
        <v>1</v>
      </c>
      <c r="R165" t="s">
        <v>71</v>
      </c>
      <c r="S165" s="4">
        <v>1</v>
      </c>
      <c r="T165" t="s">
        <v>71</v>
      </c>
      <c r="U165" t="s">
        <v>92</v>
      </c>
      <c r="V165" t="s">
        <v>93</v>
      </c>
      <c r="W165" t="s">
        <v>74</v>
      </c>
      <c r="X165" t="s">
        <v>76</v>
      </c>
      <c r="Y165" t="s">
        <v>69</v>
      </c>
      <c r="Z165" s="4">
        <v>4</v>
      </c>
      <c r="AA165" t="s">
        <v>77</v>
      </c>
      <c r="AB165" s="4">
        <v>94</v>
      </c>
      <c r="AC165" s="4">
        <v>59</v>
      </c>
      <c r="AD165" s="4">
        <v>41</v>
      </c>
      <c r="AE165" s="4">
        <v>153</v>
      </c>
      <c r="AF165" s="4">
        <v>69</v>
      </c>
      <c r="AG165" s="4">
        <v>83</v>
      </c>
      <c r="AH165" s="4">
        <v>89</v>
      </c>
      <c r="AI165" s="4">
        <v>69</v>
      </c>
      <c r="AJ165" s="4">
        <v>75</v>
      </c>
      <c r="AK165" t="s">
        <v>78</v>
      </c>
      <c r="AL165" t="s">
        <v>95</v>
      </c>
      <c r="AM165" t="s">
        <v>80</v>
      </c>
      <c r="AN165" t="s">
        <v>96</v>
      </c>
      <c r="AO165" t="s">
        <v>97</v>
      </c>
      <c r="AP165" t="s">
        <v>85</v>
      </c>
      <c r="AQ165" t="s">
        <v>85</v>
      </c>
      <c r="AR165" t="s">
        <v>85</v>
      </c>
      <c r="AS165" t="s">
        <v>84</v>
      </c>
      <c r="AT165" t="s">
        <v>85</v>
      </c>
      <c r="AU165" t="s">
        <v>85</v>
      </c>
      <c r="AV165" t="s">
        <v>85</v>
      </c>
      <c r="AW165" s="4">
        <v>0</v>
      </c>
      <c r="AX165" s="4">
        <v>0</v>
      </c>
      <c r="AY165" s="4">
        <v>0</v>
      </c>
      <c r="AZ165" s="3">
        <v>1.53</v>
      </c>
      <c r="BA165" s="3">
        <v>2.3409</v>
      </c>
      <c r="BB165" s="3">
        <v>17.514631124781069</v>
      </c>
      <c r="BC165" t="s">
        <v>100</v>
      </c>
      <c r="BD165" t="s">
        <v>86</v>
      </c>
      <c r="BE165" s="4">
        <v>0</v>
      </c>
      <c r="BF165" t="s">
        <v>87</v>
      </c>
      <c r="BG165" s="1" t="e">
        <v>#NULL!</v>
      </c>
      <c r="BH165" s="4">
        <v>0</v>
      </c>
      <c r="BI165" t="s">
        <v>85</v>
      </c>
      <c r="BJ165" s="4">
        <v>0</v>
      </c>
      <c r="BK165" t="s">
        <v>88</v>
      </c>
    </row>
    <row r="166" spans="1:63" x14ac:dyDescent="0.35">
      <c r="A166" s="4">
        <v>124</v>
      </c>
      <c r="B166" s="4">
        <v>34</v>
      </c>
      <c r="C166" t="s">
        <v>114</v>
      </c>
      <c r="D166" t="s">
        <v>64</v>
      </c>
      <c r="E166" t="s">
        <v>104</v>
      </c>
      <c r="F166" t="s">
        <v>66</v>
      </c>
      <c r="G166" t="s">
        <v>67</v>
      </c>
      <c r="H166" s="2">
        <v>500</v>
      </c>
      <c r="I166" t="s">
        <v>68</v>
      </c>
      <c r="J166" t="s">
        <v>70</v>
      </c>
      <c r="K166" t="s">
        <v>70</v>
      </c>
      <c r="L166" t="s">
        <v>69</v>
      </c>
      <c r="M166" s="4">
        <v>1</v>
      </c>
      <c r="N166" t="s">
        <v>71</v>
      </c>
      <c r="O166" s="4">
        <v>4</v>
      </c>
      <c r="P166" t="s">
        <v>91</v>
      </c>
      <c r="Q166" s="4">
        <v>1</v>
      </c>
      <c r="R166" t="s">
        <v>71</v>
      </c>
      <c r="S166" s="4">
        <v>2</v>
      </c>
      <c r="T166" t="s">
        <v>71</v>
      </c>
      <c r="U166" t="s">
        <v>73</v>
      </c>
      <c r="V166" t="s">
        <v>75</v>
      </c>
      <c r="W166" t="s">
        <v>93</v>
      </c>
      <c r="X166" t="s">
        <v>94</v>
      </c>
      <c r="Y166" t="s">
        <v>69</v>
      </c>
      <c r="Z166" s="4">
        <v>3</v>
      </c>
      <c r="AA166" t="s">
        <v>77</v>
      </c>
      <c r="AB166" s="4">
        <v>103</v>
      </c>
      <c r="AC166" s="4">
        <v>75</v>
      </c>
      <c r="AD166" s="4">
        <v>86</v>
      </c>
      <c r="AE166" s="4">
        <v>167</v>
      </c>
      <c r="AF166" s="4">
        <v>100</v>
      </c>
      <c r="AG166" s="4">
        <v>108</v>
      </c>
      <c r="AH166" s="4">
        <v>78</v>
      </c>
      <c r="AI166" s="4">
        <v>85</v>
      </c>
      <c r="AJ166" s="4">
        <v>27</v>
      </c>
      <c r="AK166" t="s">
        <v>78</v>
      </c>
      <c r="AL166" t="s">
        <v>95</v>
      </c>
      <c r="AM166" t="s">
        <v>80</v>
      </c>
      <c r="AN166" t="s">
        <v>96</v>
      </c>
      <c r="AO166" t="s">
        <v>97</v>
      </c>
      <c r="AP166" t="s">
        <v>83</v>
      </c>
      <c r="AQ166" t="s">
        <v>83</v>
      </c>
      <c r="AR166" t="s">
        <v>83</v>
      </c>
      <c r="AS166" t="s">
        <v>84</v>
      </c>
      <c r="AT166" t="s">
        <v>83</v>
      </c>
      <c r="AU166" t="s">
        <v>83</v>
      </c>
      <c r="AV166" t="s">
        <v>83</v>
      </c>
      <c r="AW166" s="4">
        <v>1</v>
      </c>
      <c r="AX166" s="4">
        <v>0</v>
      </c>
      <c r="AY166" s="4">
        <v>1</v>
      </c>
      <c r="AZ166" s="3">
        <v>1.67</v>
      </c>
      <c r="BA166" s="3">
        <v>2.7888999999999999</v>
      </c>
      <c r="BB166" s="3">
        <v>30.836530531750871</v>
      </c>
      <c r="BC166" t="s">
        <v>110</v>
      </c>
      <c r="BD166" t="s">
        <v>99</v>
      </c>
      <c r="BE166" s="4">
        <v>2</v>
      </c>
      <c r="BF166" t="s">
        <v>87</v>
      </c>
      <c r="BG166" s="4">
        <v>0</v>
      </c>
      <c r="BH166" s="1" t="e">
        <v>#NULL!</v>
      </c>
      <c r="BI166" t="s">
        <v>85</v>
      </c>
      <c r="BJ166" s="4">
        <v>1</v>
      </c>
      <c r="BK166" t="s">
        <v>88</v>
      </c>
    </row>
    <row r="167" spans="1:63" x14ac:dyDescent="0.35">
      <c r="A167" s="4">
        <v>238</v>
      </c>
      <c r="B167" s="4">
        <v>34</v>
      </c>
      <c r="C167" t="s">
        <v>114</v>
      </c>
      <c r="D167" t="s">
        <v>64</v>
      </c>
      <c r="E167" t="s">
        <v>104</v>
      </c>
      <c r="F167" t="s">
        <v>101</v>
      </c>
      <c r="G167" t="s">
        <v>67</v>
      </c>
      <c r="H167" s="2">
        <v>350</v>
      </c>
      <c r="I167" t="s">
        <v>68</v>
      </c>
      <c r="J167" t="s">
        <v>69</v>
      </c>
      <c r="K167" t="s">
        <v>70</v>
      </c>
      <c r="L167" t="s">
        <v>69</v>
      </c>
      <c r="M167" s="4">
        <v>3</v>
      </c>
      <c r="N167" t="s">
        <v>91</v>
      </c>
      <c r="O167" s="4">
        <v>2</v>
      </c>
      <c r="P167" t="s">
        <v>71</v>
      </c>
      <c r="Q167" s="4">
        <v>3</v>
      </c>
      <c r="R167" t="s">
        <v>91</v>
      </c>
      <c r="S167" s="4">
        <v>1</v>
      </c>
      <c r="T167" t="s">
        <v>71</v>
      </c>
      <c r="U167" t="s">
        <v>73</v>
      </c>
      <c r="V167" t="s">
        <v>93</v>
      </c>
      <c r="W167" t="s">
        <v>93</v>
      </c>
      <c r="X167" t="s">
        <v>94</v>
      </c>
      <c r="Y167" t="s">
        <v>69</v>
      </c>
      <c r="Z167" s="4">
        <v>3</v>
      </c>
      <c r="AA167" t="s">
        <v>77</v>
      </c>
      <c r="AB167" s="4">
        <v>98</v>
      </c>
      <c r="AC167" s="4">
        <v>70</v>
      </c>
      <c r="AD167" s="4">
        <v>76</v>
      </c>
      <c r="AE167" s="4">
        <v>168</v>
      </c>
      <c r="AF167" s="4">
        <v>90</v>
      </c>
      <c r="AG167" s="4">
        <v>98</v>
      </c>
      <c r="AH167" s="4">
        <v>110</v>
      </c>
      <c r="AI167" s="4">
        <v>108</v>
      </c>
      <c r="AJ167" s="4">
        <v>70</v>
      </c>
      <c r="AK167" t="s">
        <v>78</v>
      </c>
      <c r="AL167" t="s">
        <v>95</v>
      </c>
      <c r="AM167" t="s">
        <v>80</v>
      </c>
      <c r="AN167" t="s">
        <v>96</v>
      </c>
      <c r="AO167" t="s">
        <v>97</v>
      </c>
      <c r="AP167" t="s">
        <v>85</v>
      </c>
      <c r="AQ167" t="s">
        <v>85</v>
      </c>
      <c r="AR167" t="s">
        <v>85</v>
      </c>
      <c r="AS167" t="s">
        <v>102</v>
      </c>
      <c r="AT167" t="s">
        <v>85</v>
      </c>
      <c r="AU167" t="s">
        <v>83</v>
      </c>
      <c r="AV167" t="s">
        <v>85</v>
      </c>
      <c r="AW167" s="4">
        <v>1</v>
      </c>
      <c r="AX167" s="4">
        <v>0</v>
      </c>
      <c r="AY167" s="4">
        <v>0</v>
      </c>
      <c r="AZ167" s="3">
        <v>1.68</v>
      </c>
      <c r="BA167" s="3">
        <v>2.8223999999999996</v>
      </c>
      <c r="BB167" s="3">
        <v>26.927437641723358</v>
      </c>
      <c r="BC167" t="s">
        <v>98</v>
      </c>
      <c r="BD167" t="s">
        <v>99</v>
      </c>
      <c r="BE167" s="4">
        <v>1</v>
      </c>
      <c r="BF167" t="s">
        <v>87</v>
      </c>
      <c r="BG167" s="4">
        <v>0</v>
      </c>
      <c r="BH167" s="1" t="e">
        <v>#NULL!</v>
      </c>
      <c r="BI167" t="s">
        <v>85</v>
      </c>
      <c r="BJ167" s="4">
        <v>1</v>
      </c>
      <c r="BK167" t="s">
        <v>88</v>
      </c>
    </row>
    <row r="168" spans="1:63" x14ac:dyDescent="0.35">
      <c r="A168" s="4">
        <v>292</v>
      </c>
      <c r="B168" s="4">
        <v>34</v>
      </c>
      <c r="C168" t="s">
        <v>114</v>
      </c>
      <c r="D168" t="s">
        <v>89</v>
      </c>
      <c r="E168" t="s">
        <v>104</v>
      </c>
      <c r="F168" t="s">
        <v>101</v>
      </c>
      <c r="G168" t="s">
        <v>67</v>
      </c>
      <c r="H168" s="2">
        <v>800</v>
      </c>
      <c r="I168" t="s">
        <v>105</v>
      </c>
      <c r="J168" t="s">
        <v>69</v>
      </c>
      <c r="K168" t="s">
        <v>69</v>
      </c>
      <c r="L168" t="s">
        <v>69</v>
      </c>
      <c r="M168" s="4">
        <v>4</v>
      </c>
      <c r="N168" t="s">
        <v>91</v>
      </c>
      <c r="O168" s="4">
        <v>5</v>
      </c>
      <c r="P168" t="s">
        <v>72</v>
      </c>
      <c r="Q168" s="4">
        <v>3</v>
      </c>
      <c r="R168" t="s">
        <v>91</v>
      </c>
      <c r="S168" s="4">
        <v>5</v>
      </c>
      <c r="T168" t="s">
        <v>72</v>
      </c>
      <c r="U168" t="s">
        <v>118</v>
      </c>
      <c r="V168" t="s">
        <v>93</v>
      </c>
      <c r="W168" t="s">
        <v>74</v>
      </c>
      <c r="X168" t="s">
        <v>76</v>
      </c>
      <c r="Y168" t="s">
        <v>69</v>
      </c>
      <c r="Z168" s="4">
        <v>5</v>
      </c>
      <c r="AA168" t="s">
        <v>77</v>
      </c>
      <c r="AB168" s="4">
        <v>95</v>
      </c>
      <c r="AC168" s="4">
        <v>70</v>
      </c>
      <c r="AD168" s="4">
        <v>80</v>
      </c>
      <c r="AE168" s="4">
        <v>164</v>
      </c>
      <c r="AF168" s="4">
        <v>76</v>
      </c>
      <c r="AG168" s="4">
        <v>90</v>
      </c>
      <c r="AH168" s="4">
        <v>104</v>
      </c>
      <c r="AI168" s="4">
        <v>36</v>
      </c>
      <c r="AJ168" s="4">
        <v>60</v>
      </c>
      <c r="AK168" t="s">
        <v>78</v>
      </c>
      <c r="AL168" t="s">
        <v>95</v>
      </c>
      <c r="AM168" t="s">
        <v>80</v>
      </c>
      <c r="AN168" t="s">
        <v>96</v>
      </c>
      <c r="AO168" t="s">
        <v>97</v>
      </c>
      <c r="AP168" t="s">
        <v>85</v>
      </c>
      <c r="AQ168" t="s">
        <v>85</v>
      </c>
      <c r="AR168" t="s">
        <v>85</v>
      </c>
      <c r="AS168" t="s">
        <v>102</v>
      </c>
      <c r="AT168" t="s">
        <v>85</v>
      </c>
      <c r="AU168" t="s">
        <v>85</v>
      </c>
      <c r="AV168" t="s">
        <v>85</v>
      </c>
      <c r="AW168" s="4">
        <v>1</v>
      </c>
      <c r="AX168" s="4">
        <v>0</v>
      </c>
      <c r="AY168" s="4">
        <v>0</v>
      </c>
      <c r="AZ168" s="3">
        <v>1.64</v>
      </c>
      <c r="BA168" s="3">
        <v>2.6895999999999995</v>
      </c>
      <c r="BB168" s="3">
        <v>29.744199881023206</v>
      </c>
      <c r="BC168" t="s">
        <v>98</v>
      </c>
      <c r="BD168" t="s">
        <v>99</v>
      </c>
      <c r="BE168" s="4">
        <v>1</v>
      </c>
      <c r="BF168" t="s">
        <v>87</v>
      </c>
      <c r="BG168" s="1" t="e">
        <v>#NULL!</v>
      </c>
      <c r="BH168" s="4">
        <v>0</v>
      </c>
      <c r="BI168" t="s">
        <v>85</v>
      </c>
      <c r="BJ168" s="4">
        <v>1</v>
      </c>
      <c r="BK168" t="s">
        <v>88</v>
      </c>
    </row>
    <row r="169" spans="1:63" x14ac:dyDescent="0.35">
      <c r="A169" s="4">
        <v>337</v>
      </c>
      <c r="B169" s="4">
        <v>34</v>
      </c>
      <c r="C169" t="s">
        <v>114</v>
      </c>
      <c r="D169" t="s">
        <v>89</v>
      </c>
      <c r="E169" t="s">
        <v>104</v>
      </c>
      <c r="F169" t="s">
        <v>90</v>
      </c>
      <c r="G169" t="s">
        <v>67</v>
      </c>
      <c r="H169" s="2">
        <v>500</v>
      </c>
      <c r="I169" t="s">
        <v>68</v>
      </c>
      <c r="J169" t="s">
        <v>69</v>
      </c>
      <c r="K169" t="s">
        <v>69</v>
      </c>
      <c r="L169" t="s">
        <v>69</v>
      </c>
      <c r="M169" s="4">
        <v>7</v>
      </c>
      <c r="N169" t="s">
        <v>72</v>
      </c>
      <c r="O169" s="4">
        <v>6</v>
      </c>
      <c r="P169" t="s">
        <v>72</v>
      </c>
      <c r="Q169" s="4">
        <v>7</v>
      </c>
      <c r="R169" t="s">
        <v>72</v>
      </c>
      <c r="S169" s="4">
        <v>5</v>
      </c>
      <c r="T169" t="s">
        <v>72</v>
      </c>
      <c r="U169" t="s">
        <v>92</v>
      </c>
      <c r="V169" t="s">
        <v>93</v>
      </c>
      <c r="W169" t="s">
        <v>93</v>
      </c>
      <c r="X169" t="s">
        <v>94</v>
      </c>
      <c r="Y169" t="s">
        <v>69</v>
      </c>
      <c r="Z169" s="4">
        <v>2</v>
      </c>
      <c r="AA169" t="s">
        <v>77</v>
      </c>
      <c r="AB169" s="4">
        <v>124</v>
      </c>
      <c r="AC169" s="4">
        <v>82</v>
      </c>
      <c r="AD169" s="4">
        <v>72</v>
      </c>
      <c r="AE169" s="4">
        <v>166</v>
      </c>
      <c r="AF169" s="4">
        <v>99</v>
      </c>
      <c r="AG169" s="4">
        <v>110</v>
      </c>
      <c r="AH169" s="4">
        <v>89</v>
      </c>
      <c r="AI169" s="4">
        <v>42</v>
      </c>
      <c r="AJ169" s="4">
        <v>38</v>
      </c>
      <c r="AK169" t="s">
        <v>78</v>
      </c>
      <c r="AL169" t="s">
        <v>95</v>
      </c>
      <c r="AM169" t="s">
        <v>80</v>
      </c>
      <c r="AN169" t="s">
        <v>96</v>
      </c>
      <c r="AO169" t="s">
        <v>97</v>
      </c>
      <c r="AP169" t="s">
        <v>83</v>
      </c>
      <c r="AQ169" t="s">
        <v>83</v>
      </c>
      <c r="AR169" t="s">
        <v>83</v>
      </c>
      <c r="AS169" t="s">
        <v>84</v>
      </c>
      <c r="AT169" t="s">
        <v>83</v>
      </c>
      <c r="AU169" t="s">
        <v>83</v>
      </c>
      <c r="AV169" t="s">
        <v>83</v>
      </c>
      <c r="AW169" s="4">
        <v>1</v>
      </c>
      <c r="AX169" s="4">
        <v>0</v>
      </c>
      <c r="AY169" s="4">
        <v>1</v>
      </c>
      <c r="AZ169" s="3">
        <v>1.66</v>
      </c>
      <c r="BA169" s="3">
        <v>2.7555999999999998</v>
      </c>
      <c r="BB169" s="3">
        <v>26.1286108288576</v>
      </c>
      <c r="BC169" t="s">
        <v>98</v>
      </c>
      <c r="BD169" t="s">
        <v>99</v>
      </c>
      <c r="BE169" s="4">
        <v>2</v>
      </c>
      <c r="BF169" t="s">
        <v>87</v>
      </c>
      <c r="BG169" s="1" t="e">
        <v>#NULL!</v>
      </c>
      <c r="BH169" s="4">
        <v>1</v>
      </c>
      <c r="BI169" t="s">
        <v>83</v>
      </c>
      <c r="BJ169" s="4">
        <v>2</v>
      </c>
      <c r="BK169" t="s">
        <v>88</v>
      </c>
    </row>
    <row r="170" spans="1:63" x14ac:dyDescent="0.35">
      <c r="A170" s="4">
        <v>392</v>
      </c>
      <c r="B170" s="4">
        <v>34</v>
      </c>
      <c r="C170" t="s">
        <v>114</v>
      </c>
      <c r="D170" t="s">
        <v>89</v>
      </c>
      <c r="E170" t="s">
        <v>104</v>
      </c>
      <c r="F170" t="s">
        <v>66</v>
      </c>
      <c r="G170" t="s">
        <v>67</v>
      </c>
      <c r="H170" s="2">
        <v>100</v>
      </c>
      <c r="I170" t="s">
        <v>68</v>
      </c>
      <c r="J170" t="s">
        <v>69</v>
      </c>
      <c r="K170" t="s">
        <v>69</v>
      </c>
      <c r="L170" t="s">
        <v>69</v>
      </c>
      <c r="M170" s="4">
        <v>4</v>
      </c>
      <c r="N170" t="s">
        <v>91</v>
      </c>
      <c r="O170" s="4">
        <v>2</v>
      </c>
      <c r="P170" t="s">
        <v>71</v>
      </c>
      <c r="Q170" s="4">
        <v>5</v>
      </c>
      <c r="R170" t="s">
        <v>72</v>
      </c>
      <c r="S170" s="4">
        <v>1</v>
      </c>
      <c r="T170" t="s">
        <v>71</v>
      </c>
      <c r="U170" t="s">
        <v>92</v>
      </c>
      <c r="V170" t="s">
        <v>93</v>
      </c>
      <c r="W170" t="s">
        <v>93</v>
      </c>
      <c r="X170" t="s">
        <v>94</v>
      </c>
      <c r="Y170" t="s">
        <v>69</v>
      </c>
      <c r="Z170" s="4">
        <v>4</v>
      </c>
      <c r="AA170" t="s">
        <v>77</v>
      </c>
      <c r="AB170" s="4">
        <v>104</v>
      </c>
      <c r="AC170" s="4">
        <v>67</v>
      </c>
      <c r="AD170" s="4">
        <v>70</v>
      </c>
      <c r="AE170" s="4">
        <v>168</v>
      </c>
      <c r="AF170" s="4">
        <v>80</v>
      </c>
      <c r="AG170" s="4">
        <v>102</v>
      </c>
      <c r="AH170" s="4">
        <v>97</v>
      </c>
      <c r="AI170" s="4">
        <v>83</v>
      </c>
      <c r="AJ170" s="4">
        <v>39</v>
      </c>
      <c r="AK170" t="s">
        <v>78</v>
      </c>
      <c r="AL170" t="s">
        <v>95</v>
      </c>
      <c r="AM170" t="s">
        <v>80</v>
      </c>
      <c r="AN170" t="s">
        <v>96</v>
      </c>
      <c r="AO170" t="s">
        <v>97</v>
      </c>
      <c r="AP170" t="s">
        <v>83</v>
      </c>
      <c r="AQ170" t="s">
        <v>83</v>
      </c>
      <c r="AR170" t="s">
        <v>83</v>
      </c>
      <c r="AS170" t="s">
        <v>84</v>
      </c>
      <c r="AT170" t="s">
        <v>85</v>
      </c>
      <c r="AU170" t="s">
        <v>83</v>
      </c>
      <c r="AV170" t="s">
        <v>83</v>
      </c>
      <c r="AW170" s="4">
        <v>1</v>
      </c>
      <c r="AX170" s="4">
        <v>0</v>
      </c>
      <c r="AY170" s="4">
        <v>1</v>
      </c>
      <c r="AZ170" s="3">
        <v>1.68</v>
      </c>
      <c r="BA170" s="3">
        <v>2.8223999999999996</v>
      </c>
      <c r="BB170" s="3">
        <v>24.801587301587304</v>
      </c>
      <c r="BC170" t="s">
        <v>85</v>
      </c>
      <c r="BD170" t="s">
        <v>86</v>
      </c>
      <c r="BE170" s="4">
        <v>2</v>
      </c>
      <c r="BF170" t="s">
        <v>87</v>
      </c>
      <c r="BG170" s="1" t="e">
        <v>#NULL!</v>
      </c>
      <c r="BH170" s="4">
        <v>0</v>
      </c>
      <c r="BI170" t="s">
        <v>85</v>
      </c>
      <c r="BJ170" s="4">
        <v>1</v>
      </c>
      <c r="BK170" t="s">
        <v>88</v>
      </c>
    </row>
    <row r="171" spans="1:63" x14ac:dyDescent="0.35">
      <c r="A171" s="4">
        <v>404</v>
      </c>
      <c r="B171" s="4">
        <v>34</v>
      </c>
      <c r="C171" t="s">
        <v>114</v>
      </c>
      <c r="D171" t="s">
        <v>89</v>
      </c>
      <c r="E171" t="s">
        <v>104</v>
      </c>
      <c r="F171" t="s">
        <v>115</v>
      </c>
      <c r="G171" t="s">
        <v>67</v>
      </c>
      <c r="H171" s="2">
        <v>400</v>
      </c>
      <c r="I171" t="s">
        <v>68</v>
      </c>
      <c r="J171" t="s">
        <v>69</v>
      </c>
      <c r="K171" t="s">
        <v>69</v>
      </c>
      <c r="L171" t="s">
        <v>69</v>
      </c>
      <c r="M171" s="4">
        <v>2</v>
      </c>
      <c r="N171" t="s">
        <v>71</v>
      </c>
      <c r="O171" s="4">
        <v>2</v>
      </c>
      <c r="P171" t="s">
        <v>71</v>
      </c>
      <c r="Q171" s="4">
        <v>3</v>
      </c>
      <c r="R171" t="s">
        <v>91</v>
      </c>
      <c r="S171" s="4">
        <v>3</v>
      </c>
      <c r="T171" t="s">
        <v>91</v>
      </c>
      <c r="U171" t="s">
        <v>73</v>
      </c>
      <c r="V171" t="s">
        <v>93</v>
      </c>
      <c r="W171" t="s">
        <v>74</v>
      </c>
      <c r="X171" t="s">
        <v>76</v>
      </c>
      <c r="Y171" t="s">
        <v>69</v>
      </c>
      <c r="Z171" s="4">
        <v>5</v>
      </c>
      <c r="AA171" t="s">
        <v>77</v>
      </c>
      <c r="AB171" s="4">
        <v>130</v>
      </c>
      <c r="AC171" s="4">
        <v>76</v>
      </c>
      <c r="AD171" s="4">
        <v>73</v>
      </c>
      <c r="AE171" s="4">
        <v>165</v>
      </c>
      <c r="AF171" s="4">
        <v>79</v>
      </c>
      <c r="AG171" s="4">
        <v>110</v>
      </c>
      <c r="AH171" s="4">
        <v>128</v>
      </c>
      <c r="AI171" s="4">
        <v>135</v>
      </c>
      <c r="AJ171" s="4">
        <v>39</v>
      </c>
      <c r="AK171" t="s">
        <v>78</v>
      </c>
      <c r="AL171" t="s">
        <v>79</v>
      </c>
      <c r="AM171" t="s">
        <v>80</v>
      </c>
      <c r="AN171" t="s">
        <v>81</v>
      </c>
      <c r="AO171" t="s">
        <v>82</v>
      </c>
      <c r="AP171" t="s">
        <v>83</v>
      </c>
      <c r="AQ171" t="s">
        <v>83</v>
      </c>
      <c r="AR171" t="s">
        <v>83</v>
      </c>
      <c r="AS171" t="s">
        <v>102</v>
      </c>
      <c r="AT171" t="s">
        <v>85</v>
      </c>
      <c r="AU171" t="s">
        <v>85</v>
      </c>
      <c r="AV171" t="s">
        <v>85</v>
      </c>
      <c r="AW171" s="4">
        <v>3</v>
      </c>
      <c r="AX171" s="4">
        <v>1</v>
      </c>
      <c r="AY171" s="4">
        <v>1</v>
      </c>
      <c r="AZ171" s="3">
        <v>1.65</v>
      </c>
      <c r="BA171" s="3">
        <v>2.7224999999999997</v>
      </c>
      <c r="BB171" s="3">
        <v>26.813590449954088</v>
      </c>
      <c r="BC171" t="s">
        <v>98</v>
      </c>
      <c r="BD171" t="s">
        <v>99</v>
      </c>
      <c r="BE171" s="4">
        <v>3</v>
      </c>
      <c r="BF171" t="s">
        <v>87</v>
      </c>
      <c r="BG171" s="1" t="e">
        <v>#NULL!</v>
      </c>
      <c r="BH171" s="4">
        <v>0</v>
      </c>
      <c r="BI171" t="s">
        <v>85</v>
      </c>
      <c r="BJ171" s="4">
        <v>3</v>
      </c>
      <c r="BK171" t="s">
        <v>112</v>
      </c>
    </row>
    <row r="172" spans="1:63" x14ac:dyDescent="0.35">
      <c r="A172" s="4">
        <v>433</v>
      </c>
      <c r="B172" s="4">
        <v>34</v>
      </c>
      <c r="C172" t="s">
        <v>114</v>
      </c>
      <c r="D172" t="s">
        <v>89</v>
      </c>
      <c r="E172" t="s">
        <v>104</v>
      </c>
      <c r="F172" t="s">
        <v>66</v>
      </c>
      <c r="G172" t="s">
        <v>67</v>
      </c>
      <c r="H172" s="2">
        <v>300</v>
      </c>
      <c r="I172" t="s">
        <v>68</v>
      </c>
      <c r="J172" t="s">
        <v>69</v>
      </c>
      <c r="K172" t="s">
        <v>69</v>
      </c>
      <c r="L172" t="s">
        <v>69</v>
      </c>
      <c r="M172" s="4">
        <v>3</v>
      </c>
      <c r="N172" t="s">
        <v>91</v>
      </c>
      <c r="O172" s="4">
        <v>3</v>
      </c>
      <c r="P172" t="s">
        <v>91</v>
      </c>
      <c r="Q172" s="4">
        <v>5</v>
      </c>
      <c r="R172" t="s">
        <v>72</v>
      </c>
      <c r="S172" s="4">
        <v>5</v>
      </c>
      <c r="T172" t="s">
        <v>72</v>
      </c>
      <c r="U172" t="s">
        <v>92</v>
      </c>
      <c r="V172" t="s">
        <v>93</v>
      </c>
      <c r="W172" t="s">
        <v>93</v>
      </c>
      <c r="X172" t="s">
        <v>94</v>
      </c>
      <c r="Y172" t="s">
        <v>69</v>
      </c>
      <c r="Z172" s="4">
        <v>2</v>
      </c>
      <c r="AA172" t="s">
        <v>77</v>
      </c>
      <c r="AB172" s="4">
        <v>124</v>
      </c>
      <c r="AC172" s="4">
        <v>69</v>
      </c>
      <c r="AD172" s="4">
        <v>78</v>
      </c>
      <c r="AE172" s="4">
        <v>179</v>
      </c>
      <c r="AF172" s="4">
        <v>90</v>
      </c>
      <c r="AG172" s="4">
        <v>110</v>
      </c>
      <c r="AH172" s="4">
        <v>120</v>
      </c>
      <c r="AI172" s="4">
        <v>87</v>
      </c>
      <c r="AJ172" s="4">
        <v>55</v>
      </c>
      <c r="AK172" t="s">
        <v>78</v>
      </c>
      <c r="AL172" t="s">
        <v>95</v>
      </c>
      <c r="AM172" t="s">
        <v>80</v>
      </c>
      <c r="AN172" t="s">
        <v>96</v>
      </c>
      <c r="AO172" t="s">
        <v>97</v>
      </c>
      <c r="AP172" t="s">
        <v>85</v>
      </c>
      <c r="AQ172" t="s">
        <v>85</v>
      </c>
      <c r="AR172" t="s">
        <v>85</v>
      </c>
      <c r="AS172" t="s">
        <v>102</v>
      </c>
      <c r="AT172" t="s">
        <v>85</v>
      </c>
      <c r="AU172" t="s">
        <v>83</v>
      </c>
      <c r="AV172" t="s">
        <v>83</v>
      </c>
      <c r="AW172" s="4">
        <v>1</v>
      </c>
      <c r="AX172" s="4">
        <v>0</v>
      </c>
      <c r="AY172" s="4">
        <v>1</v>
      </c>
      <c r="AZ172" s="3">
        <v>1.79</v>
      </c>
      <c r="BA172" s="3">
        <v>3.2040999999999999</v>
      </c>
      <c r="BB172" s="3">
        <v>24.343809494085704</v>
      </c>
      <c r="BC172" t="s">
        <v>85</v>
      </c>
      <c r="BD172" t="s">
        <v>86</v>
      </c>
      <c r="BE172" s="4">
        <v>2</v>
      </c>
      <c r="BF172" t="s">
        <v>87</v>
      </c>
      <c r="BG172" s="1" t="e">
        <v>#NULL!</v>
      </c>
      <c r="BH172" s="4">
        <v>1</v>
      </c>
      <c r="BI172" t="s">
        <v>83</v>
      </c>
      <c r="BJ172" s="4">
        <v>2</v>
      </c>
      <c r="BK172" t="s">
        <v>88</v>
      </c>
    </row>
    <row r="173" spans="1:63" x14ac:dyDescent="0.35">
      <c r="A173" s="4">
        <v>493</v>
      </c>
      <c r="B173" s="4">
        <v>34</v>
      </c>
      <c r="C173" t="s">
        <v>114</v>
      </c>
      <c r="D173" t="s">
        <v>64</v>
      </c>
      <c r="E173" t="s">
        <v>104</v>
      </c>
      <c r="F173" t="s">
        <v>101</v>
      </c>
      <c r="G173" t="s">
        <v>67</v>
      </c>
      <c r="H173" s="2">
        <v>1800</v>
      </c>
      <c r="I173" t="s">
        <v>116</v>
      </c>
      <c r="J173" t="s">
        <v>69</v>
      </c>
      <c r="K173" t="s">
        <v>70</v>
      </c>
      <c r="L173" t="s">
        <v>69</v>
      </c>
      <c r="M173" s="4">
        <v>3</v>
      </c>
      <c r="N173" t="s">
        <v>91</v>
      </c>
      <c r="O173" s="4">
        <v>5</v>
      </c>
      <c r="P173" t="s">
        <v>72</v>
      </c>
      <c r="Q173" s="4">
        <v>4</v>
      </c>
      <c r="R173" t="s">
        <v>91</v>
      </c>
      <c r="S173" s="4">
        <v>2</v>
      </c>
      <c r="T173" t="s">
        <v>71</v>
      </c>
      <c r="U173" t="s">
        <v>118</v>
      </c>
      <c r="V173" t="s">
        <v>93</v>
      </c>
      <c r="W173" t="s">
        <v>93</v>
      </c>
      <c r="X173" t="s">
        <v>94</v>
      </c>
      <c r="Y173" t="s">
        <v>69</v>
      </c>
      <c r="Z173" s="4">
        <v>3</v>
      </c>
      <c r="AA173" t="s">
        <v>77</v>
      </c>
      <c r="AB173" s="4">
        <v>95</v>
      </c>
      <c r="AC173" s="4">
        <v>70</v>
      </c>
      <c r="AD173" s="4">
        <v>67</v>
      </c>
      <c r="AE173" s="4">
        <v>178</v>
      </c>
      <c r="AF173" s="4">
        <v>89</v>
      </c>
      <c r="AG173" s="4">
        <v>94</v>
      </c>
      <c r="AH173" s="4">
        <v>116</v>
      </c>
      <c r="AI173" s="4">
        <v>40</v>
      </c>
      <c r="AJ173" s="4">
        <v>50</v>
      </c>
      <c r="AK173" t="s">
        <v>78</v>
      </c>
      <c r="AL173" t="s">
        <v>95</v>
      </c>
      <c r="AM173" t="s">
        <v>80</v>
      </c>
      <c r="AN173" t="s">
        <v>96</v>
      </c>
      <c r="AO173" t="s">
        <v>97</v>
      </c>
      <c r="AP173" t="s">
        <v>85</v>
      </c>
      <c r="AQ173" t="s">
        <v>85</v>
      </c>
      <c r="AR173" t="s">
        <v>85</v>
      </c>
      <c r="AS173" t="s">
        <v>102</v>
      </c>
      <c r="AT173" t="s">
        <v>85</v>
      </c>
      <c r="AU173" t="s">
        <v>83</v>
      </c>
      <c r="AV173" t="s">
        <v>85</v>
      </c>
      <c r="AW173" s="4">
        <v>1</v>
      </c>
      <c r="AX173" s="4">
        <v>0</v>
      </c>
      <c r="AY173" s="4">
        <v>0</v>
      </c>
      <c r="AZ173" s="3">
        <v>1.78</v>
      </c>
      <c r="BA173" s="3">
        <v>3.1684000000000001</v>
      </c>
      <c r="BB173" s="3">
        <v>21.146319909102385</v>
      </c>
      <c r="BC173" t="s">
        <v>85</v>
      </c>
      <c r="BD173" t="s">
        <v>86</v>
      </c>
      <c r="BE173" s="4">
        <v>1</v>
      </c>
      <c r="BF173" t="s">
        <v>87</v>
      </c>
      <c r="BG173" s="4">
        <v>0</v>
      </c>
      <c r="BH173" s="1" t="e">
        <v>#NULL!</v>
      </c>
      <c r="BI173" t="s">
        <v>85</v>
      </c>
      <c r="BJ173" s="4">
        <v>1</v>
      </c>
      <c r="BK173" t="s">
        <v>88</v>
      </c>
    </row>
    <row r="174" spans="1:63" x14ac:dyDescent="0.35">
      <c r="A174" s="4">
        <v>72</v>
      </c>
      <c r="B174" s="4">
        <v>34</v>
      </c>
      <c r="C174" t="s">
        <v>114</v>
      </c>
      <c r="D174" t="s">
        <v>89</v>
      </c>
      <c r="E174" t="s">
        <v>113</v>
      </c>
      <c r="F174" t="s">
        <v>115</v>
      </c>
      <c r="G174" t="s">
        <v>67</v>
      </c>
      <c r="H174" s="2">
        <v>200</v>
      </c>
      <c r="I174" t="s">
        <v>68</v>
      </c>
      <c r="J174" t="s">
        <v>69</v>
      </c>
      <c r="K174" t="s">
        <v>69</v>
      </c>
      <c r="L174" t="s">
        <v>69</v>
      </c>
      <c r="M174" s="4">
        <v>2</v>
      </c>
      <c r="N174" t="s">
        <v>71</v>
      </c>
      <c r="O174" s="4">
        <v>2</v>
      </c>
      <c r="P174" t="s">
        <v>71</v>
      </c>
      <c r="Q174" s="4">
        <v>3</v>
      </c>
      <c r="R174" t="s">
        <v>91</v>
      </c>
      <c r="S174" s="4">
        <v>2</v>
      </c>
      <c r="T174" t="s">
        <v>71</v>
      </c>
      <c r="U174" t="s">
        <v>92</v>
      </c>
      <c r="V174" t="s">
        <v>74</v>
      </c>
      <c r="W174" t="s">
        <v>93</v>
      </c>
      <c r="X174" t="s">
        <v>94</v>
      </c>
      <c r="Y174" t="s">
        <v>69</v>
      </c>
      <c r="Z174" s="4">
        <v>4</v>
      </c>
      <c r="AA174" t="s">
        <v>77</v>
      </c>
      <c r="AB174" s="4">
        <v>121</v>
      </c>
      <c r="AC174" s="4">
        <v>73</v>
      </c>
      <c r="AD174" s="4">
        <v>52</v>
      </c>
      <c r="AE174" s="4">
        <v>165</v>
      </c>
      <c r="AF174" s="4">
        <v>76</v>
      </c>
      <c r="AG174" s="4">
        <v>80</v>
      </c>
      <c r="AH174" s="4">
        <v>85</v>
      </c>
      <c r="AI174" s="4">
        <v>75</v>
      </c>
      <c r="AJ174" s="4">
        <v>55</v>
      </c>
      <c r="AK174" t="s">
        <v>78</v>
      </c>
      <c r="AL174" t="s">
        <v>95</v>
      </c>
      <c r="AM174" t="s">
        <v>80</v>
      </c>
      <c r="AN174" t="s">
        <v>96</v>
      </c>
      <c r="AO174" t="s">
        <v>97</v>
      </c>
      <c r="AP174" t="s">
        <v>85</v>
      </c>
      <c r="AQ174" t="s">
        <v>85</v>
      </c>
      <c r="AR174" t="s">
        <v>85</v>
      </c>
      <c r="AS174" t="s">
        <v>84</v>
      </c>
      <c r="AT174" t="s">
        <v>85</v>
      </c>
      <c r="AU174" t="s">
        <v>85</v>
      </c>
      <c r="AV174" t="s">
        <v>85</v>
      </c>
      <c r="AW174" s="4">
        <v>0</v>
      </c>
      <c r="AX174" s="4">
        <v>0</v>
      </c>
      <c r="AY174" s="4">
        <v>0</v>
      </c>
      <c r="AZ174" s="3">
        <v>1.65</v>
      </c>
      <c r="BA174" s="3">
        <v>2.7224999999999997</v>
      </c>
      <c r="BB174" s="3">
        <v>19.100091827364558</v>
      </c>
      <c r="BC174" t="s">
        <v>85</v>
      </c>
      <c r="BD174" t="s">
        <v>86</v>
      </c>
      <c r="BE174" s="4">
        <v>0</v>
      </c>
      <c r="BF174" t="s">
        <v>87</v>
      </c>
      <c r="BG174" s="1" t="e">
        <v>#NULL!</v>
      </c>
      <c r="BH174" s="4">
        <v>0</v>
      </c>
      <c r="BI174" t="s">
        <v>85</v>
      </c>
      <c r="BJ174" s="4">
        <v>0</v>
      </c>
      <c r="BK174" t="s">
        <v>88</v>
      </c>
    </row>
    <row r="175" spans="1:63" x14ac:dyDescent="0.35">
      <c r="A175" s="4">
        <v>28</v>
      </c>
      <c r="B175" s="4">
        <v>35</v>
      </c>
      <c r="C175" t="s">
        <v>119</v>
      </c>
      <c r="D175" t="s">
        <v>89</v>
      </c>
      <c r="E175" t="s">
        <v>104</v>
      </c>
      <c r="F175" t="s">
        <v>115</v>
      </c>
      <c r="G175" t="s">
        <v>67</v>
      </c>
      <c r="H175" s="2">
        <v>500</v>
      </c>
      <c r="I175" t="s">
        <v>68</v>
      </c>
      <c r="J175" t="s">
        <v>69</v>
      </c>
      <c r="K175" t="s">
        <v>69</v>
      </c>
      <c r="L175" t="s">
        <v>69</v>
      </c>
      <c r="M175" s="4">
        <v>0</v>
      </c>
      <c r="N175" t="s">
        <v>71</v>
      </c>
      <c r="O175" s="4">
        <v>1</v>
      </c>
      <c r="P175" t="s">
        <v>71</v>
      </c>
      <c r="Q175" s="4">
        <v>4</v>
      </c>
      <c r="R175" t="s">
        <v>91</v>
      </c>
      <c r="S175" s="4">
        <v>4</v>
      </c>
      <c r="T175" t="s">
        <v>91</v>
      </c>
      <c r="U175" t="s">
        <v>92</v>
      </c>
      <c r="V175" t="s">
        <v>74</v>
      </c>
      <c r="W175" t="s">
        <v>93</v>
      </c>
      <c r="X175" t="s">
        <v>94</v>
      </c>
      <c r="Y175" t="s">
        <v>69</v>
      </c>
      <c r="Z175" s="4">
        <v>2</v>
      </c>
      <c r="AA175" t="s">
        <v>77</v>
      </c>
      <c r="AB175" s="4">
        <v>130</v>
      </c>
      <c r="AC175" s="4">
        <v>83</v>
      </c>
      <c r="AD175" s="4">
        <v>56</v>
      </c>
      <c r="AE175" s="4">
        <v>164</v>
      </c>
      <c r="AF175" s="4">
        <v>76</v>
      </c>
      <c r="AG175" s="4">
        <v>90</v>
      </c>
      <c r="AH175" s="4">
        <v>96</v>
      </c>
      <c r="AI175" s="4">
        <v>117</v>
      </c>
      <c r="AJ175" s="4">
        <v>38</v>
      </c>
      <c r="AK175" t="s">
        <v>78</v>
      </c>
      <c r="AL175" t="s">
        <v>79</v>
      </c>
      <c r="AM175" t="s">
        <v>80</v>
      </c>
      <c r="AN175" t="s">
        <v>81</v>
      </c>
      <c r="AO175" t="s">
        <v>82</v>
      </c>
      <c r="AP175" t="s">
        <v>83</v>
      </c>
      <c r="AQ175" t="s">
        <v>83</v>
      </c>
      <c r="AR175" t="s">
        <v>83</v>
      </c>
      <c r="AS175" t="s">
        <v>84</v>
      </c>
      <c r="AT175" t="s">
        <v>85</v>
      </c>
      <c r="AU175" t="s">
        <v>85</v>
      </c>
      <c r="AV175" t="s">
        <v>85</v>
      </c>
      <c r="AW175" s="4">
        <v>2</v>
      </c>
      <c r="AX175" s="4">
        <v>1</v>
      </c>
      <c r="AY175" s="4">
        <v>1</v>
      </c>
      <c r="AZ175" s="3">
        <v>1.64</v>
      </c>
      <c r="BA175" s="3">
        <v>2.6895999999999995</v>
      </c>
      <c r="BB175" s="3">
        <v>20.820939916716245</v>
      </c>
      <c r="BC175" t="s">
        <v>85</v>
      </c>
      <c r="BD175" t="s">
        <v>86</v>
      </c>
      <c r="BE175" s="4">
        <v>2</v>
      </c>
      <c r="BF175" t="s">
        <v>87</v>
      </c>
      <c r="BG175" s="1" t="e">
        <v>#NULL!</v>
      </c>
      <c r="BH175" s="4">
        <v>0</v>
      </c>
      <c r="BI175" t="s">
        <v>85</v>
      </c>
      <c r="BJ175" s="4">
        <v>2</v>
      </c>
      <c r="BK175" t="s">
        <v>88</v>
      </c>
    </row>
    <row r="176" spans="1:63" x14ac:dyDescent="0.35">
      <c r="A176" s="4">
        <v>51</v>
      </c>
      <c r="B176" s="4">
        <v>35</v>
      </c>
      <c r="C176" t="s">
        <v>119</v>
      </c>
      <c r="D176" t="s">
        <v>89</v>
      </c>
      <c r="E176" t="s">
        <v>104</v>
      </c>
      <c r="F176" t="s">
        <v>66</v>
      </c>
      <c r="G176" t="s">
        <v>67</v>
      </c>
      <c r="H176" s="2">
        <v>500</v>
      </c>
      <c r="I176" t="s">
        <v>68</v>
      </c>
      <c r="J176" t="s">
        <v>69</v>
      </c>
      <c r="K176" t="s">
        <v>69</v>
      </c>
      <c r="L176" t="s">
        <v>69</v>
      </c>
      <c r="M176" s="4">
        <v>2</v>
      </c>
      <c r="N176" t="s">
        <v>71</v>
      </c>
      <c r="O176" s="4">
        <v>2</v>
      </c>
      <c r="P176" t="s">
        <v>71</v>
      </c>
      <c r="Q176" s="4">
        <v>3</v>
      </c>
      <c r="R176" t="s">
        <v>91</v>
      </c>
      <c r="S176" s="4">
        <v>2</v>
      </c>
      <c r="T176" t="s">
        <v>71</v>
      </c>
      <c r="U176" t="s">
        <v>92</v>
      </c>
      <c r="V176" t="s">
        <v>93</v>
      </c>
      <c r="W176" t="s">
        <v>93</v>
      </c>
      <c r="X176" t="s">
        <v>94</v>
      </c>
      <c r="Y176" t="s">
        <v>69</v>
      </c>
      <c r="Z176" s="4">
        <v>5</v>
      </c>
      <c r="AA176" t="s">
        <v>77</v>
      </c>
      <c r="AB176" s="4">
        <v>118</v>
      </c>
      <c r="AC176" s="4">
        <v>81</v>
      </c>
      <c r="AD176" s="4">
        <v>96</v>
      </c>
      <c r="AE176" s="4">
        <v>171</v>
      </c>
      <c r="AF176" s="4">
        <v>102</v>
      </c>
      <c r="AG176" s="4">
        <v>127</v>
      </c>
      <c r="AH176" s="4">
        <v>93</v>
      </c>
      <c r="AI176" s="4">
        <v>108</v>
      </c>
      <c r="AJ176" s="4">
        <v>43</v>
      </c>
      <c r="AK176" t="s">
        <v>78</v>
      </c>
      <c r="AL176" t="s">
        <v>95</v>
      </c>
      <c r="AM176" t="s">
        <v>80</v>
      </c>
      <c r="AN176" t="s">
        <v>96</v>
      </c>
      <c r="AO176" t="s">
        <v>97</v>
      </c>
      <c r="AP176" t="s">
        <v>83</v>
      </c>
      <c r="AQ176" t="s">
        <v>85</v>
      </c>
      <c r="AR176" t="s">
        <v>83</v>
      </c>
      <c r="AS176" t="s">
        <v>84</v>
      </c>
      <c r="AT176" t="s">
        <v>83</v>
      </c>
      <c r="AU176" t="s">
        <v>83</v>
      </c>
      <c r="AV176" t="s">
        <v>83</v>
      </c>
      <c r="AW176" s="4">
        <v>1</v>
      </c>
      <c r="AX176" s="4">
        <v>0</v>
      </c>
      <c r="AY176" s="4">
        <v>1</v>
      </c>
      <c r="AZ176" s="3">
        <v>1.71</v>
      </c>
      <c r="BA176" s="3">
        <v>2.9240999999999997</v>
      </c>
      <c r="BB176" s="3">
        <v>32.830614548066073</v>
      </c>
      <c r="BC176" t="s">
        <v>110</v>
      </c>
      <c r="BD176" t="s">
        <v>99</v>
      </c>
      <c r="BE176" s="4">
        <v>2</v>
      </c>
      <c r="BF176" t="s">
        <v>87</v>
      </c>
      <c r="BG176" s="1" t="e">
        <v>#NULL!</v>
      </c>
      <c r="BH176" s="4">
        <v>1</v>
      </c>
      <c r="BI176" t="s">
        <v>83</v>
      </c>
      <c r="BJ176" s="4">
        <v>2</v>
      </c>
      <c r="BK176" t="s">
        <v>88</v>
      </c>
    </row>
    <row r="177" spans="1:63" x14ac:dyDescent="0.35">
      <c r="A177" s="4">
        <v>55</v>
      </c>
      <c r="B177" s="4">
        <v>35</v>
      </c>
      <c r="C177" t="s">
        <v>119</v>
      </c>
      <c r="D177" t="s">
        <v>89</v>
      </c>
      <c r="E177" t="s">
        <v>104</v>
      </c>
      <c r="F177" t="s">
        <v>115</v>
      </c>
      <c r="G177" t="s">
        <v>67</v>
      </c>
      <c r="H177" s="2">
        <v>400</v>
      </c>
      <c r="I177" t="s">
        <v>68</v>
      </c>
      <c r="J177" t="s">
        <v>69</v>
      </c>
      <c r="K177" t="s">
        <v>69</v>
      </c>
      <c r="L177" t="s">
        <v>69</v>
      </c>
      <c r="M177" s="4">
        <v>2</v>
      </c>
      <c r="N177" t="s">
        <v>71</v>
      </c>
      <c r="O177" s="4">
        <v>2</v>
      </c>
      <c r="P177" t="s">
        <v>71</v>
      </c>
      <c r="Q177" s="4">
        <v>3</v>
      </c>
      <c r="R177" t="s">
        <v>91</v>
      </c>
      <c r="S177" s="4">
        <v>3</v>
      </c>
      <c r="T177" t="s">
        <v>91</v>
      </c>
      <c r="U177" t="s">
        <v>73</v>
      </c>
      <c r="V177" t="s">
        <v>93</v>
      </c>
      <c r="W177" t="s">
        <v>74</v>
      </c>
      <c r="X177" t="s">
        <v>76</v>
      </c>
      <c r="Y177" t="s">
        <v>69</v>
      </c>
      <c r="Z177" s="4">
        <v>5</v>
      </c>
      <c r="AA177" t="s">
        <v>77</v>
      </c>
      <c r="AB177" s="4">
        <v>130</v>
      </c>
      <c r="AC177" s="4">
        <v>76</v>
      </c>
      <c r="AD177" s="4">
        <v>73</v>
      </c>
      <c r="AE177" s="4">
        <v>165</v>
      </c>
      <c r="AF177" s="4">
        <v>79</v>
      </c>
      <c r="AG177" s="4">
        <v>110</v>
      </c>
      <c r="AH177" s="4">
        <v>128</v>
      </c>
      <c r="AI177" s="4">
        <v>135</v>
      </c>
      <c r="AJ177" s="4">
        <v>39</v>
      </c>
      <c r="AK177" t="s">
        <v>78</v>
      </c>
      <c r="AL177" t="s">
        <v>79</v>
      </c>
      <c r="AM177" t="s">
        <v>80</v>
      </c>
      <c r="AN177" t="s">
        <v>81</v>
      </c>
      <c r="AO177" t="s">
        <v>82</v>
      </c>
      <c r="AP177" t="s">
        <v>83</v>
      </c>
      <c r="AQ177" t="s">
        <v>83</v>
      </c>
      <c r="AR177" t="s">
        <v>83</v>
      </c>
      <c r="AS177" t="s">
        <v>102</v>
      </c>
      <c r="AT177" t="s">
        <v>85</v>
      </c>
      <c r="AU177" t="s">
        <v>85</v>
      </c>
      <c r="AV177" t="s">
        <v>85</v>
      </c>
      <c r="AW177" s="4">
        <v>3</v>
      </c>
      <c r="AX177" s="4">
        <v>1</v>
      </c>
      <c r="AY177" s="4">
        <v>1</v>
      </c>
      <c r="AZ177" s="3">
        <v>1.65</v>
      </c>
      <c r="BA177" s="3">
        <v>2.7224999999999997</v>
      </c>
      <c r="BB177" s="3">
        <v>26.813590449954088</v>
      </c>
      <c r="BC177" t="s">
        <v>98</v>
      </c>
      <c r="BD177" t="s">
        <v>99</v>
      </c>
      <c r="BE177" s="4">
        <v>3</v>
      </c>
      <c r="BF177" t="s">
        <v>87</v>
      </c>
      <c r="BG177" s="1" t="e">
        <v>#NULL!</v>
      </c>
      <c r="BH177" s="4">
        <v>0</v>
      </c>
      <c r="BI177" t="s">
        <v>85</v>
      </c>
      <c r="BJ177" s="4">
        <v>3</v>
      </c>
      <c r="BK177" t="s">
        <v>112</v>
      </c>
    </row>
    <row r="178" spans="1:63" x14ac:dyDescent="0.35">
      <c r="A178" s="4">
        <v>79</v>
      </c>
      <c r="B178" s="4">
        <v>35</v>
      </c>
      <c r="C178" t="s">
        <v>119</v>
      </c>
      <c r="D178" t="s">
        <v>89</v>
      </c>
      <c r="E178" t="s">
        <v>104</v>
      </c>
      <c r="F178" t="s">
        <v>101</v>
      </c>
      <c r="G178" t="s">
        <v>67</v>
      </c>
      <c r="H178" s="2">
        <v>800</v>
      </c>
      <c r="I178" t="s">
        <v>105</v>
      </c>
      <c r="J178" t="s">
        <v>69</v>
      </c>
      <c r="K178" t="s">
        <v>69</v>
      </c>
      <c r="L178" t="s">
        <v>69</v>
      </c>
      <c r="M178" s="4">
        <v>4</v>
      </c>
      <c r="N178" t="s">
        <v>91</v>
      </c>
      <c r="O178" s="4">
        <v>3</v>
      </c>
      <c r="P178" t="s">
        <v>91</v>
      </c>
      <c r="Q178" s="4">
        <v>2</v>
      </c>
      <c r="R178" t="s">
        <v>71</v>
      </c>
      <c r="S178" s="4">
        <v>1</v>
      </c>
      <c r="T178" t="s">
        <v>71</v>
      </c>
      <c r="U178" t="s">
        <v>92</v>
      </c>
      <c r="V178" t="s">
        <v>93</v>
      </c>
      <c r="W178" t="s">
        <v>74</v>
      </c>
      <c r="X178" t="s">
        <v>76</v>
      </c>
      <c r="Y178" t="s">
        <v>69</v>
      </c>
      <c r="Z178" s="4">
        <v>5</v>
      </c>
      <c r="AA178" t="s">
        <v>77</v>
      </c>
      <c r="AB178" s="4">
        <v>115</v>
      </c>
      <c r="AC178" s="4">
        <v>78</v>
      </c>
      <c r="AD178" s="4">
        <v>60</v>
      </c>
      <c r="AE178" s="4">
        <v>163</v>
      </c>
      <c r="AF178" s="4">
        <v>76</v>
      </c>
      <c r="AG178" s="4">
        <v>95</v>
      </c>
      <c r="AH178" s="4">
        <v>74</v>
      </c>
      <c r="AI178" s="4">
        <v>133</v>
      </c>
      <c r="AJ178" s="4">
        <v>52</v>
      </c>
      <c r="AK178" t="s">
        <v>78</v>
      </c>
      <c r="AL178" t="s">
        <v>95</v>
      </c>
      <c r="AM178" t="s">
        <v>80</v>
      </c>
      <c r="AN178" t="s">
        <v>96</v>
      </c>
      <c r="AO178" t="s">
        <v>97</v>
      </c>
      <c r="AP178" t="s">
        <v>85</v>
      </c>
      <c r="AQ178" t="s">
        <v>85</v>
      </c>
      <c r="AR178" t="s">
        <v>85</v>
      </c>
      <c r="AS178" t="s">
        <v>84</v>
      </c>
      <c r="AT178" t="s">
        <v>85</v>
      </c>
      <c r="AU178" t="s">
        <v>85</v>
      </c>
      <c r="AV178" t="s">
        <v>85</v>
      </c>
      <c r="AW178" s="4">
        <v>0</v>
      </c>
      <c r="AX178" s="4">
        <v>0</v>
      </c>
      <c r="AY178" s="4">
        <v>0</v>
      </c>
      <c r="AZ178" s="3">
        <v>1.63</v>
      </c>
      <c r="BA178" s="3">
        <v>2.6568999999999998</v>
      </c>
      <c r="BB178" s="3">
        <v>22.582709172343712</v>
      </c>
      <c r="BC178" t="s">
        <v>85</v>
      </c>
      <c r="BD178" t="s">
        <v>86</v>
      </c>
      <c r="BE178" s="4">
        <v>0</v>
      </c>
      <c r="BF178" t="s">
        <v>87</v>
      </c>
      <c r="BG178" s="1" t="e">
        <v>#NULL!</v>
      </c>
      <c r="BH178" s="4">
        <v>0</v>
      </c>
      <c r="BI178" t="s">
        <v>85</v>
      </c>
      <c r="BJ178" s="4">
        <v>0</v>
      </c>
      <c r="BK178" t="s">
        <v>88</v>
      </c>
    </row>
    <row r="179" spans="1:63" x14ac:dyDescent="0.35">
      <c r="A179" s="4">
        <v>129</v>
      </c>
      <c r="B179" s="4">
        <v>35</v>
      </c>
      <c r="C179" t="s">
        <v>119</v>
      </c>
      <c r="D179" t="s">
        <v>89</v>
      </c>
      <c r="E179" t="s">
        <v>104</v>
      </c>
      <c r="F179" t="s">
        <v>90</v>
      </c>
      <c r="G179" t="s">
        <v>67</v>
      </c>
      <c r="H179" s="2">
        <v>400</v>
      </c>
      <c r="I179" t="s">
        <v>68</v>
      </c>
      <c r="J179" t="s">
        <v>69</v>
      </c>
      <c r="K179" t="s">
        <v>69</v>
      </c>
      <c r="L179" t="s">
        <v>69</v>
      </c>
      <c r="M179" s="4">
        <v>2</v>
      </c>
      <c r="N179" t="s">
        <v>71</v>
      </c>
      <c r="O179" s="4">
        <v>5</v>
      </c>
      <c r="P179" t="s">
        <v>72</v>
      </c>
      <c r="Q179" s="4">
        <v>3</v>
      </c>
      <c r="R179" t="s">
        <v>91</v>
      </c>
      <c r="S179" s="4">
        <v>5</v>
      </c>
      <c r="T179" t="s">
        <v>72</v>
      </c>
      <c r="U179" t="s">
        <v>92</v>
      </c>
      <c r="V179" t="s">
        <v>93</v>
      </c>
      <c r="W179" t="s">
        <v>93</v>
      </c>
      <c r="X179" t="s">
        <v>94</v>
      </c>
      <c r="Y179" t="s">
        <v>69</v>
      </c>
      <c r="Z179" s="4">
        <v>5</v>
      </c>
      <c r="AA179" t="s">
        <v>77</v>
      </c>
      <c r="AB179" s="4">
        <v>118</v>
      </c>
      <c r="AC179" s="4">
        <v>70</v>
      </c>
      <c r="AD179" s="4">
        <v>44</v>
      </c>
      <c r="AE179" s="4">
        <v>153</v>
      </c>
      <c r="AF179" s="4">
        <v>76</v>
      </c>
      <c r="AG179" s="4">
        <v>86</v>
      </c>
      <c r="AH179" s="4">
        <v>184</v>
      </c>
      <c r="AI179" s="4">
        <v>129</v>
      </c>
      <c r="AJ179" s="4">
        <v>26</v>
      </c>
      <c r="AK179" t="s">
        <v>78</v>
      </c>
      <c r="AL179" t="s">
        <v>95</v>
      </c>
      <c r="AM179" t="s">
        <v>80</v>
      </c>
      <c r="AN179" t="s">
        <v>96</v>
      </c>
      <c r="AO179" t="s">
        <v>97</v>
      </c>
      <c r="AP179" t="s">
        <v>83</v>
      </c>
      <c r="AQ179" t="s">
        <v>83</v>
      </c>
      <c r="AR179" t="s">
        <v>83</v>
      </c>
      <c r="AS179" t="s">
        <v>102</v>
      </c>
      <c r="AT179" t="s">
        <v>85</v>
      </c>
      <c r="AU179" t="s">
        <v>85</v>
      </c>
      <c r="AV179" t="s">
        <v>85</v>
      </c>
      <c r="AW179" s="4">
        <v>2</v>
      </c>
      <c r="AX179" s="4">
        <v>1</v>
      </c>
      <c r="AY179" s="4">
        <v>1</v>
      </c>
      <c r="AZ179" s="3">
        <v>1.53</v>
      </c>
      <c r="BA179" s="3">
        <v>2.3409</v>
      </c>
      <c r="BB179" s="3">
        <v>18.796189499765049</v>
      </c>
      <c r="BC179" t="s">
        <v>85</v>
      </c>
      <c r="BD179" t="s">
        <v>86</v>
      </c>
      <c r="BE179" s="4">
        <v>2</v>
      </c>
      <c r="BF179" t="s">
        <v>87</v>
      </c>
      <c r="BG179" s="1" t="e">
        <v>#NULL!</v>
      </c>
      <c r="BH179" s="4">
        <v>0</v>
      </c>
      <c r="BI179" t="s">
        <v>85</v>
      </c>
      <c r="BJ179" s="4">
        <v>2</v>
      </c>
      <c r="BK179" t="s">
        <v>88</v>
      </c>
    </row>
    <row r="180" spans="1:63" x14ac:dyDescent="0.35">
      <c r="A180" s="4">
        <v>148</v>
      </c>
      <c r="B180" s="4">
        <v>35</v>
      </c>
      <c r="C180" t="s">
        <v>119</v>
      </c>
      <c r="D180" t="s">
        <v>89</v>
      </c>
      <c r="E180" t="s">
        <v>65</v>
      </c>
      <c r="F180" t="s">
        <v>101</v>
      </c>
      <c r="G180" t="s">
        <v>67</v>
      </c>
      <c r="H180" s="2">
        <v>380</v>
      </c>
      <c r="I180" t="s">
        <v>68</v>
      </c>
      <c r="J180" t="s">
        <v>69</v>
      </c>
      <c r="K180" t="s">
        <v>69</v>
      </c>
      <c r="L180" t="s">
        <v>69</v>
      </c>
      <c r="M180" s="4">
        <v>2</v>
      </c>
      <c r="N180" t="s">
        <v>71</v>
      </c>
      <c r="O180" s="4">
        <v>2</v>
      </c>
      <c r="P180" t="s">
        <v>71</v>
      </c>
      <c r="Q180" s="4">
        <v>4</v>
      </c>
      <c r="R180" t="s">
        <v>91</v>
      </c>
      <c r="S180" s="4">
        <v>4</v>
      </c>
      <c r="T180" t="s">
        <v>91</v>
      </c>
      <c r="U180" t="s">
        <v>103</v>
      </c>
      <c r="V180" t="s">
        <v>93</v>
      </c>
      <c r="W180" t="s">
        <v>93</v>
      </c>
      <c r="X180" t="s">
        <v>94</v>
      </c>
      <c r="Y180" t="s">
        <v>69</v>
      </c>
      <c r="Z180" s="4">
        <v>1</v>
      </c>
      <c r="AA180" t="s">
        <v>77</v>
      </c>
      <c r="AB180" s="4">
        <v>149</v>
      </c>
      <c r="AC180" s="4">
        <v>88</v>
      </c>
      <c r="AD180" s="4">
        <v>74</v>
      </c>
      <c r="AE180" s="4">
        <v>167</v>
      </c>
      <c r="AF180" s="4">
        <v>111</v>
      </c>
      <c r="AG180" s="4">
        <v>118</v>
      </c>
      <c r="AH180" s="4">
        <v>325</v>
      </c>
      <c r="AI180" s="4">
        <v>90</v>
      </c>
      <c r="AJ180" s="4">
        <v>57</v>
      </c>
      <c r="AK180" t="s">
        <v>78</v>
      </c>
      <c r="AL180" t="s">
        <v>79</v>
      </c>
      <c r="AM180" t="s">
        <v>108</v>
      </c>
      <c r="AN180" t="s">
        <v>109</v>
      </c>
      <c r="AO180" t="s">
        <v>82</v>
      </c>
      <c r="AP180" t="s">
        <v>85</v>
      </c>
      <c r="AQ180" t="s">
        <v>85</v>
      </c>
      <c r="AR180" t="s">
        <v>85</v>
      </c>
      <c r="AS180" t="s">
        <v>102</v>
      </c>
      <c r="AT180" t="s">
        <v>83</v>
      </c>
      <c r="AU180" t="s">
        <v>83</v>
      </c>
      <c r="AV180" t="s">
        <v>83</v>
      </c>
      <c r="AW180" s="4">
        <v>2</v>
      </c>
      <c r="AX180" s="4">
        <v>1</v>
      </c>
      <c r="AY180" s="4">
        <v>2</v>
      </c>
      <c r="AZ180" s="3">
        <v>1.67</v>
      </c>
      <c r="BA180" s="3">
        <v>2.7888999999999999</v>
      </c>
      <c r="BB180" s="3">
        <v>26.533758829646096</v>
      </c>
      <c r="BC180" t="s">
        <v>98</v>
      </c>
      <c r="BD180" t="s">
        <v>99</v>
      </c>
      <c r="BE180" s="4">
        <v>3</v>
      </c>
      <c r="BF180" t="s">
        <v>111</v>
      </c>
      <c r="BG180" s="1" t="e">
        <v>#NULL!</v>
      </c>
      <c r="BH180" s="4">
        <v>1</v>
      </c>
      <c r="BI180" t="s">
        <v>83</v>
      </c>
      <c r="BJ180" s="4">
        <v>3</v>
      </c>
      <c r="BK180" t="s">
        <v>112</v>
      </c>
    </row>
    <row r="181" spans="1:63" x14ac:dyDescent="0.35">
      <c r="A181" s="4">
        <v>180</v>
      </c>
      <c r="B181" s="4">
        <v>35</v>
      </c>
      <c r="C181" t="s">
        <v>119</v>
      </c>
      <c r="D181" t="s">
        <v>64</v>
      </c>
      <c r="E181" t="s">
        <v>104</v>
      </c>
      <c r="F181" t="s">
        <v>101</v>
      </c>
      <c r="G181" t="s">
        <v>67</v>
      </c>
      <c r="H181" s="2">
        <v>1800</v>
      </c>
      <c r="I181" t="s">
        <v>116</v>
      </c>
      <c r="J181" t="s">
        <v>69</v>
      </c>
      <c r="K181" t="s">
        <v>69</v>
      </c>
      <c r="L181" t="s">
        <v>69</v>
      </c>
      <c r="M181" s="4">
        <v>3</v>
      </c>
      <c r="N181" t="s">
        <v>91</v>
      </c>
      <c r="O181" s="4">
        <v>5</v>
      </c>
      <c r="P181" t="s">
        <v>72</v>
      </c>
      <c r="Q181" s="4">
        <v>4</v>
      </c>
      <c r="R181" t="s">
        <v>91</v>
      </c>
      <c r="S181" s="4">
        <v>2</v>
      </c>
      <c r="T181" t="s">
        <v>71</v>
      </c>
      <c r="U181" t="s">
        <v>118</v>
      </c>
      <c r="V181" t="s">
        <v>93</v>
      </c>
      <c r="W181" t="s">
        <v>93</v>
      </c>
      <c r="X181" t="s">
        <v>94</v>
      </c>
      <c r="Y181" t="s">
        <v>69</v>
      </c>
      <c r="Z181" s="4">
        <v>3</v>
      </c>
      <c r="AA181" t="s">
        <v>77</v>
      </c>
      <c r="AB181" s="4">
        <v>95</v>
      </c>
      <c r="AC181" s="4">
        <v>70</v>
      </c>
      <c r="AD181" s="4">
        <v>67</v>
      </c>
      <c r="AE181" s="4">
        <v>178</v>
      </c>
      <c r="AF181" s="4">
        <v>89</v>
      </c>
      <c r="AG181" s="4">
        <v>94</v>
      </c>
      <c r="AH181" s="4">
        <v>116</v>
      </c>
      <c r="AI181" s="4">
        <v>40</v>
      </c>
      <c r="AJ181" s="4">
        <v>50</v>
      </c>
      <c r="AK181" t="s">
        <v>78</v>
      </c>
      <c r="AL181" t="s">
        <v>95</v>
      </c>
      <c r="AM181" t="s">
        <v>80</v>
      </c>
      <c r="AN181" t="s">
        <v>96</v>
      </c>
      <c r="AO181" t="s">
        <v>97</v>
      </c>
      <c r="AP181" t="s">
        <v>85</v>
      </c>
      <c r="AQ181" t="s">
        <v>85</v>
      </c>
      <c r="AR181" t="s">
        <v>85</v>
      </c>
      <c r="AS181" t="s">
        <v>102</v>
      </c>
      <c r="AT181" t="s">
        <v>85</v>
      </c>
      <c r="AU181" t="s">
        <v>83</v>
      </c>
      <c r="AV181" t="s">
        <v>85</v>
      </c>
      <c r="AW181" s="4">
        <v>1</v>
      </c>
      <c r="AX181" s="4">
        <v>0</v>
      </c>
      <c r="AY181" s="4">
        <v>0</v>
      </c>
      <c r="AZ181" s="3">
        <v>1.78</v>
      </c>
      <c r="BA181" s="3">
        <v>3.1684000000000001</v>
      </c>
      <c r="BB181" s="3">
        <v>21.146319909102385</v>
      </c>
      <c r="BC181" t="s">
        <v>85</v>
      </c>
      <c r="BD181" t="s">
        <v>86</v>
      </c>
      <c r="BE181" s="4">
        <v>1</v>
      </c>
      <c r="BF181" t="s">
        <v>87</v>
      </c>
      <c r="BG181" s="4">
        <v>0</v>
      </c>
      <c r="BH181" s="1" t="e">
        <v>#NULL!</v>
      </c>
      <c r="BI181" t="s">
        <v>85</v>
      </c>
      <c r="BJ181" s="4">
        <v>1</v>
      </c>
      <c r="BK181" t="s">
        <v>88</v>
      </c>
    </row>
    <row r="182" spans="1:63" x14ac:dyDescent="0.35">
      <c r="A182" s="4">
        <v>186</v>
      </c>
      <c r="B182" s="4">
        <v>35</v>
      </c>
      <c r="C182" t="s">
        <v>119</v>
      </c>
      <c r="D182" t="s">
        <v>89</v>
      </c>
      <c r="E182" t="s">
        <v>104</v>
      </c>
      <c r="F182" t="s">
        <v>66</v>
      </c>
      <c r="G182" t="s">
        <v>67</v>
      </c>
      <c r="H182" s="2">
        <v>100</v>
      </c>
      <c r="I182" t="s">
        <v>68</v>
      </c>
      <c r="J182" t="s">
        <v>69</v>
      </c>
      <c r="K182" t="s">
        <v>69</v>
      </c>
      <c r="L182" t="s">
        <v>69</v>
      </c>
      <c r="M182" s="4">
        <v>4</v>
      </c>
      <c r="N182" t="s">
        <v>91</v>
      </c>
      <c r="O182" s="4">
        <v>2</v>
      </c>
      <c r="P182" t="s">
        <v>71</v>
      </c>
      <c r="Q182" s="4">
        <v>5</v>
      </c>
      <c r="R182" t="s">
        <v>72</v>
      </c>
      <c r="S182" s="4">
        <v>1</v>
      </c>
      <c r="T182" t="s">
        <v>71</v>
      </c>
      <c r="U182" t="s">
        <v>92</v>
      </c>
      <c r="V182" t="s">
        <v>93</v>
      </c>
      <c r="W182" t="s">
        <v>93</v>
      </c>
      <c r="X182" t="s">
        <v>94</v>
      </c>
      <c r="Y182" t="s">
        <v>69</v>
      </c>
      <c r="Z182" s="4">
        <v>4</v>
      </c>
      <c r="AA182" t="s">
        <v>77</v>
      </c>
      <c r="AB182" s="4">
        <v>104</v>
      </c>
      <c r="AC182" s="4">
        <v>67</v>
      </c>
      <c r="AD182" s="4">
        <v>70</v>
      </c>
      <c r="AE182" s="4">
        <v>168</v>
      </c>
      <c r="AF182" s="4">
        <v>79</v>
      </c>
      <c r="AG182" s="4">
        <v>102</v>
      </c>
      <c r="AH182" s="4">
        <v>97</v>
      </c>
      <c r="AI182" s="4">
        <v>83</v>
      </c>
      <c r="AJ182" s="4">
        <v>39</v>
      </c>
      <c r="AK182" t="s">
        <v>78</v>
      </c>
      <c r="AL182" t="s">
        <v>95</v>
      </c>
      <c r="AM182" t="s">
        <v>80</v>
      </c>
      <c r="AN182" t="s">
        <v>96</v>
      </c>
      <c r="AO182" t="s">
        <v>97</v>
      </c>
      <c r="AP182" t="s">
        <v>83</v>
      </c>
      <c r="AQ182" t="s">
        <v>83</v>
      </c>
      <c r="AR182" t="s">
        <v>83</v>
      </c>
      <c r="AS182" t="s">
        <v>84</v>
      </c>
      <c r="AT182" t="s">
        <v>85</v>
      </c>
      <c r="AU182" t="s">
        <v>85</v>
      </c>
      <c r="AV182" t="s">
        <v>85</v>
      </c>
      <c r="AW182" s="4">
        <v>1</v>
      </c>
      <c r="AX182" s="4">
        <v>0</v>
      </c>
      <c r="AY182" s="4">
        <v>0</v>
      </c>
      <c r="AZ182" s="3">
        <v>1.68</v>
      </c>
      <c r="BA182" s="3">
        <v>2.8223999999999996</v>
      </c>
      <c r="BB182" s="3">
        <v>24.801587301587304</v>
      </c>
      <c r="BC182" t="s">
        <v>85</v>
      </c>
      <c r="BD182" t="s">
        <v>86</v>
      </c>
      <c r="BE182" s="4">
        <v>1</v>
      </c>
      <c r="BF182" t="s">
        <v>87</v>
      </c>
      <c r="BG182" s="1" t="e">
        <v>#NULL!</v>
      </c>
      <c r="BH182" s="4">
        <v>0</v>
      </c>
      <c r="BI182" t="s">
        <v>85</v>
      </c>
      <c r="BJ182" s="4">
        <v>1</v>
      </c>
      <c r="BK182" t="s">
        <v>88</v>
      </c>
    </row>
    <row r="183" spans="1:63" x14ac:dyDescent="0.35">
      <c r="A183" s="4">
        <v>190</v>
      </c>
      <c r="B183" s="4">
        <v>35</v>
      </c>
      <c r="C183" t="s">
        <v>119</v>
      </c>
      <c r="D183" t="s">
        <v>89</v>
      </c>
      <c r="E183" t="s">
        <v>104</v>
      </c>
      <c r="F183" t="s">
        <v>101</v>
      </c>
      <c r="G183" t="s">
        <v>67</v>
      </c>
      <c r="H183" s="2">
        <v>900</v>
      </c>
      <c r="I183" t="s">
        <v>105</v>
      </c>
      <c r="J183" t="s">
        <v>69</v>
      </c>
      <c r="K183" t="s">
        <v>69</v>
      </c>
      <c r="L183" t="s">
        <v>69</v>
      </c>
      <c r="M183" s="4">
        <v>7</v>
      </c>
      <c r="N183" t="s">
        <v>72</v>
      </c>
      <c r="O183" s="4">
        <v>3</v>
      </c>
      <c r="P183" t="s">
        <v>91</v>
      </c>
      <c r="Q183" s="4">
        <v>7</v>
      </c>
      <c r="R183" t="s">
        <v>72</v>
      </c>
      <c r="S183" s="4">
        <v>3</v>
      </c>
      <c r="T183" t="s">
        <v>91</v>
      </c>
      <c r="U183" t="s">
        <v>73</v>
      </c>
      <c r="V183" t="s">
        <v>93</v>
      </c>
      <c r="W183" t="s">
        <v>75</v>
      </c>
      <c r="X183" t="s">
        <v>76</v>
      </c>
      <c r="Y183" t="s">
        <v>69</v>
      </c>
      <c r="Z183" s="4">
        <v>2</v>
      </c>
      <c r="AA183" t="s">
        <v>77</v>
      </c>
      <c r="AB183" s="4">
        <v>116</v>
      </c>
      <c r="AC183" s="4">
        <v>80</v>
      </c>
      <c r="AD183" s="4">
        <v>91</v>
      </c>
      <c r="AE183" s="4">
        <v>169</v>
      </c>
      <c r="AF183" s="4">
        <v>93</v>
      </c>
      <c r="AG183" s="4">
        <v>121</v>
      </c>
      <c r="AH183" s="4">
        <v>82</v>
      </c>
      <c r="AI183" s="4">
        <v>99</v>
      </c>
      <c r="AJ183" s="4">
        <v>53</v>
      </c>
      <c r="AK183" t="s">
        <v>78</v>
      </c>
      <c r="AL183" t="s">
        <v>95</v>
      </c>
      <c r="AM183" t="s">
        <v>80</v>
      </c>
      <c r="AN183" t="s">
        <v>96</v>
      </c>
      <c r="AO183" t="s">
        <v>97</v>
      </c>
      <c r="AP183" t="s">
        <v>85</v>
      </c>
      <c r="AQ183" t="s">
        <v>85</v>
      </c>
      <c r="AR183" t="s">
        <v>85</v>
      </c>
      <c r="AS183" t="s">
        <v>84</v>
      </c>
      <c r="AT183" t="s">
        <v>85</v>
      </c>
      <c r="AU183" t="s">
        <v>83</v>
      </c>
      <c r="AV183" t="s">
        <v>83</v>
      </c>
      <c r="AW183" s="4">
        <v>0</v>
      </c>
      <c r="AX183" s="4">
        <v>0</v>
      </c>
      <c r="AY183" s="4">
        <v>1</v>
      </c>
      <c r="AZ183" s="3">
        <v>1.69</v>
      </c>
      <c r="BA183" s="3">
        <v>2.8560999999999996</v>
      </c>
      <c r="BB183" s="3">
        <v>31.861629494765594</v>
      </c>
      <c r="BC183" t="s">
        <v>110</v>
      </c>
      <c r="BD183" t="s">
        <v>99</v>
      </c>
      <c r="BE183" s="4">
        <v>1</v>
      </c>
      <c r="BF183" t="s">
        <v>87</v>
      </c>
      <c r="BG183" s="1" t="e">
        <v>#NULL!</v>
      </c>
      <c r="BH183" s="4">
        <v>1</v>
      </c>
      <c r="BI183" t="s">
        <v>83</v>
      </c>
      <c r="BJ183" s="4">
        <v>1</v>
      </c>
      <c r="BK183" t="s">
        <v>88</v>
      </c>
    </row>
    <row r="184" spans="1:63" x14ac:dyDescent="0.35">
      <c r="A184" s="4">
        <v>210</v>
      </c>
      <c r="B184" s="4">
        <v>35</v>
      </c>
      <c r="C184" t="s">
        <v>119</v>
      </c>
      <c r="D184" t="s">
        <v>64</v>
      </c>
      <c r="E184" t="s">
        <v>104</v>
      </c>
      <c r="F184" t="s">
        <v>90</v>
      </c>
      <c r="G184" t="s">
        <v>67</v>
      </c>
      <c r="H184" s="2">
        <v>800</v>
      </c>
      <c r="I184" t="s">
        <v>105</v>
      </c>
      <c r="J184" t="s">
        <v>69</v>
      </c>
      <c r="K184" t="s">
        <v>69</v>
      </c>
      <c r="L184" t="s">
        <v>69</v>
      </c>
      <c r="M184" s="4">
        <v>4</v>
      </c>
      <c r="N184" t="s">
        <v>91</v>
      </c>
      <c r="O184" s="4">
        <v>5</v>
      </c>
      <c r="P184" t="s">
        <v>72</v>
      </c>
      <c r="Q184" s="4">
        <v>4</v>
      </c>
      <c r="R184" t="s">
        <v>91</v>
      </c>
      <c r="S184" s="4">
        <v>6</v>
      </c>
      <c r="T184" t="s">
        <v>72</v>
      </c>
      <c r="U184" t="s">
        <v>92</v>
      </c>
      <c r="V184" t="s">
        <v>93</v>
      </c>
      <c r="W184" t="s">
        <v>93</v>
      </c>
      <c r="X184" t="s">
        <v>94</v>
      </c>
      <c r="Y184" t="s">
        <v>69</v>
      </c>
      <c r="Z184" s="4">
        <v>3</v>
      </c>
      <c r="AA184" t="s">
        <v>77</v>
      </c>
      <c r="AB184" s="4">
        <v>110</v>
      </c>
      <c r="AC184" s="4">
        <v>72</v>
      </c>
      <c r="AD184" s="4">
        <v>82</v>
      </c>
      <c r="AE184" s="4">
        <v>176</v>
      </c>
      <c r="AF184" s="4">
        <v>88</v>
      </c>
      <c r="AG184" s="4">
        <v>96</v>
      </c>
      <c r="AH184" s="4">
        <v>78</v>
      </c>
      <c r="AI184" s="4">
        <v>120</v>
      </c>
      <c r="AJ184" s="4">
        <v>53</v>
      </c>
      <c r="AK184" t="s">
        <v>78</v>
      </c>
      <c r="AL184" t="s">
        <v>95</v>
      </c>
      <c r="AM184" t="s">
        <v>80</v>
      </c>
      <c r="AN184" t="s">
        <v>96</v>
      </c>
      <c r="AO184" t="s">
        <v>97</v>
      </c>
      <c r="AP184" t="s">
        <v>85</v>
      </c>
      <c r="AQ184" t="s">
        <v>85</v>
      </c>
      <c r="AR184" t="s">
        <v>85</v>
      </c>
      <c r="AS184" t="s">
        <v>84</v>
      </c>
      <c r="AT184" t="s">
        <v>85</v>
      </c>
      <c r="AU184" t="s">
        <v>83</v>
      </c>
      <c r="AV184" t="s">
        <v>85</v>
      </c>
      <c r="AW184" s="4">
        <v>0</v>
      </c>
      <c r="AX184" s="4">
        <v>0</v>
      </c>
      <c r="AY184" s="4">
        <v>0</v>
      </c>
      <c r="AZ184" s="3">
        <v>1.76</v>
      </c>
      <c r="BA184" s="3">
        <v>3.0975999999999999</v>
      </c>
      <c r="BB184" s="3">
        <v>26.472107438016529</v>
      </c>
      <c r="BC184" t="s">
        <v>98</v>
      </c>
      <c r="BD184" t="s">
        <v>99</v>
      </c>
      <c r="BE184" s="4">
        <v>0</v>
      </c>
      <c r="BF184" t="s">
        <v>87</v>
      </c>
      <c r="BG184" s="4">
        <v>0</v>
      </c>
      <c r="BH184" s="1" t="e">
        <v>#NULL!</v>
      </c>
      <c r="BI184" t="s">
        <v>85</v>
      </c>
      <c r="BJ184" s="4">
        <v>0</v>
      </c>
      <c r="BK184" t="s">
        <v>88</v>
      </c>
    </row>
    <row r="185" spans="1:63" x14ac:dyDescent="0.35">
      <c r="A185" s="4">
        <v>306</v>
      </c>
      <c r="B185" s="4">
        <v>35</v>
      </c>
      <c r="C185" t="s">
        <v>119</v>
      </c>
      <c r="D185" t="s">
        <v>89</v>
      </c>
      <c r="E185" t="s">
        <v>104</v>
      </c>
      <c r="F185" t="s">
        <v>115</v>
      </c>
      <c r="G185" t="s">
        <v>67</v>
      </c>
      <c r="H185" s="2">
        <v>200</v>
      </c>
      <c r="I185" t="s">
        <v>68</v>
      </c>
      <c r="J185" t="s">
        <v>69</v>
      </c>
      <c r="K185" t="s">
        <v>69</v>
      </c>
      <c r="L185" t="s">
        <v>69</v>
      </c>
      <c r="M185" s="4">
        <v>2</v>
      </c>
      <c r="N185" t="s">
        <v>71</v>
      </c>
      <c r="O185" s="4">
        <v>2</v>
      </c>
      <c r="P185" t="s">
        <v>71</v>
      </c>
      <c r="Q185" s="4">
        <v>3</v>
      </c>
      <c r="R185" t="s">
        <v>91</v>
      </c>
      <c r="S185" s="4">
        <v>2</v>
      </c>
      <c r="T185" t="s">
        <v>71</v>
      </c>
      <c r="U185" t="s">
        <v>92</v>
      </c>
      <c r="V185" t="s">
        <v>74</v>
      </c>
      <c r="W185" t="s">
        <v>93</v>
      </c>
      <c r="X185" t="s">
        <v>94</v>
      </c>
      <c r="Y185" t="s">
        <v>69</v>
      </c>
      <c r="Z185" s="4">
        <v>4</v>
      </c>
      <c r="AA185" t="s">
        <v>77</v>
      </c>
      <c r="AB185" s="4">
        <v>121</v>
      </c>
      <c r="AC185" s="4">
        <v>73</v>
      </c>
      <c r="AD185" s="4">
        <v>52</v>
      </c>
      <c r="AE185" s="4">
        <v>165</v>
      </c>
      <c r="AF185" s="4">
        <v>76</v>
      </c>
      <c r="AG185" s="4">
        <v>80</v>
      </c>
      <c r="AH185" s="4">
        <v>85</v>
      </c>
      <c r="AI185" s="4">
        <v>75</v>
      </c>
      <c r="AJ185" s="4">
        <v>55</v>
      </c>
      <c r="AK185" t="s">
        <v>78</v>
      </c>
      <c r="AL185" t="s">
        <v>95</v>
      </c>
      <c r="AM185" t="s">
        <v>80</v>
      </c>
      <c r="AN185" t="s">
        <v>96</v>
      </c>
      <c r="AO185" t="s">
        <v>97</v>
      </c>
      <c r="AP185" t="s">
        <v>85</v>
      </c>
      <c r="AQ185" t="s">
        <v>85</v>
      </c>
      <c r="AR185" t="s">
        <v>85</v>
      </c>
      <c r="AS185" t="s">
        <v>84</v>
      </c>
      <c r="AT185" t="s">
        <v>85</v>
      </c>
      <c r="AU185" t="s">
        <v>85</v>
      </c>
      <c r="AV185" t="s">
        <v>85</v>
      </c>
      <c r="AW185" s="4">
        <v>0</v>
      </c>
      <c r="AX185" s="4">
        <v>0</v>
      </c>
      <c r="AY185" s="4">
        <v>0</v>
      </c>
      <c r="AZ185" s="3">
        <v>1.65</v>
      </c>
      <c r="BA185" s="3">
        <v>2.7224999999999997</v>
      </c>
      <c r="BB185" s="3">
        <v>19.100091827364558</v>
      </c>
      <c r="BC185" t="s">
        <v>85</v>
      </c>
      <c r="BD185" t="s">
        <v>86</v>
      </c>
      <c r="BE185" s="4">
        <v>0</v>
      </c>
      <c r="BF185" t="s">
        <v>87</v>
      </c>
      <c r="BG185" s="1" t="e">
        <v>#NULL!</v>
      </c>
      <c r="BH185" s="4">
        <v>0</v>
      </c>
      <c r="BI185" t="s">
        <v>85</v>
      </c>
      <c r="BJ185" s="4">
        <v>0</v>
      </c>
      <c r="BK185" t="s">
        <v>88</v>
      </c>
    </row>
    <row r="186" spans="1:63" x14ac:dyDescent="0.35">
      <c r="A186" s="4">
        <v>311</v>
      </c>
      <c r="B186" s="4">
        <v>35</v>
      </c>
      <c r="C186" t="s">
        <v>119</v>
      </c>
      <c r="D186" t="s">
        <v>89</v>
      </c>
      <c r="E186" t="s">
        <v>104</v>
      </c>
      <c r="F186" t="s">
        <v>115</v>
      </c>
      <c r="G186" t="s">
        <v>67</v>
      </c>
      <c r="H186" s="2">
        <v>700</v>
      </c>
      <c r="I186" t="s">
        <v>105</v>
      </c>
      <c r="J186" t="s">
        <v>69</v>
      </c>
      <c r="K186" t="s">
        <v>69</v>
      </c>
      <c r="L186" t="s">
        <v>69</v>
      </c>
      <c r="M186" s="4">
        <v>1</v>
      </c>
      <c r="N186" t="s">
        <v>71</v>
      </c>
      <c r="O186" s="4">
        <v>2</v>
      </c>
      <c r="P186" t="s">
        <v>71</v>
      </c>
      <c r="Q186" s="4">
        <v>1</v>
      </c>
      <c r="R186" t="s">
        <v>71</v>
      </c>
      <c r="S186" s="4">
        <v>1</v>
      </c>
      <c r="T186" t="s">
        <v>71</v>
      </c>
      <c r="U186" t="s">
        <v>92</v>
      </c>
      <c r="V186" t="s">
        <v>93</v>
      </c>
      <c r="W186" t="s">
        <v>74</v>
      </c>
      <c r="X186" t="s">
        <v>76</v>
      </c>
      <c r="Y186" t="s">
        <v>69</v>
      </c>
      <c r="Z186" s="4">
        <v>4</v>
      </c>
      <c r="AA186" t="s">
        <v>77</v>
      </c>
      <c r="AB186" s="4">
        <v>94</v>
      </c>
      <c r="AC186" s="4">
        <v>59</v>
      </c>
      <c r="AD186" s="4">
        <v>41</v>
      </c>
      <c r="AE186" s="4">
        <v>153</v>
      </c>
      <c r="AF186" s="4">
        <v>69</v>
      </c>
      <c r="AG186" s="4">
        <v>83</v>
      </c>
      <c r="AH186" s="4">
        <v>89</v>
      </c>
      <c r="AI186" s="4">
        <v>69</v>
      </c>
      <c r="AJ186" s="4">
        <v>75</v>
      </c>
      <c r="AK186" t="s">
        <v>78</v>
      </c>
      <c r="AL186" t="s">
        <v>95</v>
      </c>
      <c r="AM186" t="s">
        <v>80</v>
      </c>
      <c r="AN186" t="s">
        <v>96</v>
      </c>
      <c r="AO186" t="s">
        <v>97</v>
      </c>
      <c r="AP186" t="s">
        <v>85</v>
      </c>
      <c r="AQ186" t="s">
        <v>85</v>
      </c>
      <c r="AR186" t="s">
        <v>85</v>
      </c>
      <c r="AS186" t="s">
        <v>84</v>
      </c>
      <c r="AT186" t="s">
        <v>85</v>
      </c>
      <c r="AU186" t="s">
        <v>85</v>
      </c>
      <c r="AV186" t="s">
        <v>85</v>
      </c>
      <c r="AW186" s="4">
        <v>0</v>
      </c>
      <c r="AX186" s="4">
        <v>0</v>
      </c>
      <c r="AY186" s="4">
        <v>0</v>
      </c>
      <c r="AZ186" s="3">
        <v>1.53</v>
      </c>
      <c r="BA186" s="3">
        <v>2.3409</v>
      </c>
      <c r="BB186" s="3">
        <v>17.514631124781069</v>
      </c>
      <c r="BC186" t="s">
        <v>100</v>
      </c>
      <c r="BD186" t="s">
        <v>86</v>
      </c>
      <c r="BE186" s="4">
        <v>0</v>
      </c>
      <c r="BF186" t="s">
        <v>87</v>
      </c>
      <c r="BG186" s="1" t="e">
        <v>#NULL!</v>
      </c>
      <c r="BH186" s="4">
        <v>0</v>
      </c>
      <c r="BI186" t="s">
        <v>85</v>
      </c>
      <c r="BJ186" s="4">
        <v>0</v>
      </c>
      <c r="BK186" t="s">
        <v>88</v>
      </c>
    </row>
    <row r="187" spans="1:63" x14ac:dyDescent="0.35">
      <c r="A187" s="4">
        <v>361</v>
      </c>
      <c r="B187" s="4">
        <v>35</v>
      </c>
      <c r="C187" t="s">
        <v>119</v>
      </c>
      <c r="D187" t="s">
        <v>64</v>
      </c>
      <c r="E187" t="s">
        <v>104</v>
      </c>
      <c r="F187" t="s">
        <v>66</v>
      </c>
      <c r="G187" t="s">
        <v>67</v>
      </c>
      <c r="H187" s="2">
        <v>500</v>
      </c>
      <c r="I187" t="s">
        <v>68</v>
      </c>
      <c r="J187" t="s">
        <v>70</v>
      </c>
      <c r="K187" t="s">
        <v>70</v>
      </c>
      <c r="L187" t="s">
        <v>69</v>
      </c>
      <c r="M187" s="4">
        <v>1</v>
      </c>
      <c r="N187" t="s">
        <v>71</v>
      </c>
      <c r="O187" s="4">
        <v>4</v>
      </c>
      <c r="P187" t="s">
        <v>91</v>
      </c>
      <c r="Q187" s="4">
        <v>1</v>
      </c>
      <c r="R187" t="s">
        <v>71</v>
      </c>
      <c r="S187" s="4">
        <v>2</v>
      </c>
      <c r="T187" t="s">
        <v>71</v>
      </c>
      <c r="U187" t="s">
        <v>73</v>
      </c>
      <c r="V187" t="s">
        <v>75</v>
      </c>
      <c r="W187" t="s">
        <v>93</v>
      </c>
      <c r="X187" t="s">
        <v>94</v>
      </c>
      <c r="Y187" t="s">
        <v>69</v>
      </c>
      <c r="Z187" s="4">
        <v>3</v>
      </c>
      <c r="AA187" t="s">
        <v>77</v>
      </c>
      <c r="AB187" s="4">
        <v>103</v>
      </c>
      <c r="AC187" s="4">
        <v>75</v>
      </c>
      <c r="AD187" s="4">
        <v>86</v>
      </c>
      <c r="AE187" s="4">
        <v>167</v>
      </c>
      <c r="AF187" s="4">
        <v>102</v>
      </c>
      <c r="AG187" s="4">
        <v>108</v>
      </c>
      <c r="AH187" s="4">
        <v>78</v>
      </c>
      <c r="AI187" s="4">
        <v>85</v>
      </c>
      <c r="AJ187" s="4">
        <v>27</v>
      </c>
      <c r="AK187" t="s">
        <v>78</v>
      </c>
      <c r="AL187" t="s">
        <v>95</v>
      </c>
      <c r="AM187" t="s">
        <v>80</v>
      </c>
      <c r="AN187" t="s">
        <v>96</v>
      </c>
      <c r="AO187" t="s">
        <v>97</v>
      </c>
      <c r="AP187" t="s">
        <v>83</v>
      </c>
      <c r="AQ187" t="s">
        <v>83</v>
      </c>
      <c r="AR187" t="s">
        <v>83</v>
      </c>
      <c r="AS187" t="s">
        <v>84</v>
      </c>
      <c r="AT187" t="s">
        <v>83</v>
      </c>
      <c r="AU187" t="s">
        <v>83</v>
      </c>
      <c r="AV187" t="s">
        <v>83</v>
      </c>
      <c r="AW187" s="4">
        <v>1</v>
      </c>
      <c r="AX187" s="4">
        <v>0</v>
      </c>
      <c r="AY187" s="4">
        <v>1</v>
      </c>
      <c r="AZ187" s="3">
        <v>1.67</v>
      </c>
      <c r="BA187" s="3">
        <v>2.7888999999999999</v>
      </c>
      <c r="BB187" s="3">
        <v>30.836530531750871</v>
      </c>
      <c r="BC187" t="s">
        <v>110</v>
      </c>
      <c r="BD187" t="s">
        <v>99</v>
      </c>
      <c r="BE187" s="4">
        <v>2</v>
      </c>
      <c r="BF187" t="s">
        <v>87</v>
      </c>
      <c r="BG187" s="4">
        <v>1</v>
      </c>
      <c r="BH187" s="1" t="e">
        <v>#NULL!</v>
      </c>
      <c r="BI187" t="s">
        <v>83</v>
      </c>
      <c r="BJ187" s="4">
        <v>2</v>
      </c>
      <c r="BK187" t="s">
        <v>88</v>
      </c>
    </row>
    <row r="188" spans="1:63" x14ac:dyDescent="0.35">
      <c r="A188" s="4">
        <v>432</v>
      </c>
      <c r="B188" s="4">
        <v>35</v>
      </c>
      <c r="C188" t="s">
        <v>119</v>
      </c>
      <c r="D188" t="s">
        <v>89</v>
      </c>
      <c r="E188" t="s">
        <v>104</v>
      </c>
      <c r="F188" t="s">
        <v>115</v>
      </c>
      <c r="G188" t="s">
        <v>67</v>
      </c>
      <c r="H188" s="2">
        <v>790</v>
      </c>
      <c r="I188" t="s">
        <v>105</v>
      </c>
      <c r="J188" t="s">
        <v>69</v>
      </c>
      <c r="K188" t="s">
        <v>69</v>
      </c>
      <c r="L188" t="s">
        <v>69</v>
      </c>
      <c r="M188" s="4">
        <v>3</v>
      </c>
      <c r="N188" t="s">
        <v>91</v>
      </c>
      <c r="O188" s="4">
        <v>2</v>
      </c>
      <c r="P188" t="s">
        <v>71</v>
      </c>
      <c r="Q188" s="4">
        <v>3</v>
      </c>
      <c r="R188" t="s">
        <v>91</v>
      </c>
      <c r="S188" s="4">
        <v>1</v>
      </c>
      <c r="T188" t="s">
        <v>71</v>
      </c>
      <c r="U188" t="s">
        <v>92</v>
      </c>
      <c r="V188" t="s">
        <v>93</v>
      </c>
      <c r="W188" t="s">
        <v>93</v>
      </c>
      <c r="X188" t="s">
        <v>94</v>
      </c>
      <c r="Y188" t="s">
        <v>69</v>
      </c>
      <c r="Z188" s="4">
        <v>1</v>
      </c>
      <c r="AA188" t="s">
        <v>77</v>
      </c>
      <c r="AB188" s="4">
        <v>124</v>
      </c>
      <c r="AC188" s="4">
        <v>91</v>
      </c>
      <c r="AD188" s="4">
        <v>93</v>
      </c>
      <c r="AE188" s="4">
        <v>170</v>
      </c>
      <c r="AF188" s="4">
        <v>104</v>
      </c>
      <c r="AG188" s="4">
        <v>121</v>
      </c>
      <c r="AH188" s="4">
        <v>89</v>
      </c>
      <c r="AI188" s="4">
        <v>63</v>
      </c>
      <c r="AJ188" s="4">
        <v>54</v>
      </c>
      <c r="AK188" t="s">
        <v>78</v>
      </c>
      <c r="AL188" t="s">
        <v>95</v>
      </c>
      <c r="AM188" t="s">
        <v>108</v>
      </c>
      <c r="AN188" t="s">
        <v>81</v>
      </c>
      <c r="AO188" t="s">
        <v>82</v>
      </c>
      <c r="AP188" t="s">
        <v>85</v>
      </c>
      <c r="AQ188" t="s">
        <v>85</v>
      </c>
      <c r="AR188" t="s">
        <v>85</v>
      </c>
      <c r="AS188" t="s">
        <v>84</v>
      </c>
      <c r="AT188" t="s">
        <v>83</v>
      </c>
      <c r="AU188" t="s">
        <v>83</v>
      </c>
      <c r="AV188" t="s">
        <v>83</v>
      </c>
      <c r="AW188" s="4">
        <v>1</v>
      </c>
      <c r="AX188" s="4">
        <v>0</v>
      </c>
      <c r="AY188" s="4">
        <v>1</v>
      </c>
      <c r="AZ188" s="3">
        <v>1.7</v>
      </c>
      <c r="BA188" s="3">
        <v>2.8899999999999997</v>
      </c>
      <c r="BB188" s="3">
        <v>32.179930795847753</v>
      </c>
      <c r="BC188" t="s">
        <v>110</v>
      </c>
      <c r="BD188" t="s">
        <v>99</v>
      </c>
      <c r="BE188" s="4">
        <v>2</v>
      </c>
      <c r="BF188" t="s">
        <v>87</v>
      </c>
      <c r="BG188" s="1" t="e">
        <v>#NULL!</v>
      </c>
      <c r="BH188" s="4">
        <v>1</v>
      </c>
      <c r="BI188" t="s">
        <v>83</v>
      </c>
      <c r="BJ188" s="4">
        <v>2</v>
      </c>
      <c r="BK188" t="s">
        <v>88</v>
      </c>
    </row>
    <row r="189" spans="1:63" x14ac:dyDescent="0.35">
      <c r="A189" s="4">
        <v>439</v>
      </c>
      <c r="B189" s="4">
        <v>35</v>
      </c>
      <c r="C189" t="s">
        <v>119</v>
      </c>
      <c r="D189" t="s">
        <v>89</v>
      </c>
      <c r="E189" t="s">
        <v>104</v>
      </c>
      <c r="F189" t="s">
        <v>115</v>
      </c>
      <c r="G189" t="s">
        <v>67</v>
      </c>
      <c r="H189" s="2">
        <v>130</v>
      </c>
      <c r="I189" t="s">
        <v>68</v>
      </c>
      <c r="J189" t="s">
        <v>69</v>
      </c>
      <c r="K189" t="s">
        <v>69</v>
      </c>
      <c r="L189" t="s">
        <v>69</v>
      </c>
      <c r="M189" s="4">
        <v>1</v>
      </c>
      <c r="N189" t="s">
        <v>71</v>
      </c>
      <c r="O189" s="4">
        <v>2</v>
      </c>
      <c r="P189" t="s">
        <v>71</v>
      </c>
      <c r="Q189" s="4">
        <v>1</v>
      </c>
      <c r="R189" t="s">
        <v>71</v>
      </c>
      <c r="S189" s="4">
        <v>1</v>
      </c>
      <c r="T189" t="s">
        <v>71</v>
      </c>
      <c r="U189" t="s">
        <v>92</v>
      </c>
      <c r="V189" t="s">
        <v>93</v>
      </c>
      <c r="W189" t="s">
        <v>93</v>
      </c>
      <c r="X189" t="s">
        <v>94</v>
      </c>
      <c r="Y189" t="s">
        <v>69</v>
      </c>
      <c r="Z189" s="4">
        <v>6</v>
      </c>
      <c r="AA189" t="s">
        <v>77</v>
      </c>
      <c r="AB189" s="4">
        <v>127</v>
      </c>
      <c r="AC189" s="4">
        <v>97</v>
      </c>
      <c r="AD189" s="4">
        <v>78</v>
      </c>
      <c r="AE189" s="4">
        <v>176</v>
      </c>
      <c r="AF189" s="4">
        <v>113</v>
      </c>
      <c r="AG189" s="4">
        <v>111</v>
      </c>
      <c r="AH189" s="4">
        <v>93</v>
      </c>
      <c r="AI189" s="4">
        <v>146</v>
      </c>
      <c r="AJ189" s="4">
        <v>52</v>
      </c>
      <c r="AK189" t="s">
        <v>78</v>
      </c>
      <c r="AL189" t="s">
        <v>95</v>
      </c>
      <c r="AM189" t="s">
        <v>108</v>
      </c>
      <c r="AN189" t="s">
        <v>81</v>
      </c>
      <c r="AO189" t="s">
        <v>82</v>
      </c>
      <c r="AP189" t="s">
        <v>85</v>
      </c>
      <c r="AQ189" t="s">
        <v>85</v>
      </c>
      <c r="AR189" t="s">
        <v>85</v>
      </c>
      <c r="AS189" t="s">
        <v>84</v>
      </c>
      <c r="AT189" t="s">
        <v>83</v>
      </c>
      <c r="AU189" t="s">
        <v>83</v>
      </c>
      <c r="AV189" t="s">
        <v>83</v>
      </c>
      <c r="AW189" s="4">
        <v>1</v>
      </c>
      <c r="AX189" s="4">
        <v>0</v>
      </c>
      <c r="AY189" s="4">
        <v>1</v>
      </c>
      <c r="AZ189" s="3">
        <v>1.76</v>
      </c>
      <c r="BA189" s="3">
        <v>3.0975999999999999</v>
      </c>
      <c r="BB189" s="3">
        <v>25.180785123966942</v>
      </c>
      <c r="BC189" t="s">
        <v>98</v>
      </c>
      <c r="BD189" t="s">
        <v>99</v>
      </c>
      <c r="BE189" s="4">
        <v>2</v>
      </c>
      <c r="BF189" t="s">
        <v>87</v>
      </c>
      <c r="BG189" s="1" t="e">
        <v>#NULL!</v>
      </c>
      <c r="BH189" s="4">
        <v>1</v>
      </c>
      <c r="BI189" t="s">
        <v>83</v>
      </c>
      <c r="BJ189" s="4">
        <v>2</v>
      </c>
      <c r="BK189" t="s">
        <v>88</v>
      </c>
    </row>
    <row r="190" spans="1:63" x14ac:dyDescent="0.35">
      <c r="A190" s="4">
        <v>447</v>
      </c>
      <c r="B190" s="4">
        <v>35</v>
      </c>
      <c r="C190" t="s">
        <v>119</v>
      </c>
      <c r="D190" t="s">
        <v>64</v>
      </c>
      <c r="E190" t="s">
        <v>104</v>
      </c>
      <c r="F190" t="s">
        <v>101</v>
      </c>
      <c r="G190" t="s">
        <v>67</v>
      </c>
      <c r="H190" s="2">
        <v>480</v>
      </c>
      <c r="I190" t="s">
        <v>68</v>
      </c>
      <c r="J190" t="s">
        <v>70</v>
      </c>
      <c r="K190" t="s">
        <v>70</v>
      </c>
      <c r="L190" t="s">
        <v>69</v>
      </c>
      <c r="M190" s="4">
        <v>4</v>
      </c>
      <c r="N190" t="s">
        <v>91</v>
      </c>
      <c r="O190" s="4">
        <v>3</v>
      </c>
      <c r="P190" t="s">
        <v>91</v>
      </c>
      <c r="Q190" s="4">
        <v>4</v>
      </c>
      <c r="R190" t="s">
        <v>91</v>
      </c>
      <c r="S190" s="4">
        <v>4</v>
      </c>
      <c r="T190" t="s">
        <v>91</v>
      </c>
      <c r="U190" t="s">
        <v>92</v>
      </c>
      <c r="V190" t="s">
        <v>93</v>
      </c>
      <c r="W190" t="s">
        <v>74</v>
      </c>
      <c r="X190" t="s">
        <v>76</v>
      </c>
      <c r="Y190" t="s">
        <v>69</v>
      </c>
      <c r="Z190" s="4">
        <v>4</v>
      </c>
      <c r="AA190" t="s">
        <v>77</v>
      </c>
      <c r="AB190" s="4">
        <v>114</v>
      </c>
      <c r="AC190" s="4">
        <v>80</v>
      </c>
      <c r="AD190" s="4">
        <v>80</v>
      </c>
      <c r="AE190" s="4">
        <v>178</v>
      </c>
      <c r="AF190" s="4">
        <v>82</v>
      </c>
      <c r="AG190" s="4">
        <v>92</v>
      </c>
      <c r="AH190" s="4">
        <v>90</v>
      </c>
      <c r="AI190" s="4">
        <v>170</v>
      </c>
      <c r="AJ190" s="4">
        <v>38</v>
      </c>
      <c r="AK190" t="s">
        <v>107</v>
      </c>
      <c r="AL190" t="s">
        <v>95</v>
      </c>
      <c r="AM190" t="s">
        <v>80</v>
      </c>
      <c r="AN190" t="s">
        <v>96</v>
      </c>
      <c r="AO190" t="s">
        <v>97</v>
      </c>
      <c r="AP190" t="s">
        <v>83</v>
      </c>
      <c r="AQ190" t="s">
        <v>83</v>
      </c>
      <c r="AR190" t="s">
        <v>83</v>
      </c>
      <c r="AS190" t="s">
        <v>84</v>
      </c>
      <c r="AT190" t="s">
        <v>85</v>
      </c>
      <c r="AU190" t="s">
        <v>83</v>
      </c>
      <c r="AV190" t="s">
        <v>85</v>
      </c>
      <c r="AW190" s="4">
        <v>2</v>
      </c>
      <c r="AX190" s="4">
        <v>1</v>
      </c>
      <c r="AY190" s="4">
        <v>1</v>
      </c>
      <c r="AZ190" s="3">
        <v>1.78</v>
      </c>
      <c r="BA190" s="3">
        <v>3.1684000000000001</v>
      </c>
      <c r="BB190" s="3">
        <v>25.249337204898371</v>
      </c>
      <c r="BC190" t="s">
        <v>98</v>
      </c>
      <c r="BD190" t="s">
        <v>99</v>
      </c>
      <c r="BE190" s="4">
        <v>2</v>
      </c>
      <c r="BF190" t="s">
        <v>87</v>
      </c>
      <c r="BG190" s="4">
        <v>0</v>
      </c>
      <c r="BH190" s="1" t="e">
        <v>#NULL!</v>
      </c>
      <c r="BI190" t="s">
        <v>85</v>
      </c>
      <c r="BJ190" s="4">
        <v>2</v>
      </c>
      <c r="BK190" t="s">
        <v>88</v>
      </c>
    </row>
    <row r="191" spans="1:63" x14ac:dyDescent="0.35">
      <c r="A191" s="4">
        <v>468</v>
      </c>
      <c r="B191" s="4">
        <v>35</v>
      </c>
      <c r="C191" t="s">
        <v>119</v>
      </c>
      <c r="D191" t="s">
        <v>89</v>
      </c>
      <c r="E191" t="s">
        <v>104</v>
      </c>
      <c r="F191" t="s">
        <v>101</v>
      </c>
      <c r="G191" t="s">
        <v>67</v>
      </c>
      <c r="H191" s="2">
        <v>600</v>
      </c>
      <c r="I191" t="s">
        <v>105</v>
      </c>
      <c r="J191" t="s">
        <v>69</v>
      </c>
      <c r="K191" t="s">
        <v>69</v>
      </c>
      <c r="L191" t="s">
        <v>69</v>
      </c>
      <c r="M191" s="4">
        <v>2</v>
      </c>
      <c r="N191" t="s">
        <v>71</v>
      </c>
      <c r="O191" s="4">
        <v>5</v>
      </c>
      <c r="P191" t="s">
        <v>72</v>
      </c>
      <c r="Q191" s="4">
        <v>2</v>
      </c>
      <c r="R191" t="s">
        <v>71</v>
      </c>
      <c r="S191" s="4">
        <v>1</v>
      </c>
      <c r="T191" t="s">
        <v>71</v>
      </c>
      <c r="U191" t="s">
        <v>103</v>
      </c>
      <c r="V191" t="s">
        <v>74</v>
      </c>
      <c r="W191" t="s">
        <v>75</v>
      </c>
      <c r="X191" t="s">
        <v>76</v>
      </c>
      <c r="Y191" t="s">
        <v>69</v>
      </c>
      <c r="Z191" s="4">
        <v>2</v>
      </c>
      <c r="AA191" t="s">
        <v>77</v>
      </c>
      <c r="AB191" s="4">
        <v>105</v>
      </c>
      <c r="AC191" s="4">
        <v>66</v>
      </c>
      <c r="AD191" s="4">
        <v>77</v>
      </c>
      <c r="AE191" s="4">
        <v>170</v>
      </c>
      <c r="AF191" s="4">
        <v>81</v>
      </c>
      <c r="AG191" s="4">
        <v>98</v>
      </c>
      <c r="AH191" s="4">
        <v>108</v>
      </c>
      <c r="AI191" s="4">
        <v>100</v>
      </c>
      <c r="AJ191" s="4">
        <v>51</v>
      </c>
      <c r="AK191" t="s">
        <v>78</v>
      </c>
      <c r="AL191" t="s">
        <v>95</v>
      </c>
      <c r="AM191" t="s">
        <v>80</v>
      </c>
      <c r="AN191" t="s">
        <v>96</v>
      </c>
      <c r="AO191" t="s">
        <v>97</v>
      </c>
      <c r="AP191" t="s">
        <v>85</v>
      </c>
      <c r="AQ191" t="s">
        <v>85</v>
      </c>
      <c r="AR191" t="s">
        <v>85</v>
      </c>
      <c r="AS191" t="s">
        <v>102</v>
      </c>
      <c r="AT191" t="s">
        <v>85</v>
      </c>
      <c r="AU191" t="s">
        <v>83</v>
      </c>
      <c r="AV191" t="s">
        <v>83</v>
      </c>
      <c r="AW191" s="4">
        <v>1</v>
      </c>
      <c r="AX191" s="4">
        <v>0</v>
      </c>
      <c r="AY191" s="4">
        <v>1</v>
      </c>
      <c r="AZ191" s="3">
        <v>1.7</v>
      </c>
      <c r="BA191" s="3">
        <v>2.8899999999999997</v>
      </c>
      <c r="BB191" s="3">
        <v>26.643598615916957</v>
      </c>
      <c r="BC191" t="s">
        <v>98</v>
      </c>
      <c r="BD191" t="s">
        <v>99</v>
      </c>
      <c r="BE191" s="4">
        <v>2</v>
      </c>
      <c r="BF191" t="s">
        <v>87</v>
      </c>
      <c r="BG191" s="1" t="e">
        <v>#NULL!</v>
      </c>
      <c r="BH191" s="4">
        <v>0</v>
      </c>
      <c r="BI191" t="s">
        <v>85</v>
      </c>
      <c r="BJ191" s="4">
        <v>1</v>
      </c>
      <c r="BK191" t="s">
        <v>88</v>
      </c>
    </row>
    <row r="192" spans="1:63" x14ac:dyDescent="0.35">
      <c r="A192" s="4">
        <v>39</v>
      </c>
      <c r="B192" s="4">
        <v>36</v>
      </c>
      <c r="C192" t="s">
        <v>119</v>
      </c>
      <c r="D192" t="s">
        <v>89</v>
      </c>
      <c r="E192" t="s">
        <v>104</v>
      </c>
      <c r="F192" t="s">
        <v>101</v>
      </c>
      <c r="G192" t="s">
        <v>67</v>
      </c>
      <c r="H192" s="2">
        <v>600</v>
      </c>
      <c r="I192" t="s">
        <v>105</v>
      </c>
      <c r="J192" t="s">
        <v>69</v>
      </c>
      <c r="K192" t="s">
        <v>69</v>
      </c>
      <c r="L192" t="s">
        <v>69</v>
      </c>
      <c r="M192" s="4">
        <v>2</v>
      </c>
      <c r="N192" t="s">
        <v>71</v>
      </c>
      <c r="O192" s="4">
        <v>5</v>
      </c>
      <c r="P192" t="s">
        <v>72</v>
      </c>
      <c r="Q192" s="4">
        <v>2</v>
      </c>
      <c r="R192" t="s">
        <v>71</v>
      </c>
      <c r="S192" s="4">
        <v>1</v>
      </c>
      <c r="T192" t="s">
        <v>71</v>
      </c>
      <c r="U192" t="s">
        <v>103</v>
      </c>
      <c r="V192" t="s">
        <v>74</v>
      </c>
      <c r="W192" t="s">
        <v>75</v>
      </c>
      <c r="X192" t="s">
        <v>76</v>
      </c>
      <c r="Y192" t="s">
        <v>69</v>
      </c>
      <c r="Z192" s="4">
        <v>2</v>
      </c>
      <c r="AA192" t="s">
        <v>77</v>
      </c>
      <c r="AB192" s="4">
        <v>105</v>
      </c>
      <c r="AC192" s="4">
        <v>66</v>
      </c>
      <c r="AD192" s="4">
        <v>77</v>
      </c>
      <c r="AE192" s="4">
        <v>170</v>
      </c>
      <c r="AF192" s="4">
        <v>81</v>
      </c>
      <c r="AG192" s="4">
        <v>98</v>
      </c>
      <c r="AH192" s="4">
        <v>108</v>
      </c>
      <c r="AI192" s="4">
        <v>100</v>
      </c>
      <c r="AJ192" s="4">
        <v>51</v>
      </c>
      <c r="AK192" t="s">
        <v>78</v>
      </c>
      <c r="AL192" t="s">
        <v>95</v>
      </c>
      <c r="AM192" t="s">
        <v>80</v>
      </c>
      <c r="AN192" t="s">
        <v>96</v>
      </c>
      <c r="AO192" t="s">
        <v>97</v>
      </c>
      <c r="AP192" t="s">
        <v>85</v>
      </c>
      <c r="AQ192" t="s">
        <v>85</v>
      </c>
      <c r="AR192" t="s">
        <v>85</v>
      </c>
      <c r="AS192" t="s">
        <v>102</v>
      </c>
      <c r="AT192" t="s">
        <v>85</v>
      </c>
      <c r="AU192" t="s">
        <v>83</v>
      </c>
      <c r="AV192" t="s">
        <v>83</v>
      </c>
      <c r="AW192" s="4">
        <v>1</v>
      </c>
      <c r="AX192" s="4">
        <v>0</v>
      </c>
      <c r="AY192" s="4">
        <v>1</v>
      </c>
      <c r="AZ192" s="3">
        <v>1.7</v>
      </c>
      <c r="BA192" s="3">
        <v>2.8899999999999997</v>
      </c>
      <c r="BB192" s="3">
        <v>26.643598615916957</v>
      </c>
      <c r="BC192" t="s">
        <v>98</v>
      </c>
      <c r="BD192" t="s">
        <v>99</v>
      </c>
      <c r="BE192" s="4">
        <v>2</v>
      </c>
      <c r="BF192" t="s">
        <v>87</v>
      </c>
      <c r="BG192" s="1" t="e">
        <v>#NULL!</v>
      </c>
      <c r="BH192" s="4">
        <v>0</v>
      </c>
      <c r="BI192" t="s">
        <v>85</v>
      </c>
      <c r="BJ192" s="4">
        <v>1</v>
      </c>
      <c r="BK192" t="s">
        <v>88</v>
      </c>
    </row>
    <row r="193" spans="1:63" x14ac:dyDescent="0.35">
      <c r="A193" s="4">
        <v>48</v>
      </c>
      <c r="B193" s="4">
        <v>36</v>
      </c>
      <c r="C193" t="s">
        <v>119</v>
      </c>
      <c r="D193" t="s">
        <v>89</v>
      </c>
      <c r="E193" t="s">
        <v>65</v>
      </c>
      <c r="F193" t="s">
        <v>101</v>
      </c>
      <c r="G193" t="s">
        <v>67</v>
      </c>
      <c r="H193" s="2">
        <v>400</v>
      </c>
      <c r="I193" t="s">
        <v>68</v>
      </c>
      <c r="J193" t="s">
        <v>69</v>
      </c>
      <c r="K193" t="s">
        <v>69</v>
      </c>
      <c r="L193" t="s">
        <v>69</v>
      </c>
      <c r="M193" s="4">
        <v>2</v>
      </c>
      <c r="N193" t="s">
        <v>71</v>
      </c>
      <c r="O193" s="4">
        <v>2</v>
      </c>
      <c r="P193" t="s">
        <v>71</v>
      </c>
      <c r="Q193" s="4">
        <v>3</v>
      </c>
      <c r="R193" t="s">
        <v>91</v>
      </c>
      <c r="S193" s="4">
        <v>5</v>
      </c>
      <c r="T193" t="s">
        <v>72</v>
      </c>
      <c r="U193" t="s">
        <v>103</v>
      </c>
      <c r="V193" t="s">
        <v>93</v>
      </c>
      <c r="W193" t="s">
        <v>93</v>
      </c>
      <c r="X193" t="s">
        <v>94</v>
      </c>
      <c r="Y193" t="s">
        <v>69</v>
      </c>
      <c r="Z193" s="4">
        <v>4</v>
      </c>
      <c r="AA193" t="s">
        <v>77</v>
      </c>
      <c r="AB193" s="4">
        <v>110</v>
      </c>
      <c r="AC193" s="4">
        <v>67</v>
      </c>
      <c r="AD193" s="4">
        <v>72</v>
      </c>
      <c r="AE193" s="4">
        <v>163</v>
      </c>
      <c r="AF193" s="4">
        <v>91</v>
      </c>
      <c r="AG193" s="4">
        <v>119</v>
      </c>
      <c r="AH193" s="4">
        <v>114</v>
      </c>
      <c r="AI193" s="4">
        <v>106</v>
      </c>
      <c r="AJ193" s="4">
        <v>53</v>
      </c>
      <c r="AK193" t="s">
        <v>78</v>
      </c>
      <c r="AL193" t="s">
        <v>95</v>
      </c>
      <c r="AM193" t="s">
        <v>80</v>
      </c>
      <c r="AN193" t="s">
        <v>96</v>
      </c>
      <c r="AO193" t="s">
        <v>97</v>
      </c>
      <c r="AP193" t="s">
        <v>85</v>
      </c>
      <c r="AQ193" t="s">
        <v>85</v>
      </c>
      <c r="AR193" t="s">
        <v>85</v>
      </c>
      <c r="AS193" t="s">
        <v>102</v>
      </c>
      <c r="AT193" t="s">
        <v>85</v>
      </c>
      <c r="AU193" t="s">
        <v>83</v>
      </c>
      <c r="AV193" t="s">
        <v>83</v>
      </c>
      <c r="AW193" s="4">
        <v>1</v>
      </c>
      <c r="AX193" s="4">
        <v>0</v>
      </c>
      <c r="AY193" s="4">
        <v>1</v>
      </c>
      <c r="AZ193" s="3">
        <v>1.63</v>
      </c>
      <c r="BA193" s="3">
        <v>2.6568999999999998</v>
      </c>
      <c r="BB193" s="3">
        <v>27.099251006812452</v>
      </c>
      <c r="BC193" t="s">
        <v>98</v>
      </c>
      <c r="BD193" t="s">
        <v>99</v>
      </c>
      <c r="BE193" s="4">
        <v>2</v>
      </c>
      <c r="BF193" t="s">
        <v>87</v>
      </c>
      <c r="BG193" s="1" t="e">
        <v>#NULL!</v>
      </c>
      <c r="BH193" s="4">
        <v>1</v>
      </c>
      <c r="BI193" t="s">
        <v>83</v>
      </c>
      <c r="BJ193" s="4">
        <v>2</v>
      </c>
      <c r="BK193" t="s">
        <v>88</v>
      </c>
    </row>
    <row r="194" spans="1:63" x14ac:dyDescent="0.35">
      <c r="A194" s="4">
        <v>54</v>
      </c>
      <c r="B194" s="4">
        <v>36</v>
      </c>
      <c r="C194" t="s">
        <v>119</v>
      </c>
      <c r="D194" t="s">
        <v>89</v>
      </c>
      <c r="E194" t="s">
        <v>65</v>
      </c>
      <c r="F194" t="s">
        <v>90</v>
      </c>
      <c r="G194" t="s">
        <v>67</v>
      </c>
      <c r="H194" s="2">
        <v>800</v>
      </c>
      <c r="I194" t="s">
        <v>105</v>
      </c>
      <c r="J194" t="s">
        <v>69</v>
      </c>
      <c r="K194" t="s">
        <v>69</v>
      </c>
      <c r="L194" t="s">
        <v>69</v>
      </c>
      <c r="M194" s="4">
        <v>4</v>
      </c>
      <c r="N194" t="s">
        <v>91</v>
      </c>
      <c r="O194" s="4">
        <v>2</v>
      </c>
      <c r="P194" t="s">
        <v>71</v>
      </c>
      <c r="Q194" s="4">
        <v>5</v>
      </c>
      <c r="R194" t="s">
        <v>72</v>
      </c>
      <c r="S194" s="4">
        <v>3</v>
      </c>
      <c r="T194" t="s">
        <v>91</v>
      </c>
      <c r="U194" t="s">
        <v>103</v>
      </c>
      <c r="V194" t="s">
        <v>93</v>
      </c>
      <c r="W194" t="s">
        <v>93</v>
      </c>
      <c r="X194" t="s">
        <v>94</v>
      </c>
      <c r="Y194" t="s">
        <v>69</v>
      </c>
      <c r="Z194" s="4">
        <v>2</v>
      </c>
      <c r="AA194" t="s">
        <v>77</v>
      </c>
      <c r="AB194" s="4">
        <v>110</v>
      </c>
      <c r="AC194" s="4">
        <v>75</v>
      </c>
      <c r="AD194" s="4">
        <v>118</v>
      </c>
      <c r="AE194" s="4">
        <v>174</v>
      </c>
      <c r="AF194" s="4">
        <v>102</v>
      </c>
      <c r="AG194" s="4">
        <v>129</v>
      </c>
      <c r="AH194" s="4">
        <v>105</v>
      </c>
      <c r="AI194" s="4">
        <v>143</v>
      </c>
      <c r="AJ194" s="4">
        <v>34</v>
      </c>
      <c r="AK194" t="s">
        <v>78</v>
      </c>
      <c r="AL194" t="s">
        <v>95</v>
      </c>
      <c r="AM194" t="s">
        <v>80</v>
      </c>
      <c r="AN194" t="s">
        <v>96</v>
      </c>
      <c r="AO194" t="s">
        <v>97</v>
      </c>
      <c r="AP194" t="s">
        <v>83</v>
      </c>
      <c r="AQ194" t="s">
        <v>83</v>
      </c>
      <c r="AR194" t="s">
        <v>83</v>
      </c>
      <c r="AS194" t="s">
        <v>102</v>
      </c>
      <c r="AT194" t="s">
        <v>83</v>
      </c>
      <c r="AU194" t="s">
        <v>83</v>
      </c>
      <c r="AV194" t="s">
        <v>83</v>
      </c>
      <c r="AW194" s="4">
        <v>2</v>
      </c>
      <c r="AX194" s="4">
        <v>1</v>
      </c>
      <c r="AY194" s="4">
        <v>2</v>
      </c>
      <c r="AZ194" s="3">
        <v>1.74</v>
      </c>
      <c r="BA194" s="3">
        <v>3.0276000000000001</v>
      </c>
      <c r="BB194" s="3">
        <v>38.974765490817809</v>
      </c>
      <c r="BC194" t="s">
        <v>110</v>
      </c>
      <c r="BD194" t="s">
        <v>99</v>
      </c>
      <c r="BE194" s="4">
        <v>3</v>
      </c>
      <c r="BF194" t="s">
        <v>111</v>
      </c>
      <c r="BG194" s="1" t="e">
        <v>#NULL!</v>
      </c>
      <c r="BH194" s="4">
        <v>1</v>
      </c>
      <c r="BI194" t="s">
        <v>83</v>
      </c>
      <c r="BJ194" s="4">
        <v>3</v>
      </c>
      <c r="BK194" t="s">
        <v>112</v>
      </c>
    </row>
    <row r="195" spans="1:63" x14ac:dyDescent="0.35">
      <c r="A195" s="4">
        <v>87</v>
      </c>
      <c r="B195" s="4">
        <v>36</v>
      </c>
      <c r="C195" t="s">
        <v>119</v>
      </c>
      <c r="D195" t="s">
        <v>89</v>
      </c>
      <c r="E195" t="s">
        <v>104</v>
      </c>
      <c r="F195" t="s">
        <v>115</v>
      </c>
      <c r="G195" t="s">
        <v>67</v>
      </c>
      <c r="H195" s="2">
        <v>790</v>
      </c>
      <c r="I195" t="s">
        <v>105</v>
      </c>
      <c r="J195" t="s">
        <v>69</v>
      </c>
      <c r="K195" t="s">
        <v>69</v>
      </c>
      <c r="L195" t="s">
        <v>69</v>
      </c>
      <c r="M195" s="4">
        <v>3</v>
      </c>
      <c r="N195" t="s">
        <v>91</v>
      </c>
      <c r="O195" s="4">
        <v>2</v>
      </c>
      <c r="P195" t="s">
        <v>71</v>
      </c>
      <c r="Q195" s="4">
        <v>3</v>
      </c>
      <c r="R195" t="s">
        <v>91</v>
      </c>
      <c r="S195" s="4">
        <v>1</v>
      </c>
      <c r="T195" t="s">
        <v>71</v>
      </c>
      <c r="U195" t="s">
        <v>92</v>
      </c>
      <c r="V195" t="s">
        <v>93</v>
      </c>
      <c r="W195" t="s">
        <v>93</v>
      </c>
      <c r="X195" t="s">
        <v>94</v>
      </c>
      <c r="Y195" t="s">
        <v>69</v>
      </c>
      <c r="Z195" s="4">
        <v>1</v>
      </c>
      <c r="AA195" t="s">
        <v>77</v>
      </c>
      <c r="AB195" s="4">
        <v>124</v>
      </c>
      <c r="AC195" s="4">
        <v>91</v>
      </c>
      <c r="AD195" s="4">
        <v>93</v>
      </c>
      <c r="AE195" s="4">
        <v>170</v>
      </c>
      <c r="AF195" s="4">
        <v>104</v>
      </c>
      <c r="AG195" s="4">
        <v>121</v>
      </c>
      <c r="AH195" s="4">
        <v>89</v>
      </c>
      <c r="AI195" s="4">
        <v>63</v>
      </c>
      <c r="AJ195" s="4">
        <v>54</v>
      </c>
      <c r="AK195" t="s">
        <v>78</v>
      </c>
      <c r="AL195" t="s">
        <v>95</v>
      </c>
      <c r="AM195" t="s">
        <v>108</v>
      </c>
      <c r="AN195" t="s">
        <v>81</v>
      </c>
      <c r="AO195" t="s">
        <v>82</v>
      </c>
      <c r="AP195" t="s">
        <v>85</v>
      </c>
      <c r="AQ195" t="s">
        <v>85</v>
      </c>
      <c r="AR195" t="s">
        <v>85</v>
      </c>
      <c r="AS195" t="s">
        <v>84</v>
      </c>
      <c r="AT195" t="s">
        <v>83</v>
      </c>
      <c r="AU195" t="s">
        <v>83</v>
      </c>
      <c r="AV195" t="s">
        <v>83</v>
      </c>
      <c r="AW195" s="4">
        <v>1</v>
      </c>
      <c r="AX195" s="4">
        <v>0</v>
      </c>
      <c r="AY195" s="4">
        <v>1</v>
      </c>
      <c r="AZ195" s="3">
        <v>1.7</v>
      </c>
      <c r="BA195" s="3">
        <v>2.8899999999999997</v>
      </c>
      <c r="BB195" s="3">
        <v>32.179930795847753</v>
      </c>
      <c r="BC195" t="s">
        <v>110</v>
      </c>
      <c r="BD195" t="s">
        <v>99</v>
      </c>
      <c r="BE195" s="4">
        <v>2</v>
      </c>
      <c r="BF195" t="s">
        <v>87</v>
      </c>
      <c r="BG195" s="1" t="e">
        <v>#NULL!</v>
      </c>
      <c r="BH195" s="4">
        <v>1</v>
      </c>
      <c r="BI195" t="s">
        <v>83</v>
      </c>
      <c r="BJ195" s="4">
        <v>2</v>
      </c>
      <c r="BK195" t="s">
        <v>88</v>
      </c>
    </row>
    <row r="196" spans="1:63" x14ac:dyDescent="0.35">
      <c r="A196" s="4">
        <v>97</v>
      </c>
      <c r="B196" s="4">
        <v>36</v>
      </c>
      <c r="C196" t="s">
        <v>119</v>
      </c>
      <c r="D196" t="s">
        <v>89</v>
      </c>
      <c r="E196" t="s">
        <v>104</v>
      </c>
      <c r="F196" t="s">
        <v>66</v>
      </c>
      <c r="G196" t="s">
        <v>67</v>
      </c>
      <c r="H196" s="2">
        <v>300</v>
      </c>
      <c r="I196" t="s">
        <v>68</v>
      </c>
      <c r="J196" t="s">
        <v>69</v>
      </c>
      <c r="K196" t="s">
        <v>69</v>
      </c>
      <c r="L196" t="s">
        <v>69</v>
      </c>
      <c r="M196" s="4">
        <v>3</v>
      </c>
      <c r="N196" t="s">
        <v>91</v>
      </c>
      <c r="O196" s="4">
        <v>3</v>
      </c>
      <c r="P196" t="s">
        <v>91</v>
      </c>
      <c r="Q196" s="4">
        <v>5</v>
      </c>
      <c r="R196" t="s">
        <v>72</v>
      </c>
      <c r="S196" s="4">
        <v>5</v>
      </c>
      <c r="T196" t="s">
        <v>72</v>
      </c>
      <c r="U196" t="s">
        <v>92</v>
      </c>
      <c r="V196" t="s">
        <v>93</v>
      </c>
      <c r="W196" t="s">
        <v>93</v>
      </c>
      <c r="X196" t="s">
        <v>94</v>
      </c>
      <c r="Y196" t="s">
        <v>69</v>
      </c>
      <c r="Z196" s="4">
        <v>2</v>
      </c>
      <c r="AA196" t="s">
        <v>77</v>
      </c>
      <c r="AB196" s="4">
        <v>124</v>
      </c>
      <c r="AC196" s="4">
        <v>69</v>
      </c>
      <c r="AD196" s="4">
        <v>78</v>
      </c>
      <c r="AE196" s="4">
        <v>179</v>
      </c>
      <c r="AF196" s="4">
        <v>90</v>
      </c>
      <c r="AG196" s="4">
        <v>110</v>
      </c>
      <c r="AH196" s="4">
        <v>120</v>
      </c>
      <c r="AI196" s="4">
        <v>87</v>
      </c>
      <c r="AJ196" s="4">
        <v>55</v>
      </c>
      <c r="AK196" t="s">
        <v>78</v>
      </c>
      <c r="AL196" t="s">
        <v>95</v>
      </c>
      <c r="AM196" t="s">
        <v>80</v>
      </c>
      <c r="AN196" t="s">
        <v>96</v>
      </c>
      <c r="AO196" t="s">
        <v>97</v>
      </c>
      <c r="AP196" t="s">
        <v>85</v>
      </c>
      <c r="AQ196" t="s">
        <v>85</v>
      </c>
      <c r="AR196" t="s">
        <v>85</v>
      </c>
      <c r="AS196" t="s">
        <v>102</v>
      </c>
      <c r="AT196" t="s">
        <v>85</v>
      </c>
      <c r="AU196" t="s">
        <v>83</v>
      </c>
      <c r="AV196" t="s">
        <v>83</v>
      </c>
      <c r="AW196" s="4">
        <v>1</v>
      </c>
      <c r="AX196" s="4">
        <v>0</v>
      </c>
      <c r="AY196" s="4">
        <v>1</v>
      </c>
      <c r="AZ196" s="3">
        <v>1.79</v>
      </c>
      <c r="BA196" s="3">
        <v>3.2040999999999999</v>
      </c>
      <c r="BB196" s="3">
        <v>24.343809494085704</v>
      </c>
      <c r="BC196" t="s">
        <v>85</v>
      </c>
      <c r="BD196" t="s">
        <v>86</v>
      </c>
      <c r="BE196" s="4">
        <v>2</v>
      </c>
      <c r="BF196" t="s">
        <v>87</v>
      </c>
      <c r="BG196" s="1" t="e">
        <v>#NULL!</v>
      </c>
      <c r="BH196" s="4">
        <v>1</v>
      </c>
      <c r="BI196" t="s">
        <v>83</v>
      </c>
      <c r="BJ196" s="4">
        <v>2</v>
      </c>
      <c r="BK196" t="s">
        <v>88</v>
      </c>
    </row>
    <row r="197" spans="1:63" x14ac:dyDescent="0.35">
      <c r="A197" s="4">
        <v>112</v>
      </c>
      <c r="B197" s="4">
        <v>36</v>
      </c>
      <c r="C197" t="s">
        <v>119</v>
      </c>
      <c r="D197" t="s">
        <v>89</v>
      </c>
      <c r="E197" t="s">
        <v>104</v>
      </c>
      <c r="F197" t="s">
        <v>115</v>
      </c>
      <c r="G197" t="s">
        <v>67</v>
      </c>
      <c r="H197" s="2">
        <v>300</v>
      </c>
      <c r="I197" t="s">
        <v>68</v>
      </c>
      <c r="J197" t="s">
        <v>69</v>
      </c>
      <c r="K197" t="s">
        <v>69</v>
      </c>
      <c r="L197" t="s">
        <v>69</v>
      </c>
      <c r="M197" s="4">
        <v>2</v>
      </c>
      <c r="N197" t="s">
        <v>71</v>
      </c>
      <c r="O197" s="4">
        <v>2</v>
      </c>
      <c r="P197" t="s">
        <v>71</v>
      </c>
      <c r="Q197" s="4">
        <v>2</v>
      </c>
      <c r="R197" t="s">
        <v>71</v>
      </c>
      <c r="S197" s="4">
        <v>2</v>
      </c>
      <c r="T197" t="s">
        <v>71</v>
      </c>
      <c r="U197" t="s">
        <v>103</v>
      </c>
      <c r="V197" t="s">
        <v>93</v>
      </c>
      <c r="W197" t="s">
        <v>93</v>
      </c>
      <c r="X197" t="s">
        <v>94</v>
      </c>
      <c r="Y197" t="s">
        <v>69</v>
      </c>
      <c r="Z197" s="4">
        <v>4</v>
      </c>
      <c r="AA197" t="s">
        <v>77</v>
      </c>
      <c r="AB197" s="4">
        <v>147</v>
      </c>
      <c r="AC197" s="4">
        <v>84</v>
      </c>
      <c r="AD197" s="4">
        <v>71</v>
      </c>
      <c r="AE197" s="4">
        <v>175</v>
      </c>
      <c r="AF197" s="4">
        <v>87</v>
      </c>
      <c r="AG197" s="4">
        <v>109</v>
      </c>
      <c r="AH197" s="4">
        <v>125</v>
      </c>
      <c r="AI197" s="4">
        <v>137</v>
      </c>
      <c r="AJ197" s="4">
        <v>53</v>
      </c>
      <c r="AK197" t="s">
        <v>78</v>
      </c>
      <c r="AL197" t="s">
        <v>79</v>
      </c>
      <c r="AM197" t="s">
        <v>80</v>
      </c>
      <c r="AN197" t="s">
        <v>81</v>
      </c>
      <c r="AO197" t="s">
        <v>82</v>
      </c>
      <c r="AP197" t="s">
        <v>85</v>
      </c>
      <c r="AQ197" t="s">
        <v>85</v>
      </c>
      <c r="AR197" t="s">
        <v>85</v>
      </c>
      <c r="AS197" t="s">
        <v>102</v>
      </c>
      <c r="AT197" t="s">
        <v>85</v>
      </c>
      <c r="AU197" t="s">
        <v>83</v>
      </c>
      <c r="AV197" t="s">
        <v>83</v>
      </c>
      <c r="AW197" s="4">
        <v>2</v>
      </c>
      <c r="AX197" s="4">
        <v>1</v>
      </c>
      <c r="AY197" s="4">
        <v>2</v>
      </c>
      <c r="AZ197" s="3">
        <v>1.75</v>
      </c>
      <c r="BA197" s="3">
        <v>3.0625</v>
      </c>
      <c r="BB197" s="3">
        <v>23.183673469387756</v>
      </c>
      <c r="BC197" t="s">
        <v>85</v>
      </c>
      <c r="BD197" t="s">
        <v>86</v>
      </c>
      <c r="BE197" s="4">
        <v>3</v>
      </c>
      <c r="BF197" t="s">
        <v>111</v>
      </c>
      <c r="BG197" s="1" t="e">
        <v>#NULL!</v>
      </c>
      <c r="BH197" s="4">
        <v>0</v>
      </c>
      <c r="BI197" t="s">
        <v>85</v>
      </c>
      <c r="BJ197" s="4">
        <v>2</v>
      </c>
      <c r="BK197" t="s">
        <v>88</v>
      </c>
    </row>
    <row r="198" spans="1:63" x14ac:dyDescent="0.35">
      <c r="A198" s="4">
        <v>119</v>
      </c>
      <c r="B198" s="4">
        <v>36</v>
      </c>
      <c r="C198" t="s">
        <v>119</v>
      </c>
      <c r="D198" t="s">
        <v>89</v>
      </c>
      <c r="E198" t="s">
        <v>104</v>
      </c>
      <c r="F198" t="s">
        <v>90</v>
      </c>
      <c r="G198" t="s">
        <v>67</v>
      </c>
      <c r="H198" s="2">
        <v>150</v>
      </c>
      <c r="I198" t="s">
        <v>68</v>
      </c>
      <c r="J198" t="s">
        <v>69</v>
      </c>
      <c r="K198" t="s">
        <v>69</v>
      </c>
      <c r="L198" t="s">
        <v>69</v>
      </c>
      <c r="M198" s="4">
        <v>2</v>
      </c>
      <c r="N198" t="s">
        <v>71</v>
      </c>
      <c r="O198" s="4">
        <v>2</v>
      </c>
      <c r="P198" t="s">
        <v>71</v>
      </c>
      <c r="Q198" s="4">
        <v>2</v>
      </c>
      <c r="R198" t="s">
        <v>71</v>
      </c>
      <c r="S198" s="4">
        <v>1</v>
      </c>
      <c r="T198" t="s">
        <v>71</v>
      </c>
      <c r="U198" t="s">
        <v>73</v>
      </c>
      <c r="V198" t="s">
        <v>93</v>
      </c>
      <c r="W198" t="s">
        <v>74</v>
      </c>
      <c r="X198" t="s">
        <v>76</v>
      </c>
      <c r="Y198" t="s">
        <v>69</v>
      </c>
      <c r="Z198" s="4">
        <v>2</v>
      </c>
      <c r="AA198" t="s">
        <v>77</v>
      </c>
      <c r="AB198" s="4">
        <v>117</v>
      </c>
      <c r="AC198" s="4">
        <v>69</v>
      </c>
      <c r="AD198" s="4">
        <v>55</v>
      </c>
      <c r="AE198" s="4">
        <v>156</v>
      </c>
      <c r="AF198" s="4">
        <v>83</v>
      </c>
      <c r="AG198" s="4">
        <v>96</v>
      </c>
      <c r="AH198" s="4">
        <v>89</v>
      </c>
      <c r="AI198" s="4">
        <v>115</v>
      </c>
      <c r="AJ198" s="4">
        <v>32</v>
      </c>
      <c r="AK198" t="s">
        <v>78</v>
      </c>
      <c r="AL198" t="s">
        <v>95</v>
      </c>
      <c r="AM198" t="s">
        <v>80</v>
      </c>
      <c r="AN198" t="s">
        <v>96</v>
      </c>
      <c r="AO198" t="s">
        <v>97</v>
      </c>
      <c r="AP198" t="s">
        <v>83</v>
      </c>
      <c r="AQ198" t="s">
        <v>83</v>
      </c>
      <c r="AR198" t="s">
        <v>83</v>
      </c>
      <c r="AS198" t="s">
        <v>84</v>
      </c>
      <c r="AT198" t="s">
        <v>85</v>
      </c>
      <c r="AU198" t="s">
        <v>83</v>
      </c>
      <c r="AV198" t="s">
        <v>83</v>
      </c>
      <c r="AW198" s="4">
        <v>1</v>
      </c>
      <c r="AX198" s="4">
        <v>0</v>
      </c>
      <c r="AY198" s="4">
        <v>1</v>
      </c>
      <c r="AZ198" s="3">
        <v>1.56</v>
      </c>
      <c r="BA198" s="3">
        <v>2.4336000000000002</v>
      </c>
      <c r="BB198" s="3">
        <v>22.600262984878366</v>
      </c>
      <c r="BC198" t="s">
        <v>85</v>
      </c>
      <c r="BD198" t="s">
        <v>86</v>
      </c>
      <c r="BE198" s="4">
        <v>2</v>
      </c>
      <c r="BF198" t="s">
        <v>87</v>
      </c>
      <c r="BG198" s="1" t="e">
        <v>#NULL!</v>
      </c>
      <c r="BH198" s="4">
        <v>0</v>
      </c>
      <c r="BI198" t="s">
        <v>85</v>
      </c>
      <c r="BJ198" s="4">
        <v>1</v>
      </c>
      <c r="BK198" t="s">
        <v>88</v>
      </c>
    </row>
    <row r="199" spans="1:63" x14ac:dyDescent="0.35">
      <c r="A199" s="4">
        <v>237</v>
      </c>
      <c r="B199" s="4">
        <v>36</v>
      </c>
      <c r="C199" t="s">
        <v>119</v>
      </c>
      <c r="D199" t="s">
        <v>64</v>
      </c>
      <c r="E199" t="s">
        <v>104</v>
      </c>
      <c r="F199" t="s">
        <v>101</v>
      </c>
      <c r="G199" t="s">
        <v>67</v>
      </c>
      <c r="H199" s="2">
        <v>480</v>
      </c>
      <c r="I199" t="s">
        <v>68</v>
      </c>
      <c r="J199" t="s">
        <v>70</v>
      </c>
      <c r="K199" t="s">
        <v>69</v>
      </c>
      <c r="L199" t="s">
        <v>69</v>
      </c>
      <c r="M199" s="4">
        <v>4</v>
      </c>
      <c r="N199" t="s">
        <v>91</v>
      </c>
      <c r="O199" s="4">
        <v>3</v>
      </c>
      <c r="P199" t="s">
        <v>91</v>
      </c>
      <c r="Q199" s="4">
        <v>4</v>
      </c>
      <c r="R199" t="s">
        <v>91</v>
      </c>
      <c r="S199" s="4">
        <v>4</v>
      </c>
      <c r="T199" t="s">
        <v>91</v>
      </c>
      <c r="U199" t="s">
        <v>92</v>
      </c>
      <c r="V199" t="s">
        <v>93</v>
      </c>
      <c r="W199" t="s">
        <v>74</v>
      </c>
      <c r="X199" t="s">
        <v>76</v>
      </c>
      <c r="Y199" t="s">
        <v>69</v>
      </c>
      <c r="Z199" s="4">
        <v>4</v>
      </c>
      <c r="AA199" t="s">
        <v>77</v>
      </c>
      <c r="AB199" s="4">
        <v>114</v>
      </c>
      <c r="AC199" s="4">
        <v>80</v>
      </c>
      <c r="AD199" s="4">
        <v>80</v>
      </c>
      <c r="AE199" s="4">
        <v>178</v>
      </c>
      <c r="AF199" s="4">
        <v>82</v>
      </c>
      <c r="AG199" s="4">
        <v>92</v>
      </c>
      <c r="AH199" s="4">
        <v>90</v>
      </c>
      <c r="AI199" s="4">
        <v>170</v>
      </c>
      <c r="AJ199" s="4">
        <v>38</v>
      </c>
      <c r="AK199" t="s">
        <v>107</v>
      </c>
      <c r="AL199" t="s">
        <v>95</v>
      </c>
      <c r="AM199" t="s">
        <v>80</v>
      </c>
      <c r="AN199" t="s">
        <v>96</v>
      </c>
      <c r="AO199" t="s">
        <v>97</v>
      </c>
      <c r="AP199" t="s">
        <v>83</v>
      </c>
      <c r="AQ199" t="s">
        <v>83</v>
      </c>
      <c r="AR199" t="s">
        <v>83</v>
      </c>
      <c r="AS199" t="s">
        <v>84</v>
      </c>
      <c r="AT199" t="s">
        <v>85</v>
      </c>
      <c r="AU199" t="s">
        <v>83</v>
      </c>
      <c r="AV199" t="s">
        <v>85</v>
      </c>
      <c r="AW199" s="4">
        <v>2</v>
      </c>
      <c r="AX199" s="4">
        <v>1</v>
      </c>
      <c r="AY199" s="4">
        <v>1</v>
      </c>
      <c r="AZ199" s="3">
        <v>1.78</v>
      </c>
      <c r="BA199" s="3">
        <v>3.1684000000000001</v>
      </c>
      <c r="BB199" s="3">
        <v>25.249337204898371</v>
      </c>
      <c r="BC199" t="s">
        <v>98</v>
      </c>
      <c r="BD199" t="s">
        <v>99</v>
      </c>
      <c r="BE199" s="4">
        <v>2</v>
      </c>
      <c r="BF199" t="s">
        <v>87</v>
      </c>
      <c r="BG199" s="4">
        <v>0</v>
      </c>
      <c r="BH199" s="1" t="e">
        <v>#NULL!</v>
      </c>
      <c r="BI199" t="s">
        <v>85</v>
      </c>
      <c r="BJ199" s="4">
        <v>2</v>
      </c>
      <c r="BK199" t="s">
        <v>88</v>
      </c>
    </row>
    <row r="200" spans="1:63" x14ac:dyDescent="0.35">
      <c r="A200" s="4">
        <v>268</v>
      </c>
      <c r="B200" s="4">
        <v>36</v>
      </c>
      <c r="C200" t="s">
        <v>119</v>
      </c>
      <c r="D200" t="s">
        <v>89</v>
      </c>
      <c r="E200" t="s">
        <v>104</v>
      </c>
      <c r="F200" t="s">
        <v>101</v>
      </c>
      <c r="G200" t="s">
        <v>67</v>
      </c>
      <c r="H200" s="2">
        <v>900</v>
      </c>
      <c r="I200" t="s">
        <v>105</v>
      </c>
      <c r="J200" t="s">
        <v>69</v>
      </c>
      <c r="K200" t="s">
        <v>69</v>
      </c>
      <c r="L200" t="s">
        <v>69</v>
      </c>
      <c r="M200" s="4">
        <v>7</v>
      </c>
      <c r="N200" t="s">
        <v>72</v>
      </c>
      <c r="O200" s="4">
        <v>3</v>
      </c>
      <c r="P200" t="s">
        <v>91</v>
      </c>
      <c r="Q200" s="4">
        <v>7</v>
      </c>
      <c r="R200" t="s">
        <v>72</v>
      </c>
      <c r="S200" s="4">
        <v>3</v>
      </c>
      <c r="T200" t="s">
        <v>91</v>
      </c>
      <c r="U200" t="s">
        <v>73</v>
      </c>
      <c r="V200" t="s">
        <v>93</v>
      </c>
      <c r="W200" t="s">
        <v>75</v>
      </c>
      <c r="X200" t="s">
        <v>76</v>
      </c>
      <c r="Y200" t="s">
        <v>69</v>
      </c>
      <c r="Z200" s="4">
        <v>2</v>
      </c>
      <c r="AA200" t="s">
        <v>77</v>
      </c>
      <c r="AB200" s="4">
        <v>116</v>
      </c>
      <c r="AC200" s="4">
        <v>80</v>
      </c>
      <c r="AD200" s="4">
        <v>91</v>
      </c>
      <c r="AE200" s="4">
        <v>169</v>
      </c>
      <c r="AF200" s="4">
        <v>93</v>
      </c>
      <c r="AG200" s="4">
        <v>121</v>
      </c>
      <c r="AH200" s="4">
        <v>82</v>
      </c>
      <c r="AI200" s="4">
        <v>99</v>
      </c>
      <c r="AJ200" s="4">
        <v>53</v>
      </c>
      <c r="AK200" t="s">
        <v>78</v>
      </c>
      <c r="AL200" t="s">
        <v>95</v>
      </c>
      <c r="AM200" t="s">
        <v>80</v>
      </c>
      <c r="AN200" t="s">
        <v>96</v>
      </c>
      <c r="AO200" t="s">
        <v>97</v>
      </c>
      <c r="AP200" t="s">
        <v>85</v>
      </c>
      <c r="AQ200" t="s">
        <v>85</v>
      </c>
      <c r="AR200" t="s">
        <v>85</v>
      </c>
      <c r="AS200" t="s">
        <v>84</v>
      </c>
      <c r="AT200" t="s">
        <v>85</v>
      </c>
      <c r="AU200" t="s">
        <v>83</v>
      </c>
      <c r="AV200" t="s">
        <v>83</v>
      </c>
      <c r="AW200" s="4">
        <v>0</v>
      </c>
      <c r="AX200" s="4">
        <v>0</v>
      </c>
      <c r="AY200" s="4">
        <v>1</v>
      </c>
      <c r="AZ200" s="3">
        <v>1.69</v>
      </c>
      <c r="BA200" s="3">
        <v>2.8560999999999996</v>
      </c>
      <c r="BB200" s="3">
        <v>31.861629494765594</v>
      </c>
      <c r="BC200" t="s">
        <v>110</v>
      </c>
      <c r="BD200" t="s">
        <v>99</v>
      </c>
      <c r="BE200" s="4">
        <v>1</v>
      </c>
      <c r="BF200" t="s">
        <v>87</v>
      </c>
      <c r="BG200" s="1" t="e">
        <v>#NULL!</v>
      </c>
      <c r="BH200" s="4">
        <v>1</v>
      </c>
      <c r="BI200" t="s">
        <v>83</v>
      </c>
      <c r="BJ200" s="4">
        <v>1</v>
      </c>
      <c r="BK200" t="s">
        <v>88</v>
      </c>
    </row>
    <row r="201" spans="1:63" x14ac:dyDescent="0.35">
      <c r="A201" s="4">
        <v>270</v>
      </c>
      <c r="B201" s="4">
        <v>36</v>
      </c>
      <c r="C201" t="s">
        <v>119</v>
      </c>
      <c r="D201" t="s">
        <v>64</v>
      </c>
      <c r="E201" t="s">
        <v>104</v>
      </c>
      <c r="F201" t="s">
        <v>90</v>
      </c>
      <c r="G201" t="s">
        <v>67</v>
      </c>
      <c r="H201" s="2">
        <v>800</v>
      </c>
      <c r="I201" t="s">
        <v>105</v>
      </c>
      <c r="J201" t="s">
        <v>69</v>
      </c>
      <c r="K201" t="s">
        <v>69</v>
      </c>
      <c r="L201" t="s">
        <v>69</v>
      </c>
      <c r="M201" s="4">
        <v>4</v>
      </c>
      <c r="N201" t="s">
        <v>91</v>
      </c>
      <c r="O201" s="4">
        <v>5</v>
      </c>
      <c r="P201" t="s">
        <v>72</v>
      </c>
      <c r="Q201" s="4">
        <v>4</v>
      </c>
      <c r="R201" t="s">
        <v>91</v>
      </c>
      <c r="S201" s="4">
        <v>6</v>
      </c>
      <c r="T201" t="s">
        <v>72</v>
      </c>
      <c r="U201" t="s">
        <v>92</v>
      </c>
      <c r="V201" t="s">
        <v>93</v>
      </c>
      <c r="W201" t="s">
        <v>93</v>
      </c>
      <c r="X201" t="s">
        <v>94</v>
      </c>
      <c r="Y201" t="s">
        <v>69</v>
      </c>
      <c r="Z201" s="4">
        <v>3</v>
      </c>
      <c r="AA201" t="s">
        <v>77</v>
      </c>
      <c r="AB201" s="4">
        <v>110</v>
      </c>
      <c r="AC201" s="4">
        <v>72</v>
      </c>
      <c r="AD201" s="4">
        <v>82</v>
      </c>
      <c r="AE201" s="4">
        <v>176</v>
      </c>
      <c r="AF201" s="4">
        <v>88</v>
      </c>
      <c r="AG201" s="4">
        <v>96</v>
      </c>
      <c r="AH201" s="4">
        <v>78</v>
      </c>
      <c r="AI201" s="4">
        <v>120</v>
      </c>
      <c r="AJ201" s="4">
        <v>53</v>
      </c>
      <c r="AK201" t="s">
        <v>78</v>
      </c>
      <c r="AL201" t="s">
        <v>95</v>
      </c>
      <c r="AM201" t="s">
        <v>80</v>
      </c>
      <c r="AN201" t="s">
        <v>96</v>
      </c>
      <c r="AO201" t="s">
        <v>97</v>
      </c>
      <c r="AP201" t="s">
        <v>85</v>
      </c>
      <c r="AQ201" t="s">
        <v>85</v>
      </c>
      <c r="AR201" t="s">
        <v>85</v>
      </c>
      <c r="AS201" t="s">
        <v>84</v>
      </c>
      <c r="AT201" t="s">
        <v>85</v>
      </c>
      <c r="AU201" t="s">
        <v>83</v>
      </c>
      <c r="AV201" t="s">
        <v>85</v>
      </c>
      <c r="AW201" s="4">
        <v>0</v>
      </c>
      <c r="AX201" s="4">
        <v>0</v>
      </c>
      <c r="AY201" s="4">
        <v>0</v>
      </c>
      <c r="AZ201" s="3">
        <v>1.76</v>
      </c>
      <c r="BA201" s="3">
        <v>3.0975999999999999</v>
      </c>
      <c r="BB201" s="3">
        <v>26.472107438016529</v>
      </c>
      <c r="BC201" t="s">
        <v>98</v>
      </c>
      <c r="BD201" t="s">
        <v>99</v>
      </c>
      <c r="BE201" s="4">
        <v>0</v>
      </c>
      <c r="BF201" t="s">
        <v>87</v>
      </c>
      <c r="BG201" s="4">
        <v>0</v>
      </c>
      <c r="BH201" s="1" t="e">
        <v>#NULL!</v>
      </c>
      <c r="BI201" t="s">
        <v>85</v>
      </c>
      <c r="BJ201" s="4">
        <v>0</v>
      </c>
      <c r="BK201" t="s">
        <v>88</v>
      </c>
    </row>
    <row r="202" spans="1:63" x14ac:dyDescent="0.35">
      <c r="A202" s="4">
        <v>279</v>
      </c>
      <c r="B202" s="4">
        <v>36</v>
      </c>
      <c r="C202" t="s">
        <v>119</v>
      </c>
      <c r="D202" t="s">
        <v>89</v>
      </c>
      <c r="E202" t="s">
        <v>104</v>
      </c>
      <c r="F202" t="s">
        <v>66</v>
      </c>
      <c r="G202" t="s">
        <v>67</v>
      </c>
      <c r="H202" s="2">
        <v>500</v>
      </c>
      <c r="I202" t="s">
        <v>68</v>
      </c>
      <c r="J202" t="s">
        <v>69</v>
      </c>
      <c r="K202" t="s">
        <v>69</v>
      </c>
      <c r="L202" t="s">
        <v>69</v>
      </c>
      <c r="M202" s="4">
        <v>2</v>
      </c>
      <c r="N202" t="s">
        <v>71</v>
      </c>
      <c r="O202" s="4">
        <v>2</v>
      </c>
      <c r="P202" t="s">
        <v>71</v>
      </c>
      <c r="Q202" s="4">
        <v>3</v>
      </c>
      <c r="R202" t="s">
        <v>91</v>
      </c>
      <c r="S202" s="4">
        <v>2</v>
      </c>
      <c r="T202" t="s">
        <v>71</v>
      </c>
      <c r="U202" t="s">
        <v>92</v>
      </c>
      <c r="V202" t="s">
        <v>93</v>
      </c>
      <c r="W202" t="s">
        <v>93</v>
      </c>
      <c r="X202" t="s">
        <v>94</v>
      </c>
      <c r="Y202" t="s">
        <v>69</v>
      </c>
      <c r="Z202" s="4">
        <v>5</v>
      </c>
      <c r="AA202" t="s">
        <v>77</v>
      </c>
      <c r="AB202" s="4">
        <v>118</v>
      </c>
      <c r="AC202" s="4">
        <v>81</v>
      </c>
      <c r="AD202" s="4">
        <v>96</v>
      </c>
      <c r="AE202" s="4">
        <v>171</v>
      </c>
      <c r="AF202" s="4">
        <v>102</v>
      </c>
      <c r="AG202" s="4">
        <v>127</v>
      </c>
      <c r="AH202" s="4">
        <v>93</v>
      </c>
      <c r="AI202" s="4">
        <v>108</v>
      </c>
      <c r="AJ202" s="4">
        <v>43</v>
      </c>
      <c r="AK202" t="s">
        <v>78</v>
      </c>
      <c r="AL202" t="s">
        <v>95</v>
      </c>
      <c r="AM202" t="s">
        <v>80</v>
      </c>
      <c r="AN202" t="s">
        <v>96</v>
      </c>
      <c r="AO202" t="s">
        <v>97</v>
      </c>
      <c r="AP202" t="s">
        <v>83</v>
      </c>
      <c r="AQ202" t="s">
        <v>85</v>
      </c>
      <c r="AR202" t="s">
        <v>83</v>
      </c>
      <c r="AS202" t="s">
        <v>84</v>
      </c>
      <c r="AT202" t="s">
        <v>83</v>
      </c>
      <c r="AU202" t="s">
        <v>83</v>
      </c>
      <c r="AV202" t="s">
        <v>83</v>
      </c>
      <c r="AW202" s="4">
        <v>1</v>
      </c>
      <c r="AX202" s="4">
        <v>0</v>
      </c>
      <c r="AY202" s="4">
        <v>1</v>
      </c>
      <c r="AZ202" s="3">
        <v>1.71</v>
      </c>
      <c r="BA202" s="3">
        <v>2.9240999999999997</v>
      </c>
      <c r="BB202" s="3">
        <v>32.830614548066073</v>
      </c>
      <c r="BC202" t="s">
        <v>110</v>
      </c>
      <c r="BD202" t="s">
        <v>99</v>
      </c>
      <c r="BE202" s="4">
        <v>2</v>
      </c>
      <c r="BF202" t="s">
        <v>87</v>
      </c>
      <c r="BG202" s="1" t="e">
        <v>#NULL!</v>
      </c>
      <c r="BH202" s="4">
        <v>1</v>
      </c>
      <c r="BI202" t="s">
        <v>83</v>
      </c>
      <c r="BJ202" s="4">
        <v>2</v>
      </c>
      <c r="BK202" t="s">
        <v>88</v>
      </c>
    </row>
    <row r="203" spans="1:63" x14ac:dyDescent="0.35">
      <c r="A203" s="4">
        <v>438</v>
      </c>
      <c r="B203" s="4">
        <v>36</v>
      </c>
      <c r="C203" t="s">
        <v>119</v>
      </c>
      <c r="D203" t="s">
        <v>89</v>
      </c>
      <c r="E203" t="s">
        <v>104</v>
      </c>
      <c r="F203" t="s">
        <v>66</v>
      </c>
      <c r="G203" t="s">
        <v>67</v>
      </c>
      <c r="H203" s="2">
        <v>400</v>
      </c>
      <c r="I203" t="s">
        <v>68</v>
      </c>
      <c r="J203" t="s">
        <v>69</v>
      </c>
      <c r="K203" t="s">
        <v>69</v>
      </c>
      <c r="L203" t="s">
        <v>69</v>
      </c>
      <c r="M203" s="4">
        <v>1</v>
      </c>
      <c r="N203" t="s">
        <v>71</v>
      </c>
      <c r="O203" s="4">
        <v>2</v>
      </c>
      <c r="P203" t="s">
        <v>71</v>
      </c>
      <c r="Q203" s="4">
        <v>1</v>
      </c>
      <c r="R203" t="s">
        <v>71</v>
      </c>
      <c r="S203" s="4">
        <v>1</v>
      </c>
      <c r="T203" t="s">
        <v>71</v>
      </c>
      <c r="U203" t="s">
        <v>92</v>
      </c>
      <c r="V203" t="s">
        <v>93</v>
      </c>
      <c r="W203" t="s">
        <v>93</v>
      </c>
      <c r="X203" t="s">
        <v>94</v>
      </c>
      <c r="Y203" t="s">
        <v>69</v>
      </c>
      <c r="Z203" s="4">
        <v>2</v>
      </c>
      <c r="AA203" t="s">
        <v>77</v>
      </c>
      <c r="AB203" s="4">
        <v>173</v>
      </c>
      <c r="AC203" s="4">
        <v>98</v>
      </c>
      <c r="AD203" s="4">
        <v>36</v>
      </c>
      <c r="AE203" s="4">
        <v>162</v>
      </c>
      <c r="AF203" s="4">
        <v>62</v>
      </c>
      <c r="AG203" s="4">
        <v>83</v>
      </c>
      <c r="AH203" s="4">
        <v>95</v>
      </c>
      <c r="AI203" s="4">
        <v>55</v>
      </c>
      <c r="AJ203" s="4">
        <v>64</v>
      </c>
      <c r="AK203" t="s">
        <v>78</v>
      </c>
      <c r="AL203" t="s">
        <v>79</v>
      </c>
      <c r="AM203" t="s">
        <v>108</v>
      </c>
      <c r="AN203" t="s">
        <v>109</v>
      </c>
      <c r="AO203" t="s">
        <v>82</v>
      </c>
      <c r="AP203" t="s">
        <v>85</v>
      </c>
      <c r="AQ203" t="s">
        <v>85</v>
      </c>
      <c r="AR203" t="s">
        <v>85</v>
      </c>
      <c r="AS203" t="s">
        <v>84</v>
      </c>
      <c r="AT203" t="s">
        <v>85</v>
      </c>
      <c r="AU203" t="s">
        <v>85</v>
      </c>
      <c r="AV203" t="s">
        <v>85</v>
      </c>
      <c r="AW203" s="4">
        <v>1</v>
      </c>
      <c r="AX203" s="4">
        <v>0</v>
      </c>
      <c r="AY203" s="4">
        <v>0</v>
      </c>
      <c r="AZ203" s="3">
        <v>1.62</v>
      </c>
      <c r="BA203" s="3">
        <v>2.6244000000000005</v>
      </c>
      <c r="BB203" s="3">
        <v>13.71742112482853</v>
      </c>
      <c r="BC203" t="s">
        <v>100</v>
      </c>
      <c r="BD203" t="s">
        <v>86</v>
      </c>
      <c r="BE203" s="4">
        <v>1</v>
      </c>
      <c r="BF203" t="s">
        <v>87</v>
      </c>
      <c r="BG203" s="1" t="e">
        <v>#NULL!</v>
      </c>
      <c r="BH203" s="4">
        <v>0</v>
      </c>
      <c r="BI203" t="s">
        <v>85</v>
      </c>
      <c r="BJ203" s="4">
        <v>1</v>
      </c>
      <c r="BK203" t="s">
        <v>88</v>
      </c>
    </row>
    <row r="204" spans="1:63" x14ac:dyDescent="0.35">
      <c r="A204" s="4">
        <v>463</v>
      </c>
      <c r="B204" s="4">
        <v>36</v>
      </c>
      <c r="C204" t="s">
        <v>119</v>
      </c>
      <c r="D204" t="s">
        <v>64</v>
      </c>
      <c r="E204" t="s">
        <v>104</v>
      </c>
      <c r="F204" t="s">
        <v>90</v>
      </c>
      <c r="G204" t="s">
        <v>67</v>
      </c>
      <c r="H204" s="2">
        <v>600</v>
      </c>
      <c r="I204" t="s">
        <v>105</v>
      </c>
      <c r="J204" t="s">
        <v>69</v>
      </c>
      <c r="K204" t="s">
        <v>69</v>
      </c>
      <c r="L204" t="s">
        <v>69</v>
      </c>
      <c r="M204" s="4">
        <v>4</v>
      </c>
      <c r="N204" t="s">
        <v>91</v>
      </c>
      <c r="O204" s="4">
        <v>5</v>
      </c>
      <c r="P204" t="s">
        <v>72</v>
      </c>
      <c r="Q204" s="4">
        <v>4</v>
      </c>
      <c r="R204" t="s">
        <v>91</v>
      </c>
      <c r="S204" s="4">
        <v>5</v>
      </c>
      <c r="T204" t="s">
        <v>72</v>
      </c>
      <c r="U204" t="s">
        <v>92</v>
      </c>
      <c r="V204" t="s">
        <v>93</v>
      </c>
      <c r="W204" t="s">
        <v>93</v>
      </c>
      <c r="X204" t="s">
        <v>94</v>
      </c>
      <c r="Y204" t="s">
        <v>69</v>
      </c>
      <c r="Z204" s="4">
        <v>2</v>
      </c>
      <c r="AA204" t="s">
        <v>77</v>
      </c>
      <c r="AB204" s="4">
        <v>99</v>
      </c>
      <c r="AC204" s="4">
        <v>67</v>
      </c>
      <c r="AD204" s="4">
        <v>72</v>
      </c>
      <c r="AE204" s="4">
        <v>168</v>
      </c>
      <c r="AF204" s="4">
        <v>78</v>
      </c>
      <c r="AG204" s="4">
        <v>92</v>
      </c>
      <c r="AH204" s="4">
        <v>89</v>
      </c>
      <c r="AI204" s="4">
        <v>143</v>
      </c>
      <c r="AJ204" s="4">
        <v>38</v>
      </c>
      <c r="AK204" t="s">
        <v>78</v>
      </c>
      <c r="AL204" t="s">
        <v>95</v>
      </c>
      <c r="AM204" t="s">
        <v>80</v>
      </c>
      <c r="AN204" t="s">
        <v>96</v>
      </c>
      <c r="AO204" t="s">
        <v>97</v>
      </c>
      <c r="AP204" t="s">
        <v>83</v>
      </c>
      <c r="AQ204" t="s">
        <v>83</v>
      </c>
      <c r="AR204" t="s">
        <v>83</v>
      </c>
      <c r="AS204" t="s">
        <v>84</v>
      </c>
      <c r="AT204" t="s">
        <v>85</v>
      </c>
      <c r="AU204" t="s">
        <v>85</v>
      </c>
      <c r="AV204" t="s">
        <v>85</v>
      </c>
      <c r="AW204" s="4">
        <v>1</v>
      </c>
      <c r="AX204" s="4">
        <v>0</v>
      </c>
      <c r="AY204" s="4">
        <v>0</v>
      </c>
      <c r="AZ204" s="3">
        <v>1.68</v>
      </c>
      <c r="BA204" s="3">
        <v>2.8223999999999996</v>
      </c>
      <c r="BB204" s="3">
        <v>25.510204081632658</v>
      </c>
      <c r="BC204" t="s">
        <v>98</v>
      </c>
      <c r="BD204" t="s">
        <v>99</v>
      </c>
      <c r="BE204" s="4">
        <v>1</v>
      </c>
      <c r="BF204" t="s">
        <v>87</v>
      </c>
      <c r="BG204" s="4">
        <v>0</v>
      </c>
      <c r="BH204" s="1" t="e">
        <v>#NULL!</v>
      </c>
      <c r="BI204" t="s">
        <v>85</v>
      </c>
      <c r="BJ204" s="4">
        <v>1</v>
      </c>
      <c r="BK204" t="s">
        <v>88</v>
      </c>
    </row>
    <row r="205" spans="1:63" x14ac:dyDescent="0.35">
      <c r="A205" s="4">
        <v>267</v>
      </c>
      <c r="B205" s="4">
        <v>36</v>
      </c>
      <c r="C205" t="s">
        <v>119</v>
      </c>
      <c r="D205" t="s">
        <v>64</v>
      </c>
      <c r="E205" t="s">
        <v>113</v>
      </c>
      <c r="F205" t="s">
        <v>101</v>
      </c>
      <c r="G205" t="s">
        <v>67</v>
      </c>
      <c r="H205" s="2">
        <v>1800</v>
      </c>
      <c r="I205" t="s">
        <v>116</v>
      </c>
      <c r="J205" t="s">
        <v>69</v>
      </c>
      <c r="K205" t="s">
        <v>69</v>
      </c>
      <c r="L205" t="s">
        <v>69</v>
      </c>
      <c r="M205" s="4">
        <v>3</v>
      </c>
      <c r="N205" t="s">
        <v>91</v>
      </c>
      <c r="O205" s="4">
        <v>5</v>
      </c>
      <c r="P205" t="s">
        <v>72</v>
      </c>
      <c r="Q205" s="4">
        <v>4</v>
      </c>
      <c r="R205" t="s">
        <v>91</v>
      </c>
      <c r="S205" s="4">
        <v>2</v>
      </c>
      <c r="T205" t="s">
        <v>71</v>
      </c>
      <c r="U205" t="s">
        <v>118</v>
      </c>
      <c r="V205" t="s">
        <v>93</v>
      </c>
      <c r="W205" t="s">
        <v>93</v>
      </c>
      <c r="X205" t="s">
        <v>94</v>
      </c>
      <c r="Y205" t="s">
        <v>69</v>
      </c>
      <c r="Z205" s="4">
        <v>3</v>
      </c>
      <c r="AA205" t="s">
        <v>77</v>
      </c>
      <c r="AB205" s="4">
        <v>95</v>
      </c>
      <c r="AC205" s="4">
        <v>70</v>
      </c>
      <c r="AD205" s="4">
        <v>67</v>
      </c>
      <c r="AE205" s="4">
        <v>178</v>
      </c>
      <c r="AF205" s="4">
        <v>89</v>
      </c>
      <c r="AG205" s="4">
        <v>94</v>
      </c>
      <c r="AH205" s="4">
        <v>116</v>
      </c>
      <c r="AI205" s="4">
        <v>40</v>
      </c>
      <c r="AJ205" s="4">
        <v>50</v>
      </c>
      <c r="AK205" t="s">
        <v>78</v>
      </c>
      <c r="AL205" t="s">
        <v>95</v>
      </c>
      <c r="AM205" t="s">
        <v>80</v>
      </c>
      <c r="AN205" t="s">
        <v>96</v>
      </c>
      <c r="AO205" t="s">
        <v>97</v>
      </c>
      <c r="AP205" t="s">
        <v>85</v>
      </c>
      <c r="AQ205" t="s">
        <v>85</v>
      </c>
      <c r="AR205" t="s">
        <v>85</v>
      </c>
      <c r="AS205" t="s">
        <v>102</v>
      </c>
      <c r="AT205" t="s">
        <v>85</v>
      </c>
      <c r="AU205" t="s">
        <v>83</v>
      </c>
      <c r="AV205" t="s">
        <v>85</v>
      </c>
      <c r="AW205" s="4">
        <v>1</v>
      </c>
      <c r="AX205" s="4">
        <v>0</v>
      </c>
      <c r="AY205" s="4">
        <v>0</v>
      </c>
      <c r="AZ205" s="3">
        <v>1.78</v>
      </c>
      <c r="BA205" s="3">
        <v>3.1684000000000001</v>
      </c>
      <c r="BB205" s="3">
        <v>21.146319909102385</v>
      </c>
      <c r="BC205" t="s">
        <v>85</v>
      </c>
      <c r="BD205" t="s">
        <v>86</v>
      </c>
      <c r="BE205" s="4">
        <v>1</v>
      </c>
      <c r="BF205" t="s">
        <v>87</v>
      </c>
      <c r="BG205" s="4">
        <v>0</v>
      </c>
      <c r="BH205" s="1" t="e">
        <v>#NULL!</v>
      </c>
      <c r="BI205" t="s">
        <v>85</v>
      </c>
      <c r="BJ205" s="4">
        <v>1</v>
      </c>
      <c r="BK205" t="s">
        <v>88</v>
      </c>
    </row>
    <row r="206" spans="1:63" x14ac:dyDescent="0.35">
      <c r="A206" s="4">
        <v>397</v>
      </c>
      <c r="B206" s="4">
        <v>36</v>
      </c>
      <c r="C206" t="s">
        <v>119</v>
      </c>
      <c r="D206" t="s">
        <v>64</v>
      </c>
      <c r="E206" t="s">
        <v>113</v>
      </c>
      <c r="F206" t="s">
        <v>101</v>
      </c>
      <c r="G206" t="s">
        <v>67</v>
      </c>
      <c r="H206" s="2">
        <v>380</v>
      </c>
      <c r="I206" t="s">
        <v>68</v>
      </c>
      <c r="J206" t="s">
        <v>69</v>
      </c>
      <c r="K206" t="s">
        <v>70</v>
      </c>
      <c r="L206" t="s">
        <v>69</v>
      </c>
      <c r="M206" s="4">
        <v>3</v>
      </c>
      <c r="N206" t="s">
        <v>91</v>
      </c>
      <c r="O206" s="4">
        <v>4</v>
      </c>
      <c r="P206" t="s">
        <v>91</v>
      </c>
      <c r="Q206" s="4">
        <v>3</v>
      </c>
      <c r="R206" t="s">
        <v>91</v>
      </c>
      <c r="S206" s="4">
        <v>4</v>
      </c>
      <c r="T206" t="s">
        <v>91</v>
      </c>
      <c r="U206" t="s">
        <v>92</v>
      </c>
      <c r="V206" t="s">
        <v>74</v>
      </c>
      <c r="W206" t="s">
        <v>93</v>
      </c>
      <c r="X206" t="s">
        <v>94</v>
      </c>
      <c r="Y206" t="s">
        <v>69</v>
      </c>
      <c r="Z206" s="4">
        <v>3</v>
      </c>
      <c r="AA206" t="s">
        <v>77</v>
      </c>
      <c r="AB206" s="4">
        <v>112</v>
      </c>
      <c r="AC206" s="4">
        <v>78</v>
      </c>
      <c r="AD206" s="4">
        <v>70</v>
      </c>
      <c r="AE206" s="4">
        <v>174</v>
      </c>
      <c r="AF206" s="4">
        <v>88</v>
      </c>
      <c r="AG206" s="4">
        <v>98</v>
      </c>
      <c r="AH206" s="4">
        <v>88</v>
      </c>
      <c r="AI206" s="4">
        <v>140</v>
      </c>
      <c r="AJ206" s="4">
        <v>62</v>
      </c>
      <c r="AK206" t="s">
        <v>78</v>
      </c>
      <c r="AL206" t="s">
        <v>95</v>
      </c>
      <c r="AM206" t="s">
        <v>80</v>
      </c>
      <c r="AN206" t="s">
        <v>96</v>
      </c>
      <c r="AO206" t="s">
        <v>97</v>
      </c>
      <c r="AP206" t="s">
        <v>85</v>
      </c>
      <c r="AQ206" t="s">
        <v>85</v>
      </c>
      <c r="AR206" t="s">
        <v>85</v>
      </c>
      <c r="AS206" t="s">
        <v>84</v>
      </c>
      <c r="AT206" t="s">
        <v>85</v>
      </c>
      <c r="AU206" t="s">
        <v>83</v>
      </c>
      <c r="AV206" t="s">
        <v>85</v>
      </c>
      <c r="AW206" s="4">
        <v>0</v>
      </c>
      <c r="AX206" s="4">
        <v>0</v>
      </c>
      <c r="AY206" s="4">
        <v>0</v>
      </c>
      <c r="AZ206" s="3">
        <v>1.74</v>
      </c>
      <c r="BA206" s="3">
        <v>3.0276000000000001</v>
      </c>
      <c r="BB206" s="3">
        <v>23.120623596247853</v>
      </c>
      <c r="BC206" t="s">
        <v>85</v>
      </c>
      <c r="BD206" t="s">
        <v>86</v>
      </c>
      <c r="BE206" s="4">
        <v>0</v>
      </c>
      <c r="BF206" t="s">
        <v>87</v>
      </c>
      <c r="BG206" s="4">
        <v>0</v>
      </c>
      <c r="BH206" s="1" t="e">
        <v>#NULL!</v>
      </c>
      <c r="BI206" t="s">
        <v>85</v>
      </c>
      <c r="BJ206" s="4">
        <v>0</v>
      </c>
      <c r="BK206" t="s">
        <v>88</v>
      </c>
    </row>
    <row r="207" spans="1:63" x14ac:dyDescent="0.35">
      <c r="A207" s="4">
        <v>58</v>
      </c>
      <c r="B207" s="4">
        <v>37</v>
      </c>
      <c r="C207" t="s">
        <v>119</v>
      </c>
      <c r="D207" t="s">
        <v>89</v>
      </c>
      <c r="E207" t="s">
        <v>104</v>
      </c>
      <c r="F207" t="s">
        <v>115</v>
      </c>
      <c r="G207" t="s">
        <v>67</v>
      </c>
      <c r="H207" s="2">
        <v>850</v>
      </c>
      <c r="I207" t="s">
        <v>105</v>
      </c>
      <c r="J207" t="s">
        <v>69</v>
      </c>
      <c r="K207" t="s">
        <v>69</v>
      </c>
      <c r="L207" t="s">
        <v>69</v>
      </c>
      <c r="M207" s="4">
        <v>5</v>
      </c>
      <c r="N207" t="s">
        <v>72</v>
      </c>
      <c r="O207" s="4">
        <v>3</v>
      </c>
      <c r="P207" t="s">
        <v>91</v>
      </c>
      <c r="Q207" s="4">
        <v>5</v>
      </c>
      <c r="R207" t="s">
        <v>72</v>
      </c>
      <c r="S207" s="4">
        <v>1</v>
      </c>
      <c r="T207" t="s">
        <v>71</v>
      </c>
      <c r="U207" t="s">
        <v>103</v>
      </c>
      <c r="V207" t="s">
        <v>93</v>
      </c>
      <c r="W207" t="s">
        <v>93</v>
      </c>
      <c r="X207" t="s">
        <v>94</v>
      </c>
      <c r="Y207" t="s">
        <v>69</v>
      </c>
      <c r="Z207" s="4">
        <v>8</v>
      </c>
      <c r="AA207" t="s">
        <v>117</v>
      </c>
      <c r="AB207" s="4">
        <v>149</v>
      </c>
      <c r="AC207" s="4">
        <v>84</v>
      </c>
      <c r="AD207" s="4">
        <v>69</v>
      </c>
      <c r="AE207" s="4">
        <v>166</v>
      </c>
      <c r="AF207" s="4">
        <v>79</v>
      </c>
      <c r="AG207" s="4">
        <v>109</v>
      </c>
      <c r="AH207" s="4">
        <v>100</v>
      </c>
      <c r="AI207" s="4">
        <v>97</v>
      </c>
      <c r="AJ207" s="4">
        <v>37</v>
      </c>
      <c r="AK207" t="s">
        <v>78</v>
      </c>
      <c r="AL207" t="s">
        <v>79</v>
      </c>
      <c r="AM207" t="s">
        <v>80</v>
      </c>
      <c r="AN207" t="s">
        <v>81</v>
      </c>
      <c r="AO207" t="s">
        <v>82</v>
      </c>
      <c r="AP207" t="s">
        <v>83</v>
      </c>
      <c r="AQ207" t="s">
        <v>83</v>
      </c>
      <c r="AR207" t="s">
        <v>83</v>
      </c>
      <c r="AS207" t="s">
        <v>102</v>
      </c>
      <c r="AT207" t="s">
        <v>85</v>
      </c>
      <c r="AU207" t="s">
        <v>85</v>
      </c>
      <c r="AV207" t="s">
        <v>85</v>
      </c>
      <c r="AW207" s="4">
        <v>3</v>
      </c>
      <c r="AX207" s="4">
        <v>1</v>
      </c>
      <c r="AY207" s="4">
        <v>1</v>
      </c>
      <c r="AZ207" s="3">
        <v>1.66</v>
      </c>
      <c r="BA207" s="3">
        <v>2.7555999999999998</v>
      </c>
      <c r="BB207" s="3">
        <v>25.039918710988534</v>
      </c>
      <c r="BC207" t="s">
        <v>98</v>
      </c>
      <c r="BD207" t="s">
        <v>99</v>
      </c>
      <c r="BE207" s="4">
        <v>3</v>
      </c>
      <c r="BF207" t="s">
        <v>87</v>
      </c>
      <c r="BG207" s="1" t="e">
        <v>#NULL!</v>
      </c>
      <c r="BH207" s="4">
        <v>0</v>
      </c>
      <c r="BI207" t="s">
        <v>85</v>
      </c>
      <c r="BJ207" s="4">
        <v>3</v>
      </c>
      <c r="BK207" t="s">
        <v>112</v>
      </c>
    </row>
    <row r="208" spans="1:63" x14ac:dyDescent="0.35">
      <c r="A208" s="4">
        <v>63</v>
      </c>
      <c r="B208" s="4">
        <v>37</v>
      </c>
      <c r="C208" t="s">
        <v>119</v>
      </c>
      <c r="D208" t="s">
        <v>89</v>
      </c>
      <c r="E208" t="s">
        <v>104</v>
      </c>
      <c r="F208" t="s">
        <v>101</v>
      </c>
      <c r="G208" t="s">
        <v>67</v>
      </c>
      <c r="H208" s="2">
        <v>500</v>
      </c>
      <c r="I208" t="s">
        <v>68</v>
      </c>
      <c r="J208" t="s">
        <v>69</v>
      </c>
      <c r="K208" t="s">
        <v>69</v>
      </c>
      <c r="L208" t="s">
        <v>69</v>
      </c>
      <c r="M208" s="4">
        <v>7</v>
      </c>
      <c r="N208" t="s">
        <v>72</v>
      </c>
      <c r="O208" s="4">
        <v>5</v>
      </c>
      <c r="P208" t="s">
        <v>72</v>
      </c>
      <c r="Q208" s="4">
        <v>5</v>
      </c>
      <c r="R208" t="s">
        <v>72</v>
      </c>
      <c r="S208" s="4">
        <v>2</v>
      </c>
      <c r="T208" t="s">
        <v>71</v>
      </c>
      <c r="U208" t="s">
        <v>73</v>
      </c>
      <c r="V208" t="s">
        <v>93</v>
      </c>
      <c r="W208" t="s">
        <v>93</v>
      </c>
      <c r="X208" t="s">
        <v>94</v>
      </c>
      <c r="Y208" t="s">
        <v>69</v>
      </c>
      <c r="Z208" s="4">
        <v>4</v>
      </c>
      <c r="AA208" t="s">
        <v>77</v>
      </c>
      <c r="AB208" s="4">
        <v>125</v>
      </c>
      <c r="AC208" s="4">
        <v>80</v>
      </c>
      <c r="AD208" s="4">
        <v>76</v>
      </c>
      <c r="AE208" s="4">
        <v>176</v>
      </c>
      <c r="AF208" s="4">
        <v>86</v>
      </c>
      <c r="AG208" s="4">
        <v>109</v>
      </c>
      <c r="AH208" s="4">
        <v>99</v>
      </c>
      <c r="AI208" s="4">
        <v>99</v>
      </c>
      <c r="AJ208" s="4">
        <v>42</v>
      </c>
      <c r="AK208" t="s">
        <v>78</v>
      </c>
      <c r="AL208" t="s">
        <v>95</v>
      </c>
      <c r="AM208" t="s">
        <v>80</v>
      </c>
      <c r="AN208" t="s">
        <v>96</v>
      </c>
      <c r="AO208" t="s">
        <v>97</v>
      </c>
      <c r="AP208" t="s">
        <v>83</v>
      </c>
      <c r="AQ208" t="s">
        <v>85</v>
      </c>
      <c r="AR208" t="s">
        <v>83</v>
      </c>
      <c r="AS208" t="s">
        <v>84</v>
      </c>
      <c r="AT208" t="s">
        <v>85</v>
      </c>
      <c r="AU208" t="s">
        <v>83</v>
      </c>
      <c r="AV208" t="s">
        <v>83</v>
      </c>
      <c r="AW208" s="4">
        <v>1</v>
      </c>
      <c r="AX208" s="4">
        <v>0</v>
      </c>
      <c r="AY208" s="4">
        <v>1</v>
      </c>
      <c r="AZ208" s="3">
        <v>1.76</v>
      </c>
      <c r="BA208" s="3">
        <v>3.0975999999999999</v>
      </c>
      <c r="BB208" s="3">
        <v>24.535123966942148</v>
      </c>
      <c r="BC208" t="s">
        <v>85</v>
      </c>
      <c r="BD208" t="s">
        <v>86</v>
      </c>
      <c r="BE208" s="4">
        <v>2</v>
      </c>
      <c r="BF208" t="s">
        <v>87</v>
      </c>
      <c r="BG208" s="1" t="e">
        <v>#NULL!</v>
      </c>
      <c r="BH208" s="4">
        <v>0</v>
      </c>
      <c r="BI208" t="s">
        <v>85</v>
      </c>
      <c r="BJ208" s="4">
        <v>1</v>
      </c>
      <c r="BK208" t="s">
        <v>88</v>
      </c>
    </row>
    <row r="209" spans="1:63" x14ac:dyDescent="0.35">
      <c r="A209" s="4">
        <v>84</v>
      </c>
      <c r="B209" s="4">
        <v>37</v>
      </c>
      <c r="C209" t="s">
        <v>119</v>
      </c>
      <c r="D209" t="s">
        <v>89</v>
      </c>
      <c r="E209" t="s">
        <v>104</v>
      </c>
      <c r="F209" t="s">
        <v>90</v>
      </c>
      <c r="G209" t="s">
        <v>67</v>
      </c>
      <c r="H209" s="2">
        <v>450</v>
      </c>
      <c r="I209" t="s">
        <v>68</v>
      </c>
      <c r="J209" t="s">
        <v>69</v>
      </c>
      <c r="K209" t="s">
        <v>69</v>
      </c>
      <c r="L209" t="s">
        <v>69</v>
      </c>
      <c r="M209" s="4">
        <v>3</v>
      </c>
      <c r="N209" t="s">
        <v>91</v>
      </c>
      <c r="O209" s="4">
        <v>4</v>
      </c>
      <c r="P209" t="s">
        <v>91</v>
      </c>
      <c r="Q209" s="4">
        <v>4</v>
      </c>
      <c r="R209" t="s">
        <v>91</v>
      </c>
      <c r="S209" s="4">
        <v>1</v>
      </c>
      <c r="T209" t="s">
        <v>71</v>
      </c>
      <c r="U209" t="s">
        <v>92</v>
      </c>
      <c r="V209" t="s">
        <v>93</v>
      </c>
      <c r="W209" t="s">
        <v>93</v>
      </c>
      <c r="X209" t="s">
        <v>94</v>
      </c>
      <c r="Y209" t="s">
        <v>69</v>
      </c>
      <c r="Z209" s="4">
        <v>1</v>
      </c>
      <c r="AA209" t="s">
        <v>77</v>
      </c>
      <c r="AB209" s="4">
        <v>146</v>
      </c>
      <c r="AC209" s="4">
        <v>75</v>
      </c>
      <c r="AD209" s="4">
        <v>88</v>
      </c>
      <c r="AE209" s="4">
        <v>170</v>
      </c>
      <c r="AF209" s="4">
        <v>100</v>
      </c>
      <c r="AG209" s="4">
        <v>117</v>
      </c>
      <c r="AH209" s="4">
        <v>95</v>
      </c>
      <c r="AI209" s="4">
        <v>56</v>
      </c>
      <c r="AJ209" s="4">
        <v>38</v>
      </c>
      <c r="AK209" t="s">
        <v>78</v>
      </c>
      <c r="AL209" t="s">
        <v>79</v>
      </c>
      <c r="AM209" t="s">
        <v>80</v>
      </c>
      <c r="AN209" t="s">
        <v>81</v>
      </c>
      <c r="AO209" t="s">
        <v>82</v>
      </c>
      <c r="AP209" t="s">
        <v>83</v>
      </c>
      <c r="AQ209" t="s">
        <v>83</v>
      </c>
      <c r="AR209" t="s">
        <v>83</v>
      </c>
      <c r="AS209" t="s">
        <v>84</v>
      </c>
      <c r="AT209" t="s">
        <v>83</v>
      </c>
      <c r="AU209" t="s">
        <v>83</v>
      </c>
      <c r="AV209" t="s">
        <v>83</v>
      </c>
      <c r="AW209" s="4">
        <v>2</v>
      </c>
      <c r="AX209" s="4">
        <v>1</v>
      </c>
      <c r="AY209" s="4">
        <v>2</v>
      </c>
      <c r="AZ209" s="3">
        <v>1.7</v>
      </c>
      <c r="BA209" s="3">
        <v>2.8899999999999997</v>
      </c>
      <c r="BB209" s="3">
        <v>30.449826989619382</v>
      </c>
      <c r="BC209" t="s">
        <v>110</v>
      </c>
      <c r="BD209" t="s">
        <v>99</v>
      </c>
      <c r="BE209" s="4">
        <v>3</v>
      </c>
      <c r="BF209" t="s">
        <v>111</v>
      </c>
      <c r="BG209" s="1" t="e">
        <v>#NULL!</v>
      </c>
      <c r="BH209" s="4">
        <v>1</v>
      </c>
      <c r="BI209" t="s">
        <v>83</v>
      </c>
      <c r="BJ209" s="4">
        <v>3</v>
      </c>
      <c r="BK209" t="s">
        <v>112</v>
      </c>
    </row>
    <row r="210" spans="1:63" x14ac:dyDescent="0.35">
      <c r="A210" s="4">
        <v>88</v>
      </c>
      <c r="B210" s="4">
        <v>37</v>
      </c>
      <c r="C210" t="s">
        <v>119</v>
      </c>
      <c r="D210" t="s">
        <v>89</v>
      </c>
      <c r="E210" t="s">
        <v>104</v>
      </c>
      <c r="F210" t="s">
        <v>90</v>
      </c>
      <c r="G210" t="s">
        <v>67</v>
      </c>
      <c r="H210" s="2">
        <v>600</v>
      </c>
      <c r="I210" t="s">
        <v>105</v>
      </c>
      <c r="J210" t="s">
        <v>69</v>
      </c>
      <c r="K210" t="s">
        <v>69</v>
      </c>
      <c r="L210" t="s">
        <v>69</v>
      </c>
      <c r="M210" s="4">
        <v>3</v>
      </c>
      <c r="N210" t="s">
        <v>91</v>
      </c>
      <c r="O210" s="4">
        <v>3</v>
      </c>
      <c r="P210" t="s">
        <v>91</v>
      </c>
      <c r="Q210" s="4">
        <v>4</v>
      </c>
      <c r="R210" t="s">
        <v>91</v>
      </c>
      <c r="S210" s="4">
        <v>4</v>
      </c>
      <c r="T210" t="s">
        <v>91</v>
      </c>
      <c r="U210" t="s">
        <v>73</v>
      </c>
      <c r="V210" t="s">
        <v>93</v>
      </c>
      <c r="W210" t="s">
        <v>74</v>
      </c>
      <c r="X210" t="s">
        <v>76</v>
      </c>
      <c r="Y210" t="s">
        <v>69</v>
      </c>
      <c r="Z210" s="4">
        <v>4</v>
      </c>
      <c r="AA210" t="s">
        <v>77</v>
      </c>
      <c r="AB210" s="4">
        <v>118</v>
      </c>
      <c r="AC210" s="4">
        <v>70</v>
      </c>
      <c r="AD210" s="4">
        <v>108</v>
      </c>
      <c r="AE210" s="4">
        <v>175</v>
      </c>
      <c r="AF210" s="4">
        <v>110</v>
      </c>
      <c r="AG210" s="4">
        <v>128</v>
      </c>
      <c r="AH210" s="4">
        <v>91</v>
      </c>
      <c r="AI210" s="4">
        <v>67</v>
      </c>
      <c r="AJ210" s="4">
        <v>44</v>
      </c>
      <c r="AK210" t="s">
        <v>78</v>
      </c>
      <c r="AL210" t="s">
        <v>95</v>
      </c>
      <c r="AM210" t="s">
        <v>80</v>
      </c>
      <c r="AN210" t="s">
        <v>96</v>
      </c>
      <c r="AO210" t="s">
        <v>97</v>
      </c>
      <c r="AP210" t="s">
        <v>83</v>
      </c>
      <c r="AQ210" t="s">
        <v>85</v>
      </c>
      <c r="AR210" t="s">
        <v>83</v>
      </c>
      <c r="AS210" t="s">
        <v>84</v>
      </c>
      <c r="AT210" t="s">
        <v>83</v>
      </c>
      <c r="AU210" t="s">
        <v>83</v>
      </c>
      <c r="AV210" t="s">
        <v>83</v>
      </c>
      <c r="AW210" s="4">
        <v>1</v>
      </c>
      <c r="AX210" s="4">
        <v>0</v>
      </c>
      <c r="AY210" s="4">
        <v>1</v>
      </c>
      <c r="AZ210" s="3">
        <v>1.75</v>
      </c>
      <c r="BA210" s="3">
        <v>3.0625</v>
      </c>
      <c r="BB210" s="3">
        <v>35.265306122448976</v>
      </c>
      <c r="BC210" t="s">
        <v>110</v>
      </c>
      <c r="BD210" t="s">
        <v>99</v>
      </c>
      <c r="BE210" s="4">
        <v>2</v>
      </c>
      <c r="BF210" t="s">
        <v>87</v>
      </c>
      <c r="BG210" s="1" t="e">
        <v>#NULL!</v>
      </c>
      <c r="BH210" s="4">
        <v>1</v>
      </c>
      <c r="BI210" t="s">
        <v>83</v>
      </c>
      <c r="BJ210" s="4">
        <v>2</v>
      </c>
      <c r="BK210" t="s">
        <v>88</v>
      </c>
    </row>
    <row r="211" spans="1:63" x14ac:dyDescent="0.35">
      <c r="A211" s="4">
        <v>102</v>
      </c>
      <c r="B211" s="4">
        <v>37</v>
      </c>
      <c r="C211" t="s">
        <v>119</v>
      </c>
      <c r="D211" t="s">
        <v>89</v>
      </c>
      <c r="E211" t="s">
        <v>104</v>
      </c>
      <c r="F211" t="s">
        <v>66</v>
      </c>
      <c r="G211" t="s">
        <v>67</v>
      </c>
      <c r="H211" s="2">
        <v>450</v>
      </c>
      <c r="I211" t="s">
        <v>68</v>
      </c>
      <c r="J211" t="s">
        <v>69</v>
      </c>
      <c r="K211" t="s">
        <v>69</v>
      </c>
      <c r="L211" t="s">
        <v>69</v>
      </c>
      <c r="M211" s="4">
        <v>3</v>
      </c>
      <c r="N211" t="s">
        <v>91</v>
      </c>
      <c r="O211" s="4">
        <v>4</v>
      </c>
      <c r="P211" t="s">
        <v>91</v>
      </c>
      <c r="Q211" s="4">
        <v>3</v>
      </c>
      <c r="R211" t="s">
        <v>91</v>
      </c>
      <c r="S211" s="4">
        <v>3</v>
      </c>
      <c r="T211" t="s">
        <v>91</v>
      </c>
      <c r="U211" t="s">
        <v>92</v>
      </c>
      <c r="V211" t="s">
        <v>93</v>
      </c>
      <c r="W211" t="s">
        <v>93</v>
      </c>
      <c r="X211" t="s">
        <v>94</v>
      </c>
      <c r="Y211" t="s">
        <v>69</v>
      </c>
      <c r="Z211" s="4">
        <v>8</v>
      </c>
      <c r="AA211" t="s">
        <v>117</v>
      </c>
      <c r="AB211" s="4">
        <v>110</v>
      </c>
      <c r="AC211" s="4">
        <v>62</v>
      </c>
      <c r="AD211" s="4">
        <v>83</v>
      </c>
      <c r="AE211" s="4">
        <v>173</v>
      </c>
      <c r="AF211" s="4">
        <v>97</v>
      </c>
      <c r="AG211" s="4">
        <v>115</v>
      </c>
      <c r="AH211" s="4">
        <v>111</v>
      </c>
      <c r="AI211" s="4">
        <v>119</v>
      </c>
      <c r="AJ211" s="4">
        <v>51</v>
      </c>
      <c r="AK211" t="s">
        <v>78</v>
      </c>
      <c r="AL211" t="s">
        <v>95</v>
      </c>
      <c r="AM211" t="s">
        <v>80</v>
      </c>
      <c r="AN211" t="s">
        <v>96</v>
      </c>
      <c r="AO211" t="s">
        <v>97</v>
      </c>
      <c r="AP211" t="s">
        <v>85</v>
      </c>
      <c r="AQ211" t="s">
        <v>85</v>
      </c>
      <c r="AR211" t="s">
        <v>85</v>
      </c>
      <c r="AS211" t="s">
        <v>102</v>
      </c>
      <c r="AT211" t="s">
        <v>83</v>
      </c>
      <c r="AU211" t="s">
        <v>83</v>
      </c>
      <c r="AV211" t="s">
        <v>83</v>
      </c>
      <c r="AW211" s="4">
        <v>1</v>
      </c>
      <c r="AX211" s="4">
        <v>0</v>
      </c>
      <c r="AY211" s="4">
        <v>1</v>
      </c>
      <c r="AZ211" s="3">
        <v>1.73</v>
      </c>
      <c r="BA211" s="3">
        <v>2.9929000000000001</v>
      </c>
      <c r="BB211" s="3">
        <v>27.732299776136855</v>
      </c>
      <c r="BC211" t="s">
        <v>98</v>
      </c>
      <c r="BD211" t="s">
        <v>99</v>
      </c>
      <c r="BE211" s="4">
        <v>2</v>
      </c>
      <c r="BF211" t="s">
        <v>87</v>
      </c>
      <c r="BG211" s="1" t="e">
        <v>#NULL!</v>
      </c>
      <c r="BH211" s="4">
        <v>1</v>
      </c>
      <c r="BI211" t="s">
        <v>83</v>
      </c>
      <c r="BJ211" s="4">
        <v>2</v>
      </c>
      <c r="BK211" t="s">
        <v>88</v>
      </c>
    </row>
    <row r="212" spans="1:63" x14ac:dyDescent="0.35">
      <c r="A212" s="4">
        <v>108</v>
      </c>
      <c r="B212" s="4">
        <v>37</v>
      </c>
      <c r="C212" t="s">
        <v>119</v>
      </c>
      <c r="D212" t="s">
        <v>89</v>
      </c>
      <c r="E212" t="s">
        <v>104</v>
      </c>
      <c r="F212" t="s">
        <v>115</v>
      </c>
      <c r="G212" t="s">
        <v>67</v>
      </c>
      <c r="H212" s="2">
        <v>800</v>
      </c>
      <c r="I212" t="s">
        <v>105</v>
      </c>
      <c r="J212" t="s">
        <v>69</v>
      </c>
      <c r="K212" t="s">
        <v>69</v>
      </c>
      <c r="L212" t="s">
        <v>69</v>
      </c>
      <c r="M212" s="4">
        <v>7</v>
      </c>
      <c r="N212" t="s">
        <v>72</v>
      </c>
      <c r="O212" s="4">
        <v>6</v>
      </c>
      <c r="P212" t="s">
        <v>72</v>
      </c>
      <c r="Q212" s="4">
        <v>7</v>
      </c>
      <c r="R212" t="s">
        <v>72</v>
      </c>
      <c r="S212" s="4">
        <v>5</v>
      </c>
      <c r="T212" t="s">
        <v>72</v>
      </c>
      <c r="U212" t="s">
        <v>92</v>
      </c>
      <c r="V212" t="s">
        <v>93</v>
      </c>
      <c r="W212" t="s">
        <v>93</v>
      </c>
      <c r="X212" t="s">
        <v>94</v>
      </c>
      <c r="Y212" t="s">
        <v>69</v>
      </c>
      <c r="Z212" s="4">
        <v>4</v>
      </c>
      <c r="AA212" t="s">
        <v>77</v>
      </c>
      <c r="AB212" s="4">
        <v>123</v>
      </c>
      <c r="AC212" s="4">
        <v>87</v>
      </c>
      <c r="AD212" s="4">
        <v>82</v>
      </c>
      <c r="AE212" s="4">
        <v>173</v>
      </c>
      <c r="AF212" s="4">
        <v>104</v>
      </c>
      <c r="AG212" s="4">
        <v>120</v>
      </c>
      <c r="AH212" s="4">
        <v>125</v>
      </c>
      <c r="AI212" s="4">
        <v>108</v>
      </c>
      <c r="AJ212" s="4">
        <v>42</v>
      </c>
      <c r="AK212" t="s">
        <v>78</v>
      </c>
      <c r="AL212" t="s">
        <v>95</v>
      </c>
      <c r="AM212" t="s">
        <v>108</v>
      </c>
      <c r="AN212" t="s">
        <v>81</v>
      </c>
      <c r="AO212" t="s">
        <v>82</v>
      </c>
      <c r="AP212" t="s">
        <v>83</v>
      </c>
      <c r="AQ212" t="s">
        <v>85</v>
      </c>
      <c r="AR212" t="s">
        <v>83</v>
      </c>
      <c r="AS212" t="s">
        <v>102</v>
      </c>
      <c r="AT212" t="s">
        <v>83</v>
      </c>
      <c r="AU212" t="s">
        <v>83</v>
      </c>
      <c r="AV212" t="s">
        <v>83</v>
      </c>
      <c r="AW212" s="4">
        <v>3</v>
      </c>
      <c r="AX212" s="4">
        <v>1</v>
      </c>
      <c r="AY212" s="4">
        <v>2</v>
      </c>
      <c r="AZ212" s="3">
        <v>1.73</v>
      </c>
      <c r="BA212" s="3">
        <v>2.9929000000000001</v>
      </c>
      <c r="BB212" s="3">
        <v>27.398175682448461</v>
      </c>
      <c r="BC212" t="s">
        <v>98</v>
      </c>
      <c r="BD212" t="s">
        <v>99</v>
      </c>
      <c r="BE212" s="4">
        <v>4</v>
      </c>
      <c r="BF212" t="s">
        <v>111</v>
      </c>
      <c r="BG212" s="1" t="e">
        <v>#NULL!</v>
      </c>
      <c r="BH212" s="4">
        <v>1</v>
      </c>
      <c r="BI212" t="s">
        <v>83</v>
      </c>
      <c r="BJ212" s="4">
        <v>4</v>
      </c>
      <c r="BK212" t="s">
        <v>112</v>
      </c>
    </row>
    <row r="213" spans="1:63" x14ac:dyDescent="0.35">
      <c r="A213" s="4">
        <v>120</v>
      </c>
      <c r="B213" s="4">
        <v>37</v>
      </c>
      <c r="C213" t="s">
        <v>119</v>
      </c>
      <c r="D213" t="s">
        <v>89</v>
      </c>
      <c r="E213" t="s">
        <v>104</v>
      </c>
      <c r="F213" t="s">
        <v>90</v>
      </c>
      <c r="G213" t="s">
        <v>67</v>
      </c>
      <c r="H213" s="2">
        <v>250</v>
      </c>
      <c r="I213" t="s">
        <v>68</v>
      </c>
      <c r="J213" t="s">
        <v>69</v>
      </c>
      <c r="K213" t="s">
        <v>69</v>
      </c>
      <c r="L213" t="s">
        <v>69</v>
      </c>
      <c r="M213" s="4">
        <v>2</v>
      </c>
      <c r="N213" t="s">
        <v>71</v>
      </c>
      <c r="O213" s="4">
        <v>2</v>
      </c>
      <c r="P213" t="s">
        <v>71</v>
      </c>
      <c r="Q213" s="4">
        <v>2</v>
      </c>
      <c r="R213" t="s">
        <v>71</v>
      </c>
      <c r="S213" s="4">
        <v>3</v>
      </c>
      <c r="T213" t="s">
        <v>91</v>
      </c>
      <c r="U213" t="s">
        <v>103</v>
      </c>
      <c r="V213" t="s">
        <v>93</v>
      </c>
      <c r="W213" t="s">
        <v>93</v>
      </c>
      <c r="X213" t="s">
        <v>94</v>
      </c>
      <c r="Y213" t="s">
        <v>69</v>
      </c>
      <c r="Z213" s="4">
        <v>3</v>
      </c>
      <c r="AA213" t="s">
        <v>77</v>
      </c>
      <c r="AB213" s="4">
        <v>178</v>
      </c>
      <c r="AC213" s="4">
        <v>93</v>
      </c>
      <c r="AD213" s="4">
        <v>56</v>
      </c>
      <c r="AE213" s="4">
        <v>161</v>
      </c>
      <c r="AF213" s="4">
        <v>95</v>
      </c>
      <c r="AG213" s="4">
        <v>91</v>
      </c>
      <c r="AH213" s="4">
        <v>319</v>
      </c>
      <c r="AI213" s="4">
        <v>82</v>
      </c>
      <c r="AJ213" s="4">
        <v>51</v>
      </c>
      <c r="AK213" t="s">
        <v>78</v>
      </c>
      <c r="AL213" t="s">
        <v>79</v>
      </c>
      <c r="AM213" t="s">
        <v>108</v>
      </c>
      <c r="AN213" t="s">
        <v>109</v>
      </c>
      <c r="AO213" t="s">
        <v>82</v>
      </c>
      <c r="AP213" t="s">
        <v>85</v>
      </c>
      <c r="AQ213" t="s">
        <v>85</v>
      </c>
      <c r="AR213" t="s">
        <v>85</v>
      </c>
      <c r="AS213" t="s">
        <v>102</v>
      </c>
      <c r="AT213" t="s">
        <v>83</v>
      </c>
      <c r="AU213" t="s">
        <v>83</v>
      </c>
      <c r="AV213" t="s">
        <v>83</v>
      </c>
      <c r="AW213" s="4">
        <v>2</v>
      </c>
      <c r="AX213" s="4">
        <v>1</v>
      </c>
      <c r="AY213" s="4">
        <v>2</v>
      </c>
      <c r="AZ213" s="3">
        <v>1.61</v>
      </c>
      <c r="BA213" s="3">
        <v>2.5921000000000003</v>
      </c>
      <c r="BB213" s="3">
        <v>21.60410477990818</v>
      </c>
      <c r="BC213" t="s">
        <v>85</v>
      </c>
      <c r="BD213" t="s">
        <v>86</v>
      </c>
      <c r="BE213" s="4">
        <v>3</v>
      </c>
      <c r="BF213" t="s">
        <v>111</v>
      </c>
      <c r="BG213" s="1" t="e">
        <v>#NULL!</v>
      </c>
      <c r="BH213" s="4">
        <v>1</v>
      </c>
      <c r="BI213" t="s">
        <v>83</v>
      </c>
      <c r="BJ213" s="4">
        <v>3</v>
      </c>
      <c r="BK213" t="s">
        <v>112</v>
      </c>
    </row>
    <row r="214" spans="1:63" x14ac:dyDescent="0.35">
      <c r="A214" s="4">
        <v>147</v>
      </c>
      <c r="B214" s="4">
        <v>37</v>
      </c>
      <c r="C214" t="s">
        <v>119</v>
      </c>
      <c r="D214" t="s">
        <v>89</v>
      </c>
      <c r="E214" t="s">
        <v>104</v>
      </c>
      <c r="F214" t="s">
        <v>66</v>
      </c>
      <c r="G214" t="s">
        <v>67</v>
      </c>
      <c r="H214" s="2">
        <v>400</v>
      </c>
      <c r="I214" t="s">
        <v>68</v>
      </c>
      <c r="J214" t="s">
        <v>69</v>
      </c>
      <c r="K214" t="s">
        <v>69</v>
      </c>
      <c r="L214" t="s">
        <v>69</v>
      </c>
      <c r="M214" s="4">
        <v>1</v>
      </c>
      <c r="N214" t="s">
        <v>71</v>
      </c>
      <c r="O214" s="4">
        <v>2</v>
      </c>
      <c r="P214" t="s">
        <v>71</v>
      </c>
      <c r="Q214" s="4">
        <v>1</v>
      </c>
      <c r="R214" t="s">
        <v>71</v>
      </c>
      <c r="S214" s="4">
        <v>1</v>
      </c>
      <c r="T214" t="s">
        <v>71</v>
      </c>
      <c r="U214" t="s">
        <v>92</v>
      </c>
      <c r="V214" t="s">
        <v>93</v>
      </c>
      <c r="W214" t="s">
        <v>93</v>
      </c>
      <c r="X214" t="s">
        <v>94</v>
      </c>
      <c r="Y214" t="s">
        <v>69</v>
      </c>
      <c r="Z214" s="4">
        <v>2</v>
      </c>
      <c r="AA214" t="s">
        <v>77</v>
      </c>
      <c r="AB214" s="4">
        <v>173</v>
      </c>
      <c r="AC214" s="4">
        <v>98</v>
      </c>
      <c r="AD214" s="4">
        <v>36</v>
      </c>
      <c r="AE214" s="4">
        <v>162</v>
      </c>
      <c r="AF214" s="4">
        <v>62</v>
      </c>
      <c r="AG214" s="4">
        <v>83</v>
      </c>
      <c r="AH214" s="4">
        <v>95</v>
      </c>
      <c r="AI214" s="4">
        <v>55</v>
      </c>
      <c r="AJ214" s="4">
        <v>64</v>
      </c>
      <c r="AK214" t="s">
        <v>78</v>
      </c>
      <c r="AL214" t="s">
        <v>79</v>
      </c>
      <c r="AM214" t="s">
        <v>108</v>
      </c>
      <c r="AN214" t="s">
        <v>109</v>
      </c>
      <c r="AO214" t="s">
        <v>82</v>
      </c>
      <c r="AP214" t="s">
        <v>85</v>
      </c>
      <c r="AQ214" t="s">
        <v>85</v>
      </c>
      <c r="AR214" t="s">
        <v>85</v>
      </c>
      <c r="AS214" t="s">
        <v>84</v>
      </c>
      <c r="AT214" t="s">
        <v>85</v>
      </c>
      <c r="AU214" t="s">
        <v>85</v>
      </c>
      <c r="AV214" t="s">
        <v>85</v>
      </c>
      <c r="AW214" s="4">
        <v>1</v>
      </c>
      <c r="AX214" s="4">
        <v>0</v>
      </c>
      <c r="AY214" s="4">
        <v>0</v>
      </c>
      <c r="AZ214" s="3">
        <v>1.62</v>
      </c>
      <c r="BA214" s="3">
        <v>2.6244000000000005</v>
      </c>
      <c r="BB214" s="3">
        <v>13.71742112482853</v>
      </c>
      <c r="BC214" t="s">
        <v>100</v>
      </c>
      <c r="BD214" t="s">
        <v>86</v>
      </c>
      <c r="BE214" s="4">
        <v>1</v>
      </c>
      <c r="BF214" t="s">
        <v>87</v>
      </c>
      <c r="BG214" s="1" t="e">
        <v>#NULL!</v>
      </c>
      <c r="BH214" s="4">
        <v>0</v>
      </c>
      <c r="BI214" t="s">
        <v>85</v>
      </c>
      <c r="BJ214" s="4">
        <v>1</v>
      </c>
      <c r="BK214" t="s">
        <v>88</v>
      </c>
    </row>
    <row r="215" spans="1:63" x14ac:dyDescent="0.35">
      <c r="A215" s="4">
        <v>157</v>
      </c>
      <c r="B215" s="4">
        <v>37</v>
      </c>
      <c r="C215" t="s">
        <v>119</v>
      </c>
      <c r="D215" t="s">
        <v>89</v>
      </c>
      <c r="E215" t="s">
        <v>104</v>
      </c>
      <c r="F215" t="s">
        <v>115</v>
      </c>
      <c r="G215" t="s">
        <v>67</v>
      </c>
      <c r="H215" s="2">
        <v>130</v>
      </c>
      <c r="I215" t="s">
        <v>68</v>
      </c>
      <c r="J215" t="s">
        <v>69</v>
      </c>
      <c r="K215" t="s">
        <v>69</v>
      </c>
      <c r="L215" t="s">
        <v>69</v>
      </c>
      <c r="M215" s="4">
        <v>1</v>
      </c>
      <c r="N215" t="s">
        <v>71</v>
      </c>
      <c r="O215" s="4">
        <v>2</v>
      </c>
      <c r="P215" t="s">
        <v>71</v>
      </c>
      <c r="Q215" s="4">
        <v>1</v>
      </c>
      <c r="R215" t="s">
        <v>71</v>
      </c>
      <c r="S215" s="4">
        <v>1</v>
      </c>
      <c r="T215" t="s">
        <v>71</v>
      </c>
      <c r="U215" t="s">
        <v>92</v>
      </c>
      <c r="V215" t="s">
        <v>93</v>
      </c>
      <c r="W215" t="s">
        <v>93</v>
      </c>
      <c r="X215" t="s">
        <v>94</v>
      </c>
      <c r="Y215" t="s">
        <v>69</v>
      </c>
      <c r="Z215" s="4">
        <v>6</v>
      </c>
      <c r="AA215" t="s">
        <v>77</v>
      </c>
      <c r="AB215" s="4">
        <v>127</v>
      </c>
      <c r="AC215" s="4">
        <v>97</v>
      </c>
      <c r="AD215" s="4">
        <v>78</v>
      </c>
      <c r="AE215" s="4">
        <v>176</v>
      </c>
      <c r="AF215" s="4">
        <v>113</v>
      </c>
      <c r="AG215" s="4">
        <v>111</v>
      </c>
      <c r="AH215" s="4">
        <v>93</v>
      </c>
      <c r="AI215" s="4">
        <v>146</v>
      </c>
      <c r="AJ215" s="4">
        <v>52</v>
      </c>
      <c r="AK215" t="s">
        <v>78</v>
      </c>
      <c r="AL215" t="s">
        <v>95</v>
      </c>
      <c r="AM215" t="s">
        <v>108</v>
      </c>
      <c r="AN215" t="s">
        <v>81</v>
      </c>
      <c r="AO215" t="s">
        <v>82</v>
      </c>
      <c r="AP215" t="s">
        <v>85</v>
      </c>
      <c r="AQ215" t="s">
        <v>85</v>
      </c>
      <c r="AR215" t="s">
        <v>85</v>
      </c>
      <c r="AS215" t="s">
        <v>84</v>
      </c>
      <c r="AT215" t="s">
        <v>83</v>
      </c>
      <c r="AU215" t="s">
        <v>83</v>
      </c>
      <c r="AV215" t="s">
        <v>83</v>
      </c>
      <c r="AW215" s="4">
        <v>1</v>
      </c>
      <c r="AX215" s="4">
        <v>0</v>
      </c>
      <c r="AY215" s="4">
        <v>1</v>
      </c>
      <c r="AZ215" s="3">
        <v>1.76</v>
      </c>
      <c r="BA215" s="3">
        <v>3.0975999999999999</v>
      </c>
      <c r="BB215" s="3">
        <v>25.180785123966942</v>
      </c>
      <c r="BC215" t="s">
        <v>98</v>
      </c>
      <c r="BD215" t="s">
        <v>99</v>
      </c>
      <c r="BE215" s="4">
        <v>2</v>
      </c>
      <c r="BF215" t="s">
        <v>87</v>
      </c>
      <c r="BG215" s="1" t="e">
        <v>#NULL!</v>
      </c>
      <c r="BH215" s="4">
        <v>1</v>
      </c>
      <c r="BI215" t="s">
        <v>83</v>
      </c>
      <c r="BJ215" s="4">
        <v>2</v>
      </c>
      <c r="BK215" t="s">
        <v>88</v>
      </c>
    </row>
    <row r="216" spans="1:63" x14ac:dyDescent="0.35">
      <c r="A216" s="4">
        <v>209</v>
      </c>
      <c r="B216" s="4">
        <v>37</v>
      </c>
      <c r="C216" t="s">
        <v>119</v>
      </c>
      <c r="D216" t="s">
        <v>64</v>
      </c>
      <c r="E216" t="s">
        <v>104</v>
      </c>
      <c r="F216" t="s">
        <v>90</v>
      </c>
      <c r="G216" t="s">
        <v>67</v>
      </c>
      <c r="H216" s="2">
        <v>600</v>
      </c>
      <c r="I216" t="s">
        <v>105</v>
      </c>
      <c r="J216" t="s">
        <v>69</v>
      </c>
      <c r="K216" t="s">
        <v>69</v>
      </c>
      <c r="L216" t="s">
        <v>69</v>
      </c>
      <c r="M216" s="4">
        <v>4</v>
      </c>
      <c r="N216" t="s">
        <v>91</v>
      </c>
      <c r="O216" s="4">
        <v>5</v>
      </c>
      <c r="P216" t="s">
        <v>72</v>
      </c>
      <c r="Q216" s="4">
        <v>4</v>
      </c>
      <c r="R216" t="s">
        <v>91</v>
      </c>
      <c r="S216" s="4">
        <v>5</v>
      </c>
      <c r="T216" t="s">
        <v>72</v>
      </c>
      <c r="U216" t="s">
        <v>92</v>
      </c>
      <c r="V216" t="s">
        <v>93</v>
      </c>
      <c r="W216" t="s">
        <v>93</v>
      </c>
      <c r="X216" t="s">
        <v>94</v>
      </c>
      <c r="Y216" t="s">
        <v>69</v>
      </c>
      <c r="Z216" s="4">
        <v>2</v>
      </c>
      <c r="AA216" t="s">
        <v>77</v>
      </c>
      <c r="AB216" s="4">
        <v>99</v>
      </c>
      <c r="AC216" s="4">
        <v>67</v>
      </c>
      <c r="AD216" s="4">
        <v>72</v>
      </c>
      <c r="AE216" s="4">
        <v>168</v>
      </c>
      <c r="AF216" s="4">
        <v>78</v>
      </c>
      <c r="AG216" s="4">
        <v>92</v>
      </c>
      <c r="AH216" s="4">
        <v>89</v>
      </c>
      <c r="AI216" s="4">
        <v>143</v>
      </c>
      <c r="AJ216" s="4">
        <v>38</v>
      </c>
      <c r="AK216" t="s">
        <v>78</v>
      </c>
      <c r="AL216" t="s">
        <v>95</v>
      </c>
      <c r="AM216" t="s">
        <v>80</v>
      </c>
      <c r="AN216" t="s">
        <v>96</v>
      </c>
      <c r="AO216" t="s">
        <v>97</v>
      </c>
      <c r="AP216" t="s">
        <v>83</v>
      </c>
      <c r="AQ216" t="s">
        <v>83</v>
      </c>
      <c r="AR216" t="s">
        <v>83</v>
      </c>
      <c r="AS216" t="s">
        <v>84</v>
      </c>
      <c r="AT216" t="s">
        <v>85</v>
      </c>
      <c r="AU216" t="s">
        <v>85</v>
      </c>
      <c r="AV216" t="s">
        <v>85</v>
      </c>
      <c r="AW216" s="4">
        <v>1</v>
      </c>
      <c r="AX216" s="4">
        <v>0</v>
      </c>
      <c r="AY216" s="4">
        <v>0</v>
      </c>
      <c r="AZ216" s="3">
        <v>1.68</v>
      </c>
      <c r="BA216" s="3">
        <v>2.8223999999999996</v>
      </c>
      <c r="BB216" s="3">
        <v>25.510204081632658</v>
      </c>
      <c r="BC216" t="s">
        <v>98</v>
      </c>
      <c r="BD216" t="s">
        <v>99</v>
      </c>
      <c r="BE216" s="4">
        <v>1</v>
      </c>
      <c r="BF216" t="s">
        <v>87</v>
      </c>
      <c r="BG216" s="4">
        <v>0</v>
      </c>
      <c r="BH216" s="1" t="e">
        <v>#NULL!</v>
      </c>
      <c r="BI216" t="s">
        <v>85</v>
      </c>
      <c r="BJ216" s="4">
        <v>1</v>
      </c>
      <c r="BK216" t="s">
        <v>88</v>
      </c>
    </row>
    <row r="217" spans="1:63" x14ac:dyDescent="0.35">
      <c r="A217" s="4">
        <v>310</v>
      </c>
      <c r="B217" s="4">
        <v>37</v>
      </c>
      <c r="C217" t="s">
        <v>119</v>
      </c>
      <c r="D217" t="s">
        <v>89</v>
      </c>
      <c r="E217" t="s">
        <v>104</v>
      </c>
      <c r="F217" t="s">
        <v>115</v>
      </c>
      <c r="G217" t="s">
        <v>67</v>
      </c>
      <c r="H217" s="2">
        <v>300</v>
      </c>
      <c r="I217" t="s">
        <v>68</v>
      </c>
      <c r="J217" t="s">
        <v>69</v>
      </c>
      <c r="K217" t="s">
        <v>69</v>
      </c>
      <c r="L217" t="s">
        <v>69</v>
      </c>
      <c r="M217" s="4">
        <v>2</v>
      </c>
      <c r="N217" t="s">
        <v>71</v>
      </c>
      <c r="O217" s="4">
        <v>2</v>
      </c>
      <c r="P217" t="s">
        <v>71</v>
      </c>
      <c r="Q217" s="4">
        <v>2</v>
      </c>
      <c r="R217" t="s">
        <v>71</v>
      </c>
      <c r="S217" s="4">
        <v>2</v>
      </c>
      <c r="T217" t="s">
        <v>71</v>
      </c>
      <c r="U217" t="s">
        <v>103</v>
      </c>
      <c r="V217" t="s">
        <v>93</v>
      </c>
      <c r="W217" t="s">
        <v>93</v>
      </c>
      <c r="X217" t="s">
        <v>94</v>
      </c>
      <c r="Y217" t="s">
        <v>69</v>
      </c>
      <c r="Z217" s="4">
        <v>4</v>
      </c>
      <c r="AA217" t="s">
        <v>77</v>
      </c>
      <c r="AB217" s="4">
        <v>147</v>
      </c>
      <c r="AC217" s="4">
        <v>84</v>
      </c>
      <c r="AD217" s="4">
        <v>71</v>
      </c>
      <c r="AE217" s="4">
        <v>175</v>
      </c>
      <c r="AF217" s="4">
        <v>87</v>
      </c>
      <c r="AG217" s="4">
        <v>109</v>
      </c>
      <c r="AH217" s="4">
        <v>125</v>
      </c>
      <c r="AI217" s="4">
        <v>137</v>
      </c>
      <c r="AJ217" s="4">
        <v>53</v>
      </c>
      <c r="AK217" t="s">
        <v>78</v>
      </c>
      <c r="AL217" t="s">
        <v>79</v>
      </c>
      <c r="AM217" t="s">
        <v>80</v>
      </c>
      <c r="AN217" t="s">
        <v>81</v>
      </c>
      <c r="AO217" t="s">
        <v>82</v>
      </c>
      <c r="AP217" t="s">
        <v>85</v>
      </c>
      <c r="AQ217" t="s">
        <v>85</v>
      </c>
      <c r="AR217" t="s">
        <v>85</v>
      </c>
      <c r="AS217" t="s">
        <v>102</v>
      </c>
      <c r="AT217" t="s">
        <v>85</v>
      </c>
      <c r="AU217" t="s">
        <v>83</v>
      </c>
      <c r="AV217" t="s">
        <v>83</v>
      </c>
      <c r="AW217" s="4">
        <v>2</v>
      </c>
      <c r="AX217" s="4">
        <v>1</v>
      </c>
      <c r="AY217" s="4">
        <v>2</v>
      </c>
      <c r="AZ217" s="3">
        <v>1.75</v>
      </c>
      <c r="BA217" s="3">
        <v>3.0625</v>
      </c>
      <c r="BB217" s="3">
        <v>23.183673469387756</v>
      </c>
      <c r="BC217" t="s">
        <v>85</v>
      </c>
      <c r="BD217" t="s">
        <v>86</v>
      </c>
      <c r="BE217" s="4">
        <v>3</v>
      </c>
      <c r="BF217" t="s">
        <v>111</v>
      </c>
      <c r="BG217" s="1" t="e">
        <v>#NULL!</v>
      </c>
      <c r="BH217" s="4">
        <v>0</v>
      </c>
      <c r="BI217" t="s">
        <v>85</v>
      </c>
      <c r="BJ217" s="4">
        <v>2</v>
      </c>
      <c r="BK217" t="s">
        <v>88</v>
      </c>
    </row>
    <row r="218" spans="1:63" x14ac:dyDescent="0.35">
      <c r="A218" s="4">
        <v>354</v>
      </c>
      <c r="B218" s="4">
        <v>37</v>
      </c>
      <c r="C218" t="s">
        <v>119</v>
      </c>
      <c r="D218" t="s">
        <v>89</v>
      </c>
      <c r="E218" t="s">
        <v>104</v>
      </c>
      <c r="F218" t="s">
        <v>90</v>
      </c>
      <c r="G218" t="s">
        <v>67</v>
      </c>
      <c r="H218" s="2">
        <v>800</v>
      </c>
      <c r="I218" t="s">
        <v>105</v>
      </c>
      <c r="J218" t="s">
        <v>69</v>
      </c>
      <c r="K218" t="s">
        <v>69</v>
      </c>
      <c r="L218" t="s">
        <v>69</v>
      </c>
      <c r="M218" s="4">
        <v>4</v>
      </c>
      <c r="N218" t="s">
        <v>91</v>
      </c>
      <c r="O218" s="4">
        <v>2</v>
      </c>
      <c r="P218" t="s">
        <v>71</v>
      </c>
      <c r="Q218" s="4">
        <v>5</v>
      </c>
      <c r="R218" t="s">
        <v>72</v>
      </c>
      <c r="S218" s="4">
        <v>3</v>
      </c>
      <c r="T218" t="s">
        <v>91</v>
      </c>
      <c r="U218" t="s">
        <v>103</v>
      </c>
      <c r="V218" t="s">
        <v>93</v>
      </c>
      <c r="W218" t="s">
        <v>93</v>
      </c>
      <c r="X218" t="s">
        <v>94</v>
      </c>
      <c r="Y218" t="s">
        <v>69</v>
      </c>
      <c r="Z218" s="4">
        <v>2</v>
      </c>
      <c r="AA218" t="s">
        <v>77</v>
      </c>
      <c r="AB218" s="4">
        <v>110</v>
      </c>
      <c r="AC218" s="4">
        <v>75</v>
      </c>
      <c r="AD218" s="4">
        <v>118</v>
      </c>
      <c r="AE218" s="4">
        <v>174</v>
      </c>
      <c r="AF218" s="4">
        <v>102</v>
      </c>
      <c r="AG218" s="4">
        <v>129</v>
      </c>
      <c r="AH218" s="4">
        <v>105</v>
      </c>
      <c r="AI218" s="4">
        <v>143</v>
      </c>
      <c r="AJ218" s="4">
        <v>34</v>
      </c>
      <c r="AK218" t="s">
        <v>78</v>
      </c>
      <c r="AL218" t="s">
        <v>95</v>
      </c>
      <c r="AM218" t="s">
        <v>80</v>
      </c>
      <c r="AN218" t="s">
        <v>96</v>
      </c>
      <c r="AO218" t="s">
        <v>97</v>
      </c>
      <c r="AP218" t="s">
        <v>83</v>
      </c>
      <c r="AQ218" t="s">
        <v>83</v>
      </c>
      <c r="AR218" t="s">
        <v>83</v>
      </c>
      <c r="AS218" t="s">
        <v>102</v>
      </c>
      <c r="AT218" t="s">
        <v>83</v>
      </c>
      <c r="AU218" t="s">
        <v>83</v>
      </c>
      <c r="AV218" t="s">
        <v>83</v>
      </c>
      <c r="AW218" s="4">
        <v>2</v>
      </c>
      <c r="AX218" s="4">
        <v>1</v>
      </c>
      <c r="AY218" s="4">
        <v>2</v>
      </c>
      <c r="AZ218" s="3">
        <v>1.74</v>
      </c>
      <c r="BA218" s="3">
        <v>3.0276000000000001</v>
      </c>
      <c r="BB218" s="3">
        <v>38.974765490817809</v>
      </c>
      <c r="BC218" t="s">
        <v>110</v>
      </c>
      <c r="BD218" t="s">
        <v>99</v>
      </c>
      <c r="BE218" s="4">
        <v>3</v>
      </c>
      <c r="BF218" t="s">
        <v>111</v>
      </c>
      <c r="BG218" s="1" t="e">
        <v>#NULL!</v>
      </c>
      <c r="BH218" s="4">
        <v>1</v>
      </c>
      <c r="BI218" t="s">
        <v>83</v>
      </c>
      <c r="BJ218" s="4">
        <v>3</v>
      </c>
      <c r="BK218" t="s">
        <v>112</v>
      </c>
    </row>
    <row r="219" spans="1:63" x14ac:dyDescent="0.35">
      <c r="A219" s="4">
        <v>387</v>
      </c>
      <c r="B219" s="4">
        <v>37</v>
      </c>
      <c r="C219" t="s">
        <v>119</v>
      </c>
      <c r="D219" t="s">
        <v>89</v>
      </c>
      <c r="E219" t="s">
        <v>104</v>
      </c>
      <c r="F219" t="s">
        <v>90</v>
      </c>
      <c r="G219" t="s">
        <v>67</v>
      </c>
      <c r="H219" s="2">
        <v>400</v>
      </c>
      <c r="I219" t="s">
        <v>68</v>
      </c>
      <c r="J219" t="s">
        <v>69</v>
      </c>
      <c r="K219" t="s">
        <v>69</v>
      </c>
      <c r="L219" t="s">
        <v>69</v>
      </c>
      <c r="M219" s="4">
        <v>3</v>
      </c>
      <c r="N219" t="s">
        <v>91</v>
      </c>
      <c r="O219" s="4">
        <v>3</v>
      </c>
      <c r="P219" t="s">
        <v>91</v>
      </c>
      <c r="Q219" s="4">
        <v>4</v>
      </c>
      <c r="R219" t="s">
        <v>91</v>
      </c>
      <c r="S219" s="4">
        <v>3</v>
      </c>
      <c r="T219" t="s">
        <v>91</v>
      </c>
      <c r="U219" t="s">
        <v>92</v>
      </c>
      <c r="V219" t="s">
        <v>93</v>
      </c>
      <c r="W219" t="s">
        <v>93</v>
      </c>
      <c r="X219" t="s">
        <v>94</v>
      </c>
      <c r="Y219" t="s">
        <v>69</v>
      </c>
      <c r="Z219" s="4">
        <v>2</v>
      </c>
      <c r="AA219" t="s">
        <v>77</v>
      </c>
      <c r="AB219" s="4">
        <v>142</v>
      </c>
      <c r="AC219" s="4">
        <v>75</v>
      </c>
      <c r="AD219" s="4">
        <v>79</v>
      </c>
      <c r="AE219" s="4">
        <v>158</v>
      </c>
      <c r="AF219" s="4">
        <v>98</v>
      </c>
      <c r="AG219" s="4">
        <v>114</v>
      </c>
      <c r="AH219" s="4">
        <v>144</v>
      </c>
      <c r="AI219" s="4">
        <v>86</v>
      </c>
      <c r="AJ219" s="4">
        <v>27</v>
      </c>
      <c r="AK219" t="s">
        <v>78</v>
      </c>
      <c r="AL219" t="s">
        <v>79</v>
      </c>
      <c r="AM219" t="s">
        <v>80</v>
      </c>
      <c r="AN219" t="s">
        <v>81</v>
      </c>
      <c r="AO219" t="s">
        <v>82</v>
      </c>
      <c r="AP219" t="s">
        <v>83</v>
      </c>
      <c r="AQ219" t="s">
        <v>83</v>
      </c>
      <c r="AR219" t="s">
        <v>83</v>
      </c>
      <c r="AS219" t="s">
        <v>102</v>
      </c>
      <c r="AT219" t="s">
        <v>83</v>
      </c>
      <c r="AU219" t="s">
        <v>83</v>
      </c>
      <c r="AV219" t="s">
        <v>83</v>
      </c>
      <c r="AW219" s="4">
        <v>3</v>
      </c>
      <c r="AX219" s="4">
        <v>1</v>
      </c>
      <c r="AY219" s="4">
        <v>2</v>
      </c>
      <c r="AZ219" s="3">
        <v>1.58</v>
      </c>
      <c r="BA219" s="3">
        <v>2.4964000000000004</v>
      </c>
      <c r="BB219" s="3">
        <v>31.645569620253159</v>
      </c>
      <c r="BC219" t="s">
        <v>110</v>
      </c>
      <c r="BD219" t="s">
        <v>99</v>
      </c>
      <c r="BE219" s="4">
        <v>4</v>
      </c>
      <c r="BF219" t="s">
        <v>111</v>
      </c>
      <c r="BG219" s="1" t="e">
        <v>#NULL!</v>
      </c>
      <c r="BH219" s="4">
        <v>1</v>
      </c>
      <c r="BI219" t="s">
        <v>83</v>
      </c>
      <c r="BJ219" s="4">
        <v>4</v>
      </c>
      <c r="BK219" t="s">
        <v>112</v>
      </c>
    </row>
    <row r="220" spans="1:63" x14ac:dyDescent="0.35">
      <c r="A220" s="4">
        <v>402</v>
      </c>
      <c r="B220" s="4">
        <v>37</v>
      </c>
      <c r="C220" t="s">
        <v>119</v>
      </c>
      <c r="D220" t="s">
        <v>89</v>
      </c>
      <c r="E220" t="s">
        <v>104</v>
      </c>
      <c r="F220" t="s">
        <v>101</v>
      </c>
      <c r="G220" t="s">
        <v>67</v>
      </c>
      <c r="H220" s="2">
        <v>600</v>
      </c>
      <c r="I220" t="s">
        <v>105</v>
      </c>
      <c r="J220" t="s">
        <v>69</v>
      </c>
      <c r="K220" t="s">
        <v>69</v>
      </c>
      <c r="L220" t="s">
        <v>69</v>
      </c>
      <c r="M220" s="4">
        <v>0</v>
      </c>
      <c r="N220" t="s">
        <v>71</v>
      </c>
      <c r="O220" s="4">
        <v>1</v>
      </c>
      <c r="P220" t="s">
        <v>71</v>
      </c>
      <c r="Q220" s="4">
        <v>2</v>
      </c>
      <c r="R220" t="s">
        <v>71</v>
      </c>
      <c r="S220" s="4">
        <v>1</v>
      </c>
      <c r="T220" t="s">
        <v>71</v>
      </c>
      <c r="U220" t="s">
        <v>103</v>
      </c>
      <c r="V220" t="s">
        <v>93</v>
      </c>
      <c r="W220" t="s">
        <v>93</v>
      </c>
      <c r="X220" t="s">
        <v>94</v>
      </c>
      <c r="Y220" t="s">
        <v>69</v>
      </c>
      <c r="Z220" s="4">
        <v>5</v>
      </c>
      <c r="AA220" t="s">
        <v>77</v>
      </c>
      <c r="AB220" s="4">
        <v>137</v>
      </c>
      <c r="AC220" s="4">
        <v>89</v>
      </c>
      <c r="AD220" s="4">
        <v>63</v>
      </c>
      <c r="AE220" s="4">
        <v>161</v>
      </c>
      <c r="AF220" s="4">
        <v>94</v>
      </c>
      <c r="AG220" s="4">
        <v>104</v>
      </c>
      <c r="AH220" s="4">
        <v>76</v>
      </c>
      <c r="AI220" s="4">
        <v>102</v>
      </c>
      <c r="AJ220" s="4">
        <v>52</v>
      </c>
      <c r="AK220" t="s">
        <v>78</v>
      </c>
      <c r="AL220" t="s">
        <v>79</v>
      </c>
      <c r="AM220" t="s">
        <v>108</v>
      </c>
      <c r="AN220" t="s">
        <v>109</v>
      </c>
      <c r="AO220" t="s">
        <v>82</v>
      </c>
      <c r="AP220" t="s">
        <v>85</v>
      </c>
      <c r="AQ220" t="s">
        <v>85</v>
      </c>
      <c r="AR220" t="s">
        <v>85</v>
      </c>
      <c r="AS220" t="s">
        <v>84</v>
      </c>
      <c r="AT220" t="s">
        <v>83</v>
      </c>
      <c r="AU220" t="s">
        <v>83</v>
      </c>
      <c r="AV220" t="s">
        <v>83</v>
      </c>
      <c r="AW220" s="4">
        <v>1</v>
      </c>
      <c r="AX220" s="4">
        <v>0</v>
      </c>
      <c r="AY220" s="4">
        <v>1</v>
      </c>
      <c r="AZ220" s="3">
        <v>1.61</v>
      </c>
      <c r="BA220" s="3">
        <v>2.5921000000000003</v>
      </c>
      <c r="BB220" s="3">
        <v>24.304617877396701</v>
      </c>
      <c r="BC220" t="s">
        <v>85</v>
      </c>
      <c r="BD220" t="s">
        <v>86</v>
      </c>
      <c r="BE220" s="4">
        <v>2</v>
      </c>
      <c r="BF220" t="s">
        <v>87</v>
      </c>
      <c r="BG220" s="1" t="e">
        <v>#NULL!</v>
      </c>
      <c r="BH220" s="4">
        <v>1</v>
      </c>
      <c r="BI220" t="s">
        <v>83</v>
      </c>
      <c r="BJ220" s="4">
        <v>2</v>
      </c>
      <c r="BK220" t="s">
        <v>88</v>
      </c>
    </row>
    <row r="221" spans="1:63" x14ac:dyDescent="0.35">
      <c r="A221" s="4">
        <v>421</v>
      </c>
      <c r="B221" s="4">
        <v>37</v>
      </c>
      <c r="C221" t="s">
        <v>119</v>
      </c>
      <c r="D221" t="s">
        <v>64</v>
      </c>
      <c r="E221" t="s">
        <v>104</v>
      </c>
      <c r="F221" t="s">
        <v>90</v>
      </c>
      <c r="G221" t="s">
        <v>67</v>
      </c>
      <c r="H221" s="2">
        <v>400</v>
      </c>
      <c r="I221" t="s">
        <v>68</v>
      </c>
      <c r="J221" t="s">
        <v>69</v>
      </c>
      <c r="K221" t="s">
        <v>69</v>
      </c>
      <c r="L221" t="s">
        <v>69</v>
      </c>
      <c r="M221" s="4">
        <v>2</v>
      </c>
      <c r="N221" t="s">
        <v>71</v>
      </c>
      <c r="O221" s="4">
        <v>4</v>
      </c>
      <c r="P221" t="s">
        <v>91</v>
      </c>
      <c r="Q221" s="4">
        <v>4</v>
      </c>
      <c r="R221" t="s">
        <v>91</v>
      </c>
      <c r="S221" s="4">
        <v>4</v>
      </c>
      <c r="T221" t="s">
        <v>91</v>
      </c>
      <c r="U221" t="s">
        <v>92</v>
      </c>
      <c r="V221" t="s">
        <v>93</v>
      </c>
      <c r="W221" t="s">
        <v>93</v>
      </c>
      <c r="X221" t="s">
        <v>94</v>
      </c>
      <c r="Y221" t="s">
        <v>69</v>
      </c>
      <c r="Z221" s="4">
        <v>4</v>
      </c>
      <c r="AA221" t="s">
        <v>77</v>
      </c>
      <c r="AB221" s="4">
        <v>110</v>
      </c>
      <c r="AC221" s="4">
        <v>78</v>
      </c>
      <c r="AD221" s="4">
        <v>76</v>
      </c>
      <c r="AE221" s="4">
        <v>176</v>
      </c>
      <c r="AF221" s="4">
        <v>88</v>
      </c>
      <c r="AG221" s="4">
        <v>96</v>
      </c>
      <c r="AH221" s="4">
        <v>100</v>
      </c>
      <c r="AI221" s="4">
        <v>112</v>
      </c>
      <c r="AJ221" s="4">
        <v>35</v>
      </c>
      <c r="AK221" t="s">
        <v>78</v>
      </c>
      <c r="AL221" t="s">
        <v>95</v>
      </c>
      <c r="AM221" t="s">
        <v>80</v>
      </c>
      <c r="AN221" t="s">
        <v>96</v>
      </c>
      <c r="AO221" t="s">
        <v>97</v>
      </c>
      <c r="AP221" t="s">
        <v>83</v>
      </c>
      <c r="AQ221" t="s">
        <v>83</v>
      </c>
      <c r="AR221" t="s">
        <v>83</v>
      </c>
      <c r="AS221" t="s">
        <v>102</v>
      </c>
      <c r="AT221" t="s">
        <v>85</v>
      </c>
      <c r="AU221" t="s">
        <v>83</v>
      </c>
      <c r="AV221" t="s">
        <v>85</v>
      </c>
      <c r="AW221" s="4">
        <v>2</v>
      </c>
      <c r="AX221" s="4">
        <v>1</v>
      </c>
      <c r="AY221" s="4">
        <v>1</v>
      </c>
      <c r="AZ221" s="3">
        <v>1.76</v>
      </c>
      <c r="BA221" s="3">
        <v>3.0975999999999999</v>
      </c>
      <c r="BB221" s="3">
        <v>24.535123966942148</v>
      </c>
      <c r="BC221" t="s">
        <v>85</v>
      </c>
      <c r="BD221" t="s">
        <v>86</v>
      </c>
      <c r="BE221" s="4">
        <v>2</v>
      </c>
      <c r="BF221" t="s">
        <v>87</v>
      </c>
      <c r="BG221" s="4">
        <v>0</v>
      </c>
      <c r="BH221" s="1" t="e">
        <v>#NULL!</v>
      </c>
      <c r="BI221" t="s">
        <v>85</v>
      </c>
      <c r="BJ221" s="4">
        <v>2</v>
      </c>
      <c r="BK221" t="s">
        <v>88</v>
      </c>
    </row>
    <row r="222" spans="1:63" x14ac:dyDescent="0.35">
      <c r="A222" s="4">
        <v>236</v>
      </c>
      <c r="B222" s="4">
        <v>37</v>
      </c>
      <c r="C222" t="s">
        <v>119</v>
      </c>
      <c r="D222" t="s">
        <v>64</v>
      </c>
      <c r="E222" t="s">
        <v>113</v>
      </c>
      <c r="F222" t="s">
        <v>101</v>
      </c>
      <c r="G222" t="s">
        <v>67</v>
      </c>
      <c r="H222" s="2">
        <v>380</v>
      </c>
      <c r="I222" t="s">
        <v>68</v>
      </c>
      <c r="J222" t="s">
        <v>69</v>
      </c>
      <c r="K222" t="s">
        <v>69</v>
      </c>
      <c r="L222" t="s">
        <v>69</v>
      </c>
      <c r="M222" s="4">
        <v>3</v>
      </c>
      <c r="N222" t="s">
        <v>91</v>
      </c>
      <c r="O222" s="4">
        <v>4</v>
      </c>
      <c r="P222" t="s">
        <v>91</v>
      </c>
      <c r="Q222" s="4">
        <v>3</v>
      </c>
      <c r="R222" t="s">
        <v>91</v>
      </c>
      <c r="S222" s="4">
        <v>4</v>
      </c>
      <c r="T222" t="s">
        <v>91</v>
      </c>
      <c r="U222" t="s">
        <v>92</v>
      </c>
      <c r="V222" t="s">
        <v>74</v>
      </c>
      <c r="W222" t="s">
        <v>93</v>
      </c>
      <c r="X222" t="s">
        <v>94</v>
      </c>
      <c r="Y222" t="s">
        <v>69</v>
      </c>
      <c r="Z222" s="4">
        <v>3</v>
      </c>
      <c r="AA222" t="s">
        <v>77</v>
      </c>
      <c r="AB222" s="4">
        <v>112</v>
      </c>
      <c r="AC222" s="4">
        <v>78</v>
      </c>
      <c r="AD222" s="4">
        <v>70</v>
      </c>
      <c r="AE222" s="4">
        <v>174</v>
      </c>
      <c r="AF222" s="4">
        <v>88</v>
      </c>
      <c r="AG222" s="4">
        <v>98</v>
      </c>
      <c r="AH222" s="4">
        <v>88</v>
      </c>
      <c r="AI222" s="4">
        <v>140</v>
      </c>
      <c r="AJ222" s="4">
        <v>62</v>
      </c>
      <c r="AK222" t="s">
        <v>78</v>
      </c>
      <c r="AL222" t="s">
        <v>95</v>
      </c>
      <c r="AM222" t="s">
        <v>80</v>
      </c>
      <c r="AN222" t="s">
        <v>96</v>
      </c>
      <c r="AO222" t="s">
        <v>97</v>
      </c>
      <c r="AP222" t="s">
        <v>85</v>
      </c>
      <c r="AQ222" t="s">
        <v>85</v>
      </c>
      <c r="AR222" t="s">
        <v>85</v>
      </c>
      <c r="AS222" t="s">
        <v>84</v>
      </c>
      <c r="AT222" t="s">
        <v>85</v>
      </c>
      <c r="AU222" t="s">
        <v>83</v>
      </c>
      <c r="AV222" t="s">
        <v>85</v>
      </c>
      <c r="AW222" s="4">
        <v>0</v>
      </c>
      <c r="AX222" s="4">
        <v>0</v>
      </c>
      <c r="AY222" s="4">
        <v>0</v>
      </c>
      <c r="AZ222" s="3">
        <v>1.74</v>
      </c>
      <c r="BA222" s="3">
        <v>3.0276000000000001</v>
      </c>
      <c r="BB222" s="3">
        <v>23.120623596247853</v>
      </c>
      <c r="BC222" t="s">
        <v>85</v>
      </c>
      <c r="BD222" t="s">
        <v>86</v>
      </c>
      <c r="BE222" s="4">
        <v>0</v>
      </c>
      <c r="BF222" t="s">
        <v>87</v>
      </c>
      <c r="BG222" s="4">
        <v>0</v>
      </c>
      <c r="BH222" s="1" t="e">
        <v>#NULL!</v>
      </c>
      <c r="BI222" t="s">
        <v>85</v>
      </c>
      <c r="BJ222" s="4">
        <v>0</v>
      </c>
      <c r="BK222" t="s">
        <v>88</v>
      </c>
    </row>
    <row r="223" spans="1:63" x14ac:dyDescent="0.35">
      <c r="A223" s="4">
        <v>330</v>
      </c>
      <c r="B223" s="4">
        <v>38</v>
      </c>
      <c r="C223" t="s">
        <v>119</v>
      </c>
      <c r="D223" t="s">
        <v>89</v>
      </c>
      <c r="E223" t="s">
        <v>65</v>
      </c>
      <c r="F223" t="s">
        <v>101</v>
      </c>
      <c r="G223" t="s">
        <v>67</v>
      </c>
      <c r="H223" s="2">
        <v>500</v>
      </c>
      <c r="I223" t="s">
        <v>68</v>
      </c>
      <c r="J223" t="s">
        <v>69</v>
      </c>
      <c r="K223" t="s">
        <v>69</v>
      </c>
      <c r="L223" t="s">
        <v>69</v>
      </c>
      <c r="M223" s="4">
        <v>7</v>
      </c>
      <c r="N223" t="s">
        <v>72</v>
      </c>
      <c r="O223" s="4">
        <v>5</v>
      </c>
      <c r="P223" t="s">
        <v>72</v>
      </c>
      <c r="Q223" s="4">
        <v>5</v>
      </c>
      <c r="R223" t="s">
        <v>72</v>
      </c>
      <c r="S223" s="4">
        <v>2</v>
      </c>
      <c r="T223" t="s">
        <v>71</v>
      </c>
      <c r="U223" t="s">
        <v>73</v>
      </c>
      <c r="V223" t="s">
        <v>93</v>
      </c>
      <c r="W223" t="s">
        <v>93</v>
      </c>
      <c r="X223" t="s">
        <v>94</v>
      </c>
      <c r="Y223" t="s">
        <v>69</v>
      </c>
      <c r="Z223" s="4">
        <v>4</v>
      </c>
      <c r="AA223" t="s">
        <v>77</v>
      </c>
      <c r="AB223" s="4">
        <v>125</v>
      </c>
      <c r="AC223" s="4">
        <v>80</v>
      </c>
      <c r="AD223" s="4">
        <v>76</v>
      </c>
      <c r="AE223" s="4">
        <v>176</v>
      </c>
      <c r="AF223" s="4">
        <v>86</v>
      </c>
      <c r="AG223" s="4">
        <v>109</v>
      </c>
      <c r="AH223" s="4">
        <v>99</v>
      </c>
      <c r="AI223" s="4">
        <v>99</v>
      </c>
      <c r="AJ223" s="4">
        <v>42</v>
      </c>
      <c r="AK223" t="s">
        <v>78</v>
      </c>
      <c r="AL223" t="s">
        <v>95</v>
      </c>
      <c r="AM223" t="s">
        <v>80</v>
      </c>
      <c r="AN223" t="s">
        <v>96</v>
      </c>
      <c r="AO223" t="s">
        <v>97</v>
      </c>
      <c r="AP223" t="s">
        <v>83</v>
      </c>
      <c r="AQ223" t="s">
        <v>85</v>
      </c>
      <c r="AR223" t="s">
        <v>83</v>
      </c>
      <c r="AS223" t="s">
        <v>84</v>
      </c>
      <c r="AT223" t="s">
        <v>85</v>
      </c>
      <c r="AU223" t="s">
        <v>83</v>
      </c>
      <c r="AV223" t="s">
        <v>83</v>
      </c>
      <c r="AW223" s="4">
        <v>1</v>
      </c>
      <c r="AX223" s="4">
        <v>0</v>
      </c>
      <c r="AY223" s="4">
        <v>1</v>
      </c>
      <c r="AZ223" s="3">
        <v>1.76</v>
      </c>
      <c r="BA223" s="3">
        <v>3.0975999999999999</v>
      </c>
      <c r="BB223" s="3">
        <v>24.535123966942148</v>
      </c>
      <c r="BC223" t="s">
        <v>85</v>
      </c>
      <c r="BD223" t="s">
        <v>86</v>
      </c>
      <c r="BE223" s="4">
        <v>2</v>
      </c>
      <c r="BF223" t="s">
        <v>87</v>
      </c>
      <c r="BG223" s="1" t="e">
        <v>#NULL!</v>
      </c>
      <c r="BH223" s="4">
        <v>0</v>
      </c>
      <c r="BI223" t="s">
        <v>85</v>
      </c>
      <c r="BJ223" s="4">
        <v>1</v>
      </c>
      <c r="BK223" t="s">
        <v>88</v>
      </c>
    </row>
    <row r="224" spans="1:63" x14ac:dyDescent="0.35">
      <c r="A224" s="4">
        <v>35</v>
      </c>
      <c r="B224" s="4">
        <v>38</v>
      </c>
      <c r="C224" t="s">
        <v>119</v>
      </c>
      <c r="D224" t="s">
        <v>89</v>
      </c>
      <c r="E224" t="s">
        <v>104</v>
      </c>
      <c r="F224" t="s">
        <v>101</v>
      </c>
      <c r="G224" t="s">
        <v>67</v>
      </c>
      <c r="H224" s="2">
        <v>600</v>
      </c>
      <c r="I224" t="s">
        <v>105</v>
      </c>
      <c r="J224" t="s">
        <v>69</v>
      </c>
      <c r="K224" t="s">
        <v>69</v>
      </c>
      <c r="L224" t="s">
        <v>69</v>
      </c>
      <c r="M224" s="4">
        <v>0</v>
      </c>
      <c r="N224" t="s">
        <v>71</v>
      </c>
      <c r="O224" s="4">
        <v>1</v>
      </c>
      <c r="P224" t="s">
        <v>71</v>
      </c>
      <c r="Q224" s="4">
        <v>2</v>
      </c>
      <c r="R224" t="s">
        <v>71</v>
      </c>
      <c r="S224" s="4">
        <v>1</v>
      </c>
      <c r="T224" t="s">
        <v>71</v>
      </c>
      <c r="U224" t="s">
        <v>103</v>
      </c>
      <c r="V224" t="s">
        <v>93</v>
      </c>
      <c r="W224" t="s">
        <v>93</v>
      </c>
      <c r="X224" t="s">
        <v>94</v>
      </c>
      <c r="Y224" t="s">
        <v>69</v>
      </c>
      <c r="Z224" s="4">
        <v>5</v>
      </c>
      <c r="AA224" t="s">
        <v>77</v>
      </c>
      <c r="AB224" s="4">
        <v>137</v>
      </c>
      <c r="AC224" s="4">
        <v>89</v>
      </c>
      <c r="AD224" s="4">
        <v>63</v>
      </c>
      <c r="AE224" s="4">
        <v>161</v>
      </c>
      <c r="AF224" s="4">
        <v>94</v>
      </c>
      <c r="AG224" s="4">
        <v>104</v>
      </c>
      <c r="AH224" s="4">
        <v>76</v>
      </c>
      <c r="AI224" s="4">
        <v>102</v>
      </c>
      <c r="AJ224" s="4">
        <v>52</v>
      </c>
      <c r="AK224" t="s">
        <v>78</v>
      </c>
      <c r="AL224" t="s">
        <v>79</v>
      </c>
      <c r="AM224" t="s">
        <v>108</v>
      </c>
      <c r="AN224" t="s">
        <v>109</v>
      </c>
      <c r="AO224" t="s">
        <v>82</v>
      </c>
      <c r="AP224" t="s">
        <v>85</v>
      </c>
      <c r="AQ224" t="s">
        <v>85</v>
      </c>
      <c r="AR224" t="s">
        <v>85</v>
      </c>
      <c r="AS224" t="s">
        <v>84</v>
      </c>
      <c r="AT224" t="s">
        <v>83</v>
      </c>
      <c r="AU224" t="s">
        <v>83</v>
      </c>
      <c r="AV224" t="s">
        <v>83</v>
      </c>
      <c r="AW224" s="4">
        <v>1</v>
      </c>
      <c r="AX224" s="4">
        <v>0</v>
      </c>
      <c r="AY224" s="4">
        <v>1</v>
      </c>
      <c r="AZ224" s="3">
        <v>1.61</v>
      </c>
      <c r="BA224" s="3">
        <v>2.5921000000000003</v>
      </c>
      <c r="BB224" s="3">
        <v>24.304617877396701</v>
      </c>
      <c r="BC224" t="s">
        <v>85</v>
      </c>
      <c r="BD224" t="s">
        <v>86</v>
      </c>
      <c r="BE224" s="4">
        <v>2</v>
      </c>
      <c r="BF224" t="s">
        <v>87</v>
      </c>
      <c r="BG224" s="1" t="e">
        <v>#NULL!</v>
      </c>
      <c r="BH224" s="4">
        <v>1</v>
      </c>
      <c r="BI224" t="s">
        <v>83</v>
      </c>
      <c r="BJ224" s="4">
        <v>2</v>
      </c>
      <c r="BK224" t="s">
        <v>88</v>
      </c>
    </row>
    <row r="225" spans="1:63" x14ac:dyDescent="0.35">
      <c r="A225" s="4">
        <v>136</v>
      </c>
      <c r="B225" s="4">
        <v>38</v>
      </c>
      <c r="C225" t="s">
        <v>119</v>
      </c>
      <c r="D225" t="s">
        <v>89</v>
      </c>
      <c r="E225" t="s">
        <v>104</v>
      </c>
      <c r="F225" t="s">
        <v>90</v>
      </c>
      <c r="G225" t="s">
        <v>67</v>
      </c>
      <c r="H225" s="2">
        <v>400</v>
      </c>
      <c r="I225" t="s">
        <v>68</v>
      </c>
      <c r="J225" t="s">
        <v>69</v>
      </c>
      <c r="K225" t="s">
        <v>69</v>
      </c>
      <c r="L225" t="s">
        <v>69</v>
      </c>
      <c r="M225" s="4">
        <v>3</v>
      </c>
      <c r="N225" t="s">
        <v>91</v>
      </c>
      <c r="O225" s="4">
        <v>3</v>
      </c>
      <c r="P225" t="s">
        <v>91</v>
      </c>
      <c r="Q225" s="4">
        <v>4</v>
      </c>
      <c r="R225" t="s">
        <v>91</v>
      </c>
      <c r="S225" s="4">
        <v>5</v>
      </c>
      <c r="T225" t="s">
        <v>72</v>
      </c>
      <c r="U225" t="s">
        <v>92</v>
      </c>
      <c r="V225" t="s">
        <v>93</v>
      </c>
      <c r="W225" t="s">
        <v>93</v>
      </c>
      <c r="X225" t="s">
        <v>94</v>
      </c>
      <c r="Y225" t="s">
        <v>69</v>
      </c>
      <c r="Z225" s="4">
        <v>2</v>
      </c>
      <c r="AA225" t="s">
        <v>77</v>
      </c>
      <c r="AB225" s="4">
        <v>142</v>
      </c>
      <c r="AC225" s="4">
        <v>75</v>
      </c>
      <c r="AD225" s="4">
        <v>79</v>
      </c>
      <c r="AE225" s="4">
        <v>158</v>
      </c>
      <c r="AF225" s="4">
        <v>98</v>
      </c>
      <c r="AG225" s="4">
        <v>114</v>
      </c>
      <c r="AH225" s="4">
        <v>144</v>
      </c>
      <c r="AI225" s="4">
        <v>86</v>
      </c>
      <c r="AJ225" s="4">
        <v>27</v>
      </c>
      <c r="AK225" t="s">
        <v>78</v>
      </c>
      <c r="AL225" t="s">
        <v>79</v>
      </c>
      <c r="AM225" t="s">
        <v>80</v>
      </c>
      <c r="AN225" t="s">
        <v>81</v>
      </c>
      <c r="AO225" t="s">
        <v>82</v>
      </c>
      <c r="AP225" t="s">
        <v>83</v>
      </c>
      <c r="AQ225" t="s">
        <v>83</v>
      </c>
      <c r="AR225" t="s">
        <v>83</v>
      </c>
      <c r="AS225" t="s">
        <v>102</v>
      </c>
      <c r="AT225" t="s">
        <v>83</v>
      </c>
      <c r="AU225" t="s">
        <v>83</v>
      </c>
      <c r="AV225" t="s">
        <v>83</v>
      </c>
      <c r="AW225" s="4">
        <v>3</v>
      </c>
      <c r="AX225" s="4">
        <v>1</v>
      </c>
      <c r="AY225" s="4">
        <v>2</v>
      </c>
      <c r="AZ225" s="3">
        <v>1.58</v>
      </c>
      <c r="BA225" s="3">
        <v>2.4964000000000004</v>
      </c>
      <c r="BB225" s="3">
        <v>31.645569620253159</v>
      </c>
      <c r="BC225" t="s">
        <v>110</v>
      </c>
      <c r="BD225" t="s">
        <v>99</v>
      </c>
      <c r="BE225" s="4">
        <v>4</v>
      </c>
      <c r="BF225" t="s">
        <v>111</v>
      </c>
      <c r="BG225" s="1" t="e">
        <v>#NULL!</v>
      </c>
      <c r="BH225" s="4">
        <v>1</v>
      </c>
      <c r="BI225" t="s">
        <v>83</v>
      </c>
      <c r="BJ225" s="4">
        <v>4</v>
      </c>
      <c r="BK225" t="s">
        <v>112</v>
      </c>
    </row>
    <row r="226" spans="1:63" x14ac:dyDescent="0.35">
      <c r="A226" s="4">
        <v>150</v>
      </c>
      <c r="B226" s="4">
        <v>38</v>
      </c>
      <c r="C226" t="s">
        <v>119</v>
      </c>
      <c r="D226" t="s">
        <v>64</v>
      </c>
      <c r="E226" t="s">
        <v>104</v>
      </c>
      <c r="F226" t="s">
        <v>101</v>
      </c>
      <c r="G226" t="s">
        <v>67</v>
      </c>
      <c r="H226" s="2">
        <v>400</v>
      </c>
      <c r="I226" t="s">
        <v>68</v>
      </c>
      <c r="J226" t="s">
        <v>69</v>
      </c>
      <c r="K226" t="s">
        <v>69</v>
      </c>
      <c r="L226" t="s">
        <v>69</v>
      </c>
      <c r="M226" s="4">
        <v>2</v>
      </c>
      <c r="N226" t="s">
        <v>71</v>
      </c>
      <c r="O226" s="4">
        <v>2</v>
      </c>
      <c r="P226" t="s">
        <v>71</v>
      </c>
      <c r="Q226" s="4">
        <v>2</v>
      </c>
      <c r="R226" t="s">
        <v>71</v>
      </c>
      <c r="S226" s="4">
        <v>1</v>
      </c>
      <c r="T226" t="s">
        <v>71</v>
      </c>
      <c r="U226" t="s">
        <v>103</v>
      </c>
      <c r="V226" t="s">
        <v>93</v>
      </c>
      <c r="W226" t="s">
        <v>93</v>
      </c>
      <c r="X226" t="s">
        <v>94</v>
      </c>
      <c r="Y226" t="s">
        <v>69</v>
      </c>
      <c r="Z226" s="4">
        <v>3</v>
      </c>
      <c r="AA226" t="s">
        <v>77</v>
      </c>
      <c r="AB226" s="4">
        <v>137</v>
      </c>
      <c r="AC226" s="4">
        <v>90</v>
      </c>
      <c r="AD226" s="4">
        <v>60</v>
      </c>
      <c r="AE226" s="4">
        <v>175</v>
      </c>
      <c r="AF226" s="4">
        <v>74</v>
      </c>
      <c r="AG226" s="4">
        <v>96</v>
      </c>
      <c r="AH226" s="4">
        <v>76</v>
      </c>
      <c r="AI226" s="4">
        <v>53</v>
      </c>
      <c r="AJ226" s="4">
        <v>58</v>
      </c>
      <c r="AK226" t="s">
        <v>78</v>
      </c>
      <c r="AL226" t="s">
        <v>79</v>
      </c>
      <c r="AM226" t="s">
        <v>108</v>
      </c>
      <c r="AN226" t="s">
        <v>109</v>
      </c>
      <c r="AO226" t="s">
        <v>82</v>
      </c>
      <c r="AP226" t="s">
        <v>85</v>
      </c>
      <c r="AQ226" t="s">
        <v>85</v>
      </c>
      <c r="AR226" t="s">
        <v>85</v>
      </c>
      <c r="AS226" t="s">
        <v>84</v>
      </c>
      <c r="AT226" t="s">
        <v>85</v>
      </c>
      <c r="AU226" t="s">
        <v>85</v>
      </c>
      <c r="AV226" t="s">
        <v>85</v>
      </c>
      <c r="AW226" s="4">
        <v>1</v>
      </c>
      <c r="AX226" s="4">
        <v>0</v>
      </c>
      <c r="AY226" s="4">
        <v>0</v>
      </c>
      <c r="AZ226" s="3">
        <v>1.75</v>
      </c>
      <c r="BA226" s="3">
        <v>3.0625</v>
      </c>
      <c r="BB226" s="3">
        <v>19.591836734693878</v>
      </c>
      <c r="BC226" t="s">
        <v>85</v>
      </c>
      <c r="BD226" t="s">
        <v>86</v>
      </c>
      <c r="BE226" s="4">
        <v>1</v>
      </c>
      <c r="BF226" t="s">
        <v>87</v>
      </c>
      <c r="BG226" s="4">
        <v>0</v>
      </c>
      <c r="BH226" s="1" t="e">
        <v>#NULL!</v>
      </c>
      <c r="BI226" t="s">
        <v>85</v>
      </c>
      <c r="BJ226" s="4">
        <v>1</v>
      </c>
      <c r="BK226" t="s">
        <v>88</v>
      </c>
    </row>
    <row r="227" spans="1:63" x14ac:dyDescent="0.35">
      <c r="A227" s="4">
        <v>160</v>
      </c>
      <c r="B227" s="4">
        <v>38</v>
      </c>
      <c r="C227" t="s">
        <v>119</v>
      </c>
      <c r="D227" t="s">
        <v>89</v>
      </c>
      <c r="E227" t="s">
        <v>104</v>
      </c>
      <c r="F227" t="s">
        <v>90</v>
      </c>
      <c r="G227" t="s">
        <v>67</v>
      </c>
      <c r="H227" s="2">
        <v>900</v>
      </c>
      <c r="I227" t="s">
        <v>105</v>
      </c>
      <c r="J227" t="s">
        <v>69</v>
      </c>
      <c r="K227" t="s">
        <v>69</v>
      </c>
      <c r="L227" t="s">
        <v>69</v>
      </c>
      <c r="M227" s="4">
        <v>7</v>
      </c>
      <c r="N227" t="s">
        <v>72</v>
      </c>
      <c r="O227" s="4">
        <v>6</v>
      </c>
      <c r="P227" t="s">
        <v>72</v>
      </c>
      <c r="Q227" s="4">
        <v>7</v>
      </c>
      <c r="R227" t="s">
        <v>72</v>
      </c>
      <c r="S227" s="4">
        <v>7</v>
      </c>
      <c r="T227" t="s">
        <v>72</v>
      </c>
      <c r="U227" t="s">
        <v>73</v>
      </c>
      <c r="V227" t="s">
        <v>93</v>
      </c>
      <c r="W227" t="s">
        <v>93</v>
      </c>
      <c r="X227" t="s">
        <v>94</v>
      </c>
      <c r="Y227" t="s">
        <v>69</v>
      </c>
      <c r="Z227" s="4">
        <v>5</v>
      </c>
      <c r="AA227" t="s">
        <v>77</v>
      </c>
      <c r="AB227" s="4">
        <v>108</v>
      </c>
      <c r="AC227" s="4">
        <v>68</v>
      </c>
      <c r="AD227" s="4">
        <v>78</v>
      </c>
      <c r="AE227" s="4">
        <v>176</v>
      </c>
      <c r="AF227" s="4">
        <v>76</v>
      </c>
      <c r="AG227" s="4">
        <v>98</v>
      </c>
      <c r="AH227" s="4">
        <v>106</v>
      </c>
      <c r="AI227" s="4">
        <v>121</v>
      </c>
      <c r="AJ227" s="4">
        <v>69</v>
      </c>
      <c r="AK227" t="s">
        <v>78</v>
      </c>
      <c r="AL227" t="s">
        <v>95</v>
      </c>
      <c r="AM227" t="s">
        <v>80</v>
      </c>
      <c r="AN227" t="s">
        <v>96</v>
      </c>
      <c r="AO227" t="s">
        <v>97</v>
      </c>
      <c r="AP227" t="s">
        <v>85</v>
      </c>
      <c r="AQ227" t="s">
        <v>85</v>
      </c>
      <c r="AR227" t="s">
        <v>85</v>
      </c>
      <c r="AS227" t="s">
        <v>102</v>
      </c>
      <c r="AT227" t="s">
        <v>85</v>
      </c>
      <c r="AU227" t="s">
        <v>85</v>
      </c>
      <c r="AV227" t="s">
        <v>85</v>
      </c>
      <c r="AW227" s="4">
        <v>1</v>
      </c>
      <c r="AX227" s="4">
        <v>0</v>
      </c>
      <c r="AY227" s="4">
        <v>0</v>
      </c>
      <c r="AZ227" s="3">
        <v>1.76</v>
      </c>
      <c r="BA227" s="3">
        <v>3.0975999999999999</v>
      </c>
      <c r="BB227" s="3">
        <v>25.180785123966942</v>
      </c>
      <c r="BC227" t="s">
        <v>98</v>
      </c>
      <c r="BD227" t="s">
        <v>99</v>
      </c>
      <c r="BE227" s="4">
        <v>1</v>
      </c>
      <c r="BF227" t="s">
        <v>87</v>
      </c>
      <c r="BG227" s="1" t="e">
        <v>#NULL!</v>
      </c>
      <c r="BH227" s="4">
        <v>0</v>
      </c>
      <c r="BI227" t="s">
        <v>85</v>
      </c>
      <c r="BJ227" s="4">
        <v>1</v>
      </c>
      <c r="BK227" t="s">
        <v>88</v>
      </c>
    </row>
    <row r="228" spans="1:63" x14ac:dyDescent="0.35">
      <c r="A228" s="4">
        <v>173</v>
      </c>
      <c r="B228" s="4">
        <v>38</v>
      </c>
      <c r="C228" t="s">
        <v>119</v>
      </c>
      <c r="D228" t="s">
        <v>89</v>
      </c>
      <c r="E228" t="s">
        <v>104</v>
      </c>
      <c r="F228" t="s">
        <v>66</v>
      </c>
      <c r="G228" t="s">
        <v>67</v>
      </c>
      <c r="H228" s="2">
        <v>800</v>
      </c>
      <c r="I228" t="s">
        <v>105</v>
      </c>
      <c r="J228" t="s">
        <v>69</v>
      </c>
      <c r="K228" t="s">
        <v>69</v>
      </c>
      <c r="L228" t="s">
        <v>69</v>
      </c>
      <c r="M228" s="4">
        <v>5</v>
      </c>
      <c r="N228" t="s">
        <v>72</v>
      </c>
      <c r="O228" s="4">
        <v>6</v>
      </c>
      <c r="P228" t="s">
        <v>72</v>
      </c>
      <c r="Q228" s="4">
        <v>5</v>
      </c>
      <c r="R228" t="s">
        <v>72</v>
      </c>
      <c r="S228" s="4">
        <v>6</v>
      </c>
      <c r="T228" t="s">
        <v>72</v>
      </c>
      <c r="U228" t="s">
        <v>73</v>
      </c>
      <c r="V228" t="s">
        <v>93</v>
      </c>
      <c r="W228" t="s">
        <v>74</v>
      </c>
      <c r="X228" t="s">
        <v>76</v>
      </c>
      <c r="Y228" t="s">
        <v>69</v>
      </c>
      <c r="Z228" s="4">
        <v>2</v>
      </c>
      <c r="AA228" t="s">
        <v>77</v>
      </c>
      <c r="AB228" s="4">
        <v>104</v>
      </c>
      <c r="AC228" s="4">
        <v>70</v>
      </c>
      <c r="AD228" s="4">
        <v>105</v>
      </c>
      <c r="AE228" s="4">
        <v>173</v>
      </c>
      <c r="AF228" s="4">
        <v>117</v>
      </c>
      <c r="AG228" s="4">
        <v>130</v>
      </c>
      <c r="AH228" s="4">
        <v>110</v>
      </c>
      <c r="AI228" s="4">
        <v>81</v>
      </c>
      <c r="AJ228" s="4">
        <v>39</v>
      </c>
      <c r="AK228" t="s">
        <v>78</v>
      </c>
      <c r="AL228" t="s">
        <v>95</v>
      </c>
      <c r="AM228" t="s">
        <v>80</v>
      </c>
      <c r="AN228" t="s">
        <v>96</v>
      </c>
      <c r="AO228" t="s">
        <v>97</v>
      </c>
      <c r="AP228" t="s">
        <v>83</v>
      </c>
      <c r="AQ228" t="s">
        <v>83</v>
      </c>
      <c r="AR228" t="s">
        <v>83</v>
      </c>
      <c r="AS228" t="s">
        <v>102</v>
      </c>
      <c r="AT228" t="s">
        <v>83</v>
      </c>
      <c r="AU228" t="s">
        <v>83</v>
      </c>
      <c r="AV228" t="s">
        <v>83</v>
      </c>
      <c r="AW228" s="4">
        <v>2</v>
      </c>
      <c r="AX228" s="4">
        <v>1</v>
      </c>
      <c r="AY228" s="4">
        <v>2</v>
      </c>
      <c r="AZ228" s="3">
        <v>1.73</v>
      </c>
      <c r="BA228" s="3">
        <v>2.9929000000000001</v>
      </c>
      <c r="BB228" s="3">
        <v>35.083029837281565</v>
      </c>
      <c r="BC228" t="s">
        <v>110</v>
      </c>
      <c r="BD228" t="s">
        <v>99</v>
      </c>
      <c r="BE228" s="4">
        <v>3</v>
      </c>
      <c r="BF228" t="s">
        <v>111</v>
      </c>
      <c r="BG228" s="1" t="e">
        <v>#NULL!</v>
      </c>
      <c r="BH228" s="4">
        <v>1</v>
      </c>
      <c r="BI228" t="s">
        <v>83</v>
      </c>
      <c r="BJ228" s="4">
        <v>3</v>
      </c>
      <c r="BK228" t="s">
        <v>112</v>
      </c>
    </row>
    <row r="229" spans="1:63" x14ac:dyDescent="0.35">
      <c r="A229" s="4">
        <v>225</v>
      </c>
      <c r="B229" s="4">
        <v>38</v>
      </c>
      <c r="C229" t="s">
        <v>119</v>
      </c>
      <c r="D229" t="s">
        <v>64</v>
      </c>
      <c r="E229" t="s">
        <v>104</v>
      </c>
      <c r="F229" t="s">
        <v>90</v>
      </c>
      <c r="G229" t="s">
        <v>67</v>
      </c>
      <c r="H229" s="2">
        <v>400</v>
      </c>
      <c r="I229" t="s">
        <v>68</v>
      </c>
      <c r="J229" t="s">
        <v>69</v>
      </c>
      <c r="K229" t="s">
        <v>69</v>
      </c>
      <c r="L229" t="s">
        <v>69</v>
      </c>
      <c r="M229" s="4">
        <v>2</v>
      </c>
      <c r="N229" t="s">
        <v>71</v>
      </c>
      <c r="O229" s="4">
        <v>4</v>
      </c>
      <c r="P229" t="s">
        <v>91</v>
      </c>
      <c r="Q229" s="4">
        <v>4</v>
      </c>
      <c r="R229" t="s">
        <v>91</v>
      </c>
      <c r="S229" s="4">
        <v>4</v>
      </c>
      <c r="T229" t="s">
        <v>91</v>
      </c>
      <c r="U229" t="s">
        <v>92</v>
      </c>
      <c r="V229" t="s">
        <v>93</v>
      </c>
      <c r="W229" t="s">
        <v>93</v>
      </c>
      <c r="X229" t="s">
        <v>94</v>
      </c>
      <c r="Y229" t="s">
        <v>70</v>
      </c>
      <c r="Z229" s="4">
        <v>4</v>
      </c>
      <c r="AA229" t="s">
        <v>77</v>
      </c>
      <c r="AB229" s="4">
        <v>110</v>
      </c>
      <c r="AC229" s="4">
        <v>78</v>
      </c>
      <c r="AD229" s="4">
        <v>76</v>
      </c>
      <c r="AE229" s="4">
        <v>176</v>
      </c>
      <c r="AF229" s="4">
        <v>88</v>
      </c>
      <c r="AG229" s="4">
        <v>96</v>
      </c>
      <c r="AH229" s="4">
        <v>99</v>
      </c>
      <c r="AI229" s="4">
        <v>112</v>
      </c>
      <c r="AJ229" s="4">
        <v>35</v>
      </c>
      <c r="AK229" t="s">
        <v>78</v>
      </c>
      <c r="AL229" t="s">
        <v>95</v>
      </c>
      <c r="AM229" t="s">
        <v>80</v>
      </c>
      <c r="AN229" t="s">
        <v>96</v>
      </c>
      <c r="AO229" t="s">
        <v>97</v>
      </c>
      <c r="AP229" t="s">
        <v>83</v>
      </c>
      <c r="AQ229" t="s">
        <v>83</v>
      </c>
      <c r="AR229" t="s">
        <v>83</v>
      </c>
      <c r="AS229" t="s">
        <v>84</v>
      </c>
      <c r="AT229" t="s">
        <v>85</v>
      </c>
      <c r="AU229" t="s">
        <v>83</v>
      </c>
      <c r="AV229" t="s">
        <v>85</v>
      </c>
      <c r="AW229" s="4">
        <v>1</v>
      </c>
      <c r="AX229" s="4">
        <v>0</v>
      </c>
      <c r="AY229" s="4">
        <v>0</v>
      </c>
      <c r="AZ229" s="3">
        <v>1.76</v>
      </c>
      <c r="BA229" s="3">
        <v>3.0975999999999999</v>
      </c>
      <c r="BB229" s="3">
        <v>24.535123966942148</v>
      </c>
      <c r="BC229" t="s">
        <v>85</v>
      </c>
      <c r="BD229" t="s">
        <v>86</v>
      </c>
      <c r="BE229" s="4">
        <v>1</v>
      </c>
      <c r="BF229" t="s">
        <v>87</v>
      </c>
      <c r="BG229" s="4">
        <v>0</v>
      </c>
      <c r="BH229" s="1" t="e">
        <v>#NULL!</v>
      </c>
      <c r="BI229" t="s">
        <v>85</v>
      </c>
      <c r="BJ229" s="4">
        <v>1</v>
      </c>
      <c r="BK229" t="s">
        <v>88</v>
      </c>
    </row>
    <row r="230" spans="1:63" x14ac:dyDescent="0.35">
      <c r="A230" s="4">
        <v>233</v>
      </c>
      <c r="B230" s="4">
        <v>38</v>
      </c>
      <c r="C230" t="s">
        <v>119</v>
      </c>
      <c r="D230" t="s">
        <v>64</v>
      </c>
      <c r="E230" t="s">
        <v>104</v>
      </c>
      <c r="F230" t="s">
        <v>101</v>
      </c>
      <c r="G230" t="s">
        <v>67</v>
      </c>
      <c r="H230" s="2">
        <v>600</v>
      </c>
      <c r="I230" t="s">
        <v>105</v>
      </c>
      <c r="J230" t="s">
        <v>69</v>
      </c>
      <c r="K230" t="s">
        <v>69</v>
      </c>
      <c r="L230" t="s">
        <v>69</v>
      </c>
      <c r="M230" s="4">
        <v>5</v>
      </c>
      <c r="N230" t="s">
        <v>72</v>
      </c>
      <c r="O230" s="4">
        <v>2</v>
      </c>
      <c r="P230" t="s">
        <v>71</v>
      </c>
      <c r="Q230" s="4">
        <v>5</v>
      </c>
      <c r="R230" t="s">
        <v>72</v>
      </c>
      <c r="S230" s="4">
        <v>1</v>
      </c>
      <c r="T230" t="s">
        <v>71</v>
      </c>
      <c r="U230" t="s">
        <v>92</v>
      </c>
      <c r="V230" t="s">
        <v>93</v>
      </c>
      <c r="W230" t="s">
        <v>74</v>
      </c>
      <c r="X230" t="s">
        <v>76</v>
      </c>
      <c r="Y230" t="s">
        <v>69</v>
      </c>
      <c r="Z230" s="4">
        <v>4</v>
      </c>
      <c r="AA230" t="s">
        <v>77</v>
      </c>
      <c r="AB230" s="4">
        <v>118</v>
      </c>
      <c r="AC230" s="4">
        <v>78</v>
      </c>
      <c r="AD230" s="4">
        <v>84</v>
      </c>
      <c r="AE230" s="4">
        <v>176</v>
      </c>
      <c r="AF230" s="4">
        <v>90</v>
      </c>
      <c r="AG230" s="4">
        <v>98</v>
      </c>
      <c r="AH230" s="4">
        <v>96</v>
      </c>
      <c r="AI230" s="4">
        <v>122</v>
      </c>
      <c r="AJ230" s="4">
        <v>62</v>
      </c>
      <c r="AK230" t="s">
        <v>78</v>
      </c>
      <c r="AL230" t="s">
        <v>95</v>
      </c>
      <c r="AM230" t="s">
        <v>80</v>
      </c>
      <c r="AN230" t="s">
        <v>96</v>
      </c>
      <c r="AO230" t="s">
        <v>97</v>
      </c>
      <c r="AP230" t="s">
        <v>85</v>
      </c>
      <c r="AQ230" t="s">
        <v>85</v>
      </c>
      <c r="AR230" t="s">
        <v>85</v>
      </c>
      <c r="AS230" t="s">
        <v>84</v>
      </c>
      <c r="AT230" t="s">
        <v>85</v>
      </c>
      <c r="AU230" t="s">
        <v>83</v>
      </c>
      <c r="AV230" t="s">
        <v>85</v>
      </c>
      <c r="AW230" s="4">
        <v>0</v>
      </c>
      <c r="AX230" s="4">
        <v>0</v>
      </c>
      <c r="AY230" s="4">
        <v>0</v>
      </c>
      <c r="AZ230" s="3">
        <v>1.76</v>
      </c>
      <c r="BA230" s="3">
        <v>3.0975999999999999</v>
      </c>
      <c r="BB230" s="3">
        <v>27.117768595041323</v>
      </c>
      <c r="BC230" t="s">
        <v>98</v>
      </c>
      <c r="BD230" t="s">
        <v>99</v>
      </c>
      <c r="BE230" s="4">
        <v>0</v>
      </c>
      <c r="BF230" t="s">
        <v>87</v>
      </c>
      <c r="BG230" s="4">
        <v>0</v>
      </c>
      <c r="BH230" s="1" t="e">
        <v>#NULL!</v>
      </c>
      <c r="BI230" t="s">
        <v>85</v>
      </c>
      <c r="BJ230" s="4">
        <v>0</v>
      </c>
      <c r="BK230" t="s">
        <v>88</v>
      </c>
    </row>
    <row r="231" spans="1:63" x14ac:dyDescent="0.35">
      <c r="A231" s="4">
        <v>262</v>
      </c>
      <c r="B231" s="4">
        <v>38</v>
      </c>
      <c r="C231" t="s">
        <v>119</v>
      </c>
      <c r="D231" t="s">
        <v>89</v>
      </c>
      <c r="E231" t="s">
        <v>104</v>
      </c>
      <c r="F231" t="s">
        <v>90</v>
      </c>
      <c r="G231" t="s">
        <v>67</v>
      </c>
      <c r="H231" s="2">
        <v>250</v>
      </c>
      <c r="I231" t="s">
        <v>68</v>
      </c>
      <c r="J231" t="s">
        <v>69</v>
      </c>
      <c r="K231" t="s">
        <v>69</v>
      </c>
      <c r="L231" t="s">
        <v>69</v>
      </c>
      <c r="M231" s="4">
        <v>2</v>
      </c>
      <c r="N231" t="s">
        <v>71</v>
      </c>
      <c r="O231" s="4">
        <v>2</v>
      </c>
      <c r="P231" t="s">
        <v>71</v>
      </c>
      <c r="Q231" s="4">
        <v>2</v>
      </c>
      <c r="R231" t="s">
        <v>71</v>
      </c>
      <c r="S231" s="4">
        <v>3</v>
      </c>
      <c r="T231" t="s">
        <v>91</v>
      </c>
      <c r="U231" t="s">
        <v>103</v>
      </c>
      <c r="V231" t="s">
        <v>93</v>
      </c>
      <c r="W231" t="s">
        <v>93</v>
      </c>
      <c r="X231" t="s">
        <v>94</v>
      </c>
      <c r="Y231" t="s">
        <v>69</v>
      </c>
      <c r="Z231" s="4">
        <v>3</v>
      </c>
      <c r="AA231" t="s">
        <v>77</v>
      </c>
      <c r="AB231" s="4">
        <v>178</v>
      </c>
      <c r="AC231" s="4">
        <v>93</v>
      </c>
      <c r="AD231" s="4">
        <v>56</v>
      </c>
      <c r="AE231" s="4">
        <v>161</v>
      </c>
      <c r="AF231" s="4">
        <v>95</v>
      </c>
      <c r="AG231" s="4">
        <v>91</v>
      </c>
      <c r="AH231" s="4">
        <v>319</v>
      </c>
      <c r="AI231" s="4">
        <v>82</v>
      </c>
      <c r="AJ231" s="4">
        <v>51</v>
      </c>
      <c r="AK231" t="s">
        <v>78</v>
      </c>
      <c r="AL231" t="s">
        <v>79</v>
      </c>
      <c r="AM231" t="s">
        <v>108</v>
      </c>
      <c r="AN231" t="s">
        <v>109</v>
      </c>
      <c r="AO231" t="s">
        <v>82</v>
      </c>
      <c r="AP231" t="s">
        <v>85</v>
      </c>
      <c r="AQ231" t="s">
        <v>85</v>
      </c>
      <c r="AR231" t="s">
        <v>85</v>
      </c>
      <c r="AS231" t="s">
        <v>102</v>
      </c>
      <c r="AT231" t="s">
        <v>83</v>
      </c>
      <c r="AU231" t="s">
        <v>83</v>
      </c>
      <c r="AV231" t="s">
        <v>83</v>
      </c>
      <c r="AW231" s="4">
        <v>2</v>
      </c>
      <c r="AX231" s="4">
        <v>1</v>
      </c>
      <c r="AY231" s="4">
        <v>2</v>
      </c>
      <c r="AZ231" s="3">
        <v>1.61</v>
      </c>
      <c r="BA231" s="3">
        <v>2.5921000000000003</v>
      </c>
      <c r="BB231" s="3">
        <v>21.60410477990818</v>
      </c>
      <c r="BC231" t="s">
        <v>85</v>
      </c>
      <c r="BD231" t="s">
        <v>86</v>
      </c>
      <c r="BE231" s="4">
        <v>3</v>
      </c>
      <c r="BF231" t="s">
        <v>111</v>
      </c>
      <c r="BG231" s="1" t="e">
        <v>#NULL!</v>
      </c>
      <c r="BH231" s="4">
        <v>1</v>
      </c>
      <c r="BI231" t="s">
        <v>83</v>
      </c>
      <c r="BJ231" s="4">
        <v>3</v>
      </c>
      <c r="BK231" t="s">
        <v>112</v>
      </c>
    </row>
    <row r="232" spans="1:63" x14ac:dyDescent="0.35">
      <c r="A232" s="4">
        <v>309</v>
      </c>
      <c r="B232" s="4">
        <v>38</v>
      </c>
      <c r="C232" t="s">
        <v>119</v>
      </c>
      <c r="D232" t="s">
        <v>89</v>
      </c>
      <c r="E232" t="s">
        <v>104</v>
      </c>
      <c r="F232" t="s">
        <v>66</v>
      </c>
      <c r="G232" t="s">
        <v>67</v>
      </c>
      <c r="H232" s="2">
        <v>450</v>
      </c>
      <c r="I232" t="s">
        <v>68</v>
      </c>
      <c r="J232" t="s">
        <v>69</v>
      </c>
      <c r="K232" t="s">
        <v>69</v>
      </c>
      <c r="L232" t="s">
        <v>69</v>
      </c>
      <c r="M232" s="4">
        <v>3</v>
      </c>
      <c r="N232" t="s">
        <v>91</v>
      </c>
      <c r="O232" s="4">
        <v>4</v>
      </c>
      <c r="P232" t="s">
        <v>91</v>
      </c>
      <c r="Q232" s="4">
        <v>3</v>
      </c>
      <c r="R232" t="s">
        <v>91</v>
      </c>
      <c r="S232" s="4">
        <v>3</v>
      </c>
      <c r="T232" t="s">
        <v>91</v>
      </c>
      <c r="U232" t="s">
        <v>92</v>
      </c>
      <c r="V232" t="s">
        <v>93</v>
      </c>
      <c r="W232" t="s">
        <v>93</v>
      </c>
      <c r="X232" t="s">
        <v>94</v>
      </c>
      <c r="Y232" t="s">
        <v>69</v>
      </c>
      <c r="Z232" s="4">
        <v>8</v>
      </c>
      <c r="AA232" t="s">
        <v>117</v>
      </c>
      <c r="AB232" s="4">
        <v>110</v>
      </c>
      <c r="AC232" s="4">
        <v>62</v>
      </c>
      <c r="AD232" s="4">
        <v>83</v>
      </c>
      <c r="AE232" s="4">
        <v>173</v>
      </c>
      <c r="AF232" s="4">
        <v>97</v>
      </c>
      <c r="AG232" s="4">
        <v>115</v>
      </c>
      <c r="AH232" s="4">
        <v>111</v>
      </c>
      <c r="AI232" s="4">
        <v>119</v>
      </c>
      <c r="AJ232" s="4">
        <v>51</v>
      </c>
      <c r="AK232" t="s">
        <v>78</v>
      </c>
      <c r="AL232" t="s">
        <v>95</v>
      </c>
      <c r="AM232" t="s">
        <v>80</v>
      </c>
      <c r="AN232" t="s">
        <v>96</v>
      </c>
      <c r="AO232" t="s">
        <v>97</v>
      </c>
      <c r="AP232" t="s">
        <v>85</v>
      </c>
      <c r="AQ232" t="s">
        <v>85</v>
      </c>
      <c r="AR232" t="s">
        <v>85</v>
      </c>
      <c r="AS232" t="s">
        <v>102</v>
      </c>
      <c r="AT232" t="s">
        <v>83</v>
      </c>
      <c r="AU232" t="s">
        <v>83</v>
      </c>
      <c r="AV232" t="s">
        <v>83</v>
      </c>
      <c r="AW232" s="4">
        <v>1</v>
      </c>
      <c r="AX232" s="4">
        <v>0</v>
      </c>
      <c r="AY232" s="4">
        <v>1</v>
      </c>
      <c r="AZ232" s="3">
        <v>1.73</v>
      </c>
      <c r="BA232" s="3">
        <v>2.9929000000000001</v>
      </c>
      <c r="BB232" s="3">
        <v>27.732299776136855</v>
      </c>
      <c r="BC232" t="s">
        <v>98</v>
      </c>
      <c r="BD232" t="s">
        <v>99</v>
      </c>
      <c r="BE232" s="4">
        <v>2</v>
      </c>
      <c r="BF232" t="s">
        <v>87</v>
      </c>
      <c r="BG232" s="1" t="e">
        <v>#NULL!</v>
      </c>
      <c r="BH232" s="4">
        <v>1</v>
      </c>
      <c r="BI232" t="s">
        <v>83</v>
      </c>
      <c r="BJ232" s="4">
        <v>2</v>
      </c>
      <c r="BK232" t="s">
        <v>88</v>
      </c>
    </row>
    <row r="233" spans="1:63" x14ac:dyDescent="0.35">
      <c r="A233" s="4">
        <v>357</v>
      </c>
      <c r="B233" s="4">
        <v>38</v>
      </c>
      <c r="C233" t="s">
        <v>119</v>
      </c>
      <c r="D233" t="s">
        <v>89</v>
      </c>
      <c r="E233" t="s">
        <v>65</v>
      </c>
      <c r="F233" t="s">
        <v>90</v>
      </c>
      <c r="G233" t="s">
        <v>67</v>
      </c>
      <c r="H233" s="2">
        <v>450</v>
      </c>
      <c r="I233" t="s">
        <v>68</v>
      </c>
      <c r="J233" t="s">
        <v>69</v>
      </c>
      <c r="K233" t="s">
        <v>69</v>
      </c>
      <c r="L233" t="s">
        <v>69</v>
      </c>
      <c r="M233" s="4">
        <v>3</v>
      </c>
      <c r="N233" t="s">
        <v>91</v>
      </c>
      <c r="O233" s="4">
        <v>4</v>
      </c>
      <c r="P233" t="s">
        <v>91</v>
      </c>
      <c r="Q233" s="4">
        <v>4</v>
      </c>
      <c r="R233" t="s">
        <v>91</v>
      </c>
      <c r="S233" s="4">
        <v>1</v>
      </c>
      <c r="T233" t="s">
        <v>71</v>
      </c>
      <c r="U233" t="s">
        <v>92</v>
      </c>
      <c r="V233" t="s">
        <v>93</v>
      </c>
      <c r="W233" t="s">
        <v>93</v>
      </c>
      <c r="X233" t="s">
        <v>94</v>
      </c>
      <c r="Y233" t="s">
        <v>69</v>
      </c>
      <c r="Z233" s="4">
        <v>1</v>
      </c>
      <c r="AA233" t="s">
        <v>77</v>
      </c>
      <c r="AB233" s="4">
        <v>146</v>
      </c>
      <c r="AC233" s="4">
        <v>75</v>
      </c>
      <c r="AD233" s="4">
        <v>88</v>
      </c>
      <c r="AE233" s="4">
        <v>170</v>
      </c>
      <c r="AF233" s="4">
        <v>100</v>
      </c>
      <c r="AG233" s="4">
        <v>117</v>
      </c>
      <c r="AH233" s="4">
        <v>95</v>
      </c>
      <c r="AI233" s="4">
        <v>56</v>
      </c>
      <c r="AJ233" s="4">
        <v>38</v>
      </c>
      <c r="AK233" t="s">
        <v>78</v>
      </c>
      <c r="AL233" t="s">
        <v>79</v>
      </c>
      <c r="AM233" t="s">
        <v>80</v>
      </c>
      <c r="AN233" t="s">
        <v>81</v>
      </c>
      <c r="AO233" t="s">
        <v>82</v>
      </c>
      <c r="AP233" t="s">
        <v>83</v>
      </c>
      <c r="AQ233" t="s">
        <v>83</v>
      </c>
      <c r="AR233" t="s">
        <v>83</v>
      </c>
      <c r="AS233" t="s">
        <v>84</v>
      </c>
      <c r="AT233" t="s">
        <v>83</v>
      </c>
      <c r="AU233" t="s">
        <v>83</v>
      </c>
      <c r="AV233" t="s">
        <v>83</v>
      </c>
      <c r="AW233" s="4">
        <v>2</v>
      </c>
      <c r="AX233" s="4">
        <v>1</v>
      </c>
      <c r="AY233" s="4">
        <v>2</v>
      </c>
      <c r="AZ233" s="3">
        <v>1.7</v>
      </c>
      <c r="BA233" s="3">
        <v>2.8899999999999997</v>
      </c>
      <c r="BB233" s="3">
        <v>30.449826989619382</v>
      </c>
      <c r="BC233" t="s">
        <v>110</v>
      </c>
      <c r="BD233" t="s">
        <v>99</v>
      </c>
      <c r="BE233" s="4">
        <v>3</v>
      </c>
      <c r="BF233" t="s">
        <v>111</v>
      </c>
      <c r="BG233" s="1" t="e">
        <v>#NULL!</v>
      </c>
      <c r="BH233" s="4">
        <v>1</v>
      </c>
      <c r="BI233" t="s">
        <v>83</v>
      </c>
      <c r="BJ233" s="4">
        <v>3</v>
      </c>
      <c r="BK233" t="s">
        <v>112</v>
      </c>
    </row>
    <row r="234" spans="1:63" x14ac:dyDescent="0.35">
      <c r="A234" s="4">
        <v>431</v>
      </c>
      <c r="B234" s="4">
        <v>38</v>
      </c>
      <c r="C234" t="s">
        <v>119</v>
      </c>
      <c r="D234" t="s">
        <v>64</v>
      </c>
      <c r="E234" t="s">
        <v>104</v>
      </c>
      <c r="F234" t="s">
        <v>90</v>
      </c>
      <c r="G234" t="s">
        <v>67</v>
      </c>
      <c r="H234" s="2">
        <v>200</v>
      </c>
      <c r="I234" t="s">
        <v>68</v>
      </c>
      <c r="J234" t="s">
        <v>69</v>
      </c>
      <c r="K234" t="s">
        <v>69</v>
      </c>
      <c r="L234" t="s">
        <v>69</v>
      </c>
      <c r="M234" s="4">
        <v>2</v>
      </c>
      <c r="N234" t="s">
        <v>71</v>
      </c>
      <c r="O234" s="4">
        <v>2</v>
      </c>
      <c r="P234" t="s">
        <v>71</v>
      </c>
      <c r="Q234" s="4">
        <v>1</v>
      </c>
      <c r="R234" t="s">
        <v>71</v>
      </c>
      <c r="S234" s="4">
        <v>1</v>
      </c>
      <c r="T234" t="s">
        <v>71</v>
      </c>
      <c r="U234" t="s">
        <v>92</v>
      </c>
      <c r="V234" t="s">
        <v>75</v>
      </c>
      <c r="W234" t="s">
        <v>93</v>
      </c>
      <c r="X234" t="s">
        <v>94</v>
      </c>
      <c r="Y234" t="s">
        <v>69</v>
      </c>
      <c r="Z234" s="4">
        <v>4</v>
      </c>
      <c r="AA234" t="s">
        <v>77</v>
      </c>
      <c r="AB234" s="4">
        <v>112</v>
      </c>
      <c r="AC234" s="4">
        <v>78</v>
      </c>
      <c r="AD234" s="4">
        <v>58</v>
      </c>
      <c r="AE234" s="4">
        <v>180</v>
      </c>
      <c r="AF234" s="4">
        <v>78</v>
      </c>
      <c r="AG234" s="4">
        <v>89</v>
      </c>
      <c r="AH234" s="4">
        <v>82</v>
      </c>
      <c r="AI234" s="4">
        <v>102</v>
      </c>
      <c r="AJ234" s="4">
        <v>38</v>
      </c>
      <c r="AK234" t="s">
        <v>78</v>
      </c>
      <c r="AL234" t="s">
        <v>95</v>
      </c>
      <c r="AM234" t="s">
        <v>80</v>
      </c>
      <c r="AN234" t="s">
        <v>96</v>
      </c>
      <c r="AO234" t="s">
        <v>97</v>
      </c>
      <c r="AP234" t="s">
        <v>83</v>
      </c>
      <c r="AQ234" t="s">
        <v>83</v>
      </c>
      <c r="AR234" t="s">
        <v>83</v>
      </c>
      <c r="AS234" t="s">
        <v>84</v>
      </c>
      <c r="AT234" t="s">
        <v>85</v>
      </c>
      <c r="AU234" t="s">
        <v>85</v>
      </c>
      <c r="AV234" t="s">
        <v>85</v>
      </c>
      <c r="AW234" s="4">
        <v>1</v>
      </c>
      <c r="AX234" s="4">
        <v>0</v>
      </c>
      <c r="AY234" s="4">
        <v>0</v>
      </c>
      <c r="AZ234" s="3">
        <v>1.8</v>
      </c>
      <c r="BA234" s="3">
        <v>3.24</v>
      </c>
      <c r="BB234" s="3">
        <v>17.901234567901234</v>
      </c>
      <c r="BC234" t="s">
        <v>100</v>
      </c>
      <c r="BD234" t="s">
        <v>86</v>
      </c>
      <c r="BE234" s="4">
        <v>1</v>
      </c>
      <c r="BF234" t="s">
        <v>87</v>
      </c>
      <c r="BG234" s="4">
        <v>0</v>
      </c>
      <c r="BH234" s="1" t="e">
        <v>#NULL!</v>
      </c>
      <c r="BI234" t="s">
        <v>85</v>
      </c>
      <c r="BJ234" s="4">
        <v>1</v>
      </c>
      <c r="BK234" t="s">
        <v>88</v>
      </c>
    </row>
    <row r="235" spans="1:63" x14ac:dyDescent="0.35">
      <c r="A235" s="4">
        <v>460</v>
      </c>
      <c r="B235" s="4">
        <v>38</v>
      </c>
      <c r="C235" t="s">
        <v>119</v>
      </c>
      <c r="D235" t="s">
        <v>64</v>
      </c>
      <c r="E235" t="s">
        <v>104</v>
      </c>
      <c r="F235" t="s">
        <v>101</v>
      </c>
      <c r="G235" t="s">
        <v>67</v>
      </c>
      <c r="H235" s="2">
        <v>800</v>
      </c>
      <c r="I235" t="s">
        <v>105</v>
      </c>
      <c r="J235" t="s">
        <v>69</v>
      </c>
      <c r="K235" t="s">
        <v>70</v>
      </c>
      <c r="L235" t="s">
        <v>69</v>
      </c>
      <c r="M235" s="4">
        <v>4</v>
      </c>
      <c r="N235" t="s">
        <v>91</v>
      </c>
      <c r="O235" s="4">
        <v>4</v>
      </c>
      <c r="P235" t="s">
        <v>91</v>
      </c>
      <c r="Q235" s="4">
        <v>4</v>
      </c>
      <c r="R235" t="s">
        <v>91</v>
      </c>
      <c r="S235" s="4">
        <v>4</v>
      </c>
      <c r="T235" t="s">
        <v>91</v>
      </c>
      <c r="U235" t="s">
        <v>73</v>
      </c>
      <c r="V235" t="s">
        <v>93</v>
      </c>
      <c r="W235" t="s">
        <v>93</v>
      </c>
      <c r="X235" t="s">
        <v>94</v>
      </c>
      <c r="Y235" t="s">
        <v>69</v>
      </c>
      <c r="Z235" s="4">
        <v>4</v>
      </c>
      <c r="AA235" t="s">
        <v>77</v>
      </c>
      <c r="AB235" s="4">
        <v>151</v>
      </c>
      <c r="AC235" s="4">
        <v>89</v>
      </c>
      <c r="AD235" s="4">
        <v>83</v>
      </c>
      <c r="AE235" s="4">
        <v>178</v>
      </c>
      <c r="AF235" s="4">
        <v>90</v>
      </c>
      <c r="AG235" s="4">
        <v>113</v>
      </c>
      <c r="AH235" s="4">
        <v>109</v>
      </c>
      <c r="AI235" s="4">
        <v>101</v>
      </c>
      <c r="AJ235" s="4">
        <v>42</v>
      </c>
      <c r="AK235" t="s">
        <v>78</v>
      </c>
      <c r="AL235" t="s">
        <v>79</v>
      </c>
      <c r="AM235" t="s">
        <v>108</v>
      </c>
      <c r="AN235" t="s">
        <v>109</v>
      </c>
      <c r="AO235" t="s">
        <v>82</v>
      </c>
      <c r="AP235" t="s">
        <v>83</v>
      </c>
      <c r="AQ235" t="s">
        <v>85</v>
      </c>
      <c r="AR235" t="s">
        <v>85</v>
      </c>
      <c r="AS235" t="s">
        <v>102</v>
      </c>
      <c r="AT235" t="s">
        <v>85</v>
      </c>
      <c r="AU235" t="s">
        <v>83</v>
      </c>
      <c r="AV235" t="s">
        <v>85</v>
      </c>
      <c r="AW235" s="4">
        <v>2</v>
      </c>
      <c r="AX235" s="4">
        <v>1</v>
      </c>
      <c r="AY235" s="4">
        <v>1</v>
      </c>
      <c r="AZ235" s="3">
        <v>1.78</v>
      </c>
      <c r="BA235" s="3">
        <v>3.1684000000000001</v>
      </c>
      <c r="BB235" s="3">
        <v>26.196187350082059</v>
      </c>
      <c r="BC235" t="s">
        <v>98</v>
      </c>
      <c r="BD235" t="s">
        <v>99</v>
      </c>
      <c r="BE235" s="4">
        <v>2</v>
      </c>
      <c r="BF235" t="s">
        <v>87</v>
      </c>
      <c r="BG235" s="4">
        <v>0</v>
      </c>
      <c r="BH235" s="1" t="e">
        <v>#NULL!</v>
      </c>
      <c r="BI235" t="s">
        <v>85</v>
      </c>
      <c r="BJ235" s="4">
        <v>2</v>
      </c>
      <c r="BK235" t="s">
        <v>88</v>
      </c>
    </row>
    <row r="236" spans="1:63" x14ac:dyDescent="0.35">
      <c r="A236" s="4">
        <v>452</v>
      </c>
      <c r="B236" s="4">
        <v>38</v>
      </c>
      <c r="C236" t="s">
        <v>119</v>
      </c>
      <c r="D236" t="s">
        <v>64</v>
      </c>
      <c r="E236" t="s">
        <v>113</v>
      </c>
      <c r="F236" t="s">
        <v>101</v>
      </c>
      <c r="G236" t="s">
        <v>67</v>
      </c>
      <c r="H236" s="2">
        <v>800</v>
      </c>
      <c r="I236" t="s">
        <v>105</v>
      </c>
      <c r="J236" t="s">
        <v>69</v>
      </c>
      <c r="K236" t="s">
        <v>69</v>
      </c>
      <c r="L236" t="s">
        <v>69</v>
      </c>
      <c r="M236" s="4">
        <v>4</v>
      </c>
      <c r="N236" t="s">
        <v>91</v>
      </c>
      <c r="O236" s="4">
        <v>5</v>
      </c>
      <c r="P236" t="s">
        <v>72</v>
      </c>
      <c r="Q236" s="4">
        <v>4</v>
      </c>
      <c r="R236" t="s">
        <v>91</v>
      </c>
      <c r="S236" s="4">
        <v>6</v>
      </c>
      <c r="T236" t="s">
        <v>72</v>
      </c>
      <c r="U236" t="s">
        <v>92</v>
      </c>
      <c r="V236" t="s">
        <v>93</v>
      </c>
      <c r="W236" t="s">
        <v>74</v>
      </c>
      <c r="X236" t="s">
        <v>76</v>
      </c>
      <c r="Y236" t="s">
        <v>69</v>
      </c>
      <c r="Z236" s="4">
        <v>2</v>
      </c>
      <c r="AA236" t="s">
        <v>77</v>
      </c>
      <c r="AB236" s="4">
        <v>107</v>
      </c>
      <c r="AC236" s="4">
        <v>82</v>
      </c>
      <c r="AD236" s="4">
        <v>89</v>
      </c>
      <c r="AE236" s="4">
        <v>173</v>
      </c>
      <c r="AF236" s="4">
        <v>92</v>
      </c>
      <c r="AG236" s="4">
        <v>101</v>
      </c>
      <c r="AH236" s="4">
        <v>93</v>
      </c>
      <c r="AI236" s="4">
        <v>170</v>
      </c>
      <c r="AJ236" s="4">
        <v>70</v>
      </c>
      <c r="AK236" t="s">
        <v>107</v>
      </c>
      <c r="AL236" t="s">
        <v>95</v>
      </c>
      <c r="AM236" t="s">
        <v>80</v>
      </c>
      <c r="AN236" t="s">
        <v>96</v>
      </c>
      <c r="AO236" t="s">
        <v>97</v>
      </c>
      <c r="AP236" t="s">
        <v>85</v>
      </c>
      <c r="AQ236" t="s">
        <v>85</v>
      </c>
      <c r="AR236" t="s">
        <v>85</v>
      </c>
      <c r="AS236" t="s">
        <v>84</v>
      </c>
      <c r="AT236" t="s">
        <v>85</v>
      </c>
      <c r="AU236" t="s">
        <v>83</v>
      </c>
      <c r="AV236" t="s">
        <v>85</v>
      </c>
      <c r="AW236" s="4">
        <v>1</v>
      </c>
      <c r="AX236" s="4">
        <v>0</v>
      </c>
      <c r="AY236" s="4">
        <v>0</v>
      </c>
      <c r="AZ236" s="3">
        <v>1.73</v>
      </c>
      <c r="BA236" s="3">
        <v>2.9929000000000001</v>
      </c>
      <c r="BB236" s="3">
        <v>29.737044338267232</v>
      </c>
      <c r="BC236" t="s">
        <v>98</v>
      </c>
      <c r="BD236" t="s">
        <v>99</v>
      </c>
      <c r="BE236" s="4">
        <v>1</v>
      </c>
      <c r="BF236" t="s">
        <v>87</v>
      </c>
      <c r="BG236" s="4">
        <v>0</v>
      </c>
      <c r="BH236" s="1" t="e">
        <v>#NULL!</v>
      </c>
      <c r="BI236" t="s">
        <v>85</v>
      </c>
      <c r="BJ236" s="4">
        <v>1</v>
      </c>
      <c r="BK236" t="s">
        <v>88</v>
      </c>
    </row>
    <row r="237" spans="1:63" x14ac:dyDescent="0.35">
      <c r="A237" s="4">
        <v>50</v>
      </c>
      <c r="B237" s="4">
        <v>39</v>
      </c>
      <c r="C237" t="s">
        <v>119</v>
      </c>
      <c r="D237" t="s">
        <v>64</v>
      </c>
      <c r="E237" t="s">
        <v>104</v>
      </c>
      <c r="F237" t="s">
        <v>101</v>
      </c>
      <c r="G237" t="s">
        <v>67</v>
      </c>
      <c r="H237" s="2">
        <v>600</v>
      </c>
      <c r="I237" t="s">
        <v>105</v>
      </c>
      <c r="J237" t="s">
        <v>69</v>
      </c>
      <c r="K237" t="s">
        <v>70</v>
      </c>
      <c r="L237" t="s">
        <v>69</v>
      </c>
      <c r="M237" s="4">
        <v>5</v>
      </c>
      <c r="N237" t="s">
        <v>72</v>
      </c>
      <c r="O237" s="4">
        <v>5</v>
      </c>
      <c r="P237" t="s">
        <v>72</v>
      </c>
      <c r="Q237" s="4">
        <v>6</v>
      </c>
      <c r="R237" t="s">
        <v>72</v>
      </c>
      <c r="S237" s="4">
        <v>5</v>
      </c>
      <c r="T237" t="s">
        <v>72</v>
      </c>
      <c r="U237" t="s">
        <v>92</v>
      </c>
      <c r="V237" t="s">
        <v>74</v>
      </c>
      <c r="W237" t="s">
        <v>93</v>
      </c>
      <c r="X237" t="s">
        <v>94</v>
      </c>
      <c r="Y237" t="s">
        <v>69</v>
      </c>
      <c r="Z237" s="4">
        <v>3</v>
      </c>
      <c r="AA237" t="s">
        <v>77</v>
      </c>
      <c r="AB237" s="4">
        <v>122</v>
      </c>
      <c r="AC237" s="4">
        <v>81</v>
      </c>
      <c r="AD237" s="4">
        <v>85</v>
      </c>
      <c r="AE237" s="4">
        <v>178</v>
      </c>
      <c r="AF237" s="4">
        <v>84</v>
      </c>
      <c r="AG237" s="4">
        <v>106</v>
      </c>
      <c r="AH237" s="4">
        <v>118</v>
      </c>
      <c r="AI237" s="4">
        <v>89</v>
      </c>
      <c r="AJ237" s="4">
        <v>43</v>
      </c>
      <c r="AK237" t="s">
        <v>78</v>
      </c>
      <c r="AL237" t="s">
        <v>95</v>
      </c>
      <c r="AM237" t="s">
        <v>80</v>
      </c>
      <c r="AN237" t="s">
        <v>96</v>
      </c>
      <c r="AO237" t="s">
        <v>97</v>
      </c>
      <c r="AP237" t="s">
        <v>83</v>
      </c>
      <c r="AQ237" t="s">
        <v>85</v>
      </c>
      <c r="AR237" t="s">
        <v>85</v>
      </c>
      <c r="AS237" t="s">
        <v>102</v>
      </c>
      <c r="AT237" t="s">
        <v>85</v>
      </c>
      <c r="AU237" t="s">
        <v>83</v>
      </c>
      <c r="AV237" t="s">
        <v>85</v>
      </c>
      <c r="AW237" s="4">
        <v>1</v>
      </c>
      <c r="AX237" s="4">
        <v>0</v>
      </c>
      <c r="AY237" s="4">
        <v>0</v>
      </c>
      <c r="AZ237" s="3">
        <v>1.78</v>
      </c>
      <c r="BA237" s="3">
        <v>3.1684000000000001</v>
      </c>
      <c r="BB237" s="3">
        <v>26.82742078020452</v>
      </c>
      <c r="BC237" t="s">
        <v>98</v>
      </c>
      <c r="BD237" t="s">
        <v>99</v>
      </c>
      <c r="BE237" s="4">
        <v>1</v>
      </c>
      <c r="BF237" t="s">
        <v>87</v>
      </c>
      <c r="BG237" s="4">
        <v>0</v>
      </c>
      <c r="BH237" s="1" t="e">
        <v>#NULL!</v>
      </c>
      <c r="BI237" t="s">
        <v>85</v>
      </c>
      <c r="BJ237" s="4">
        <v>1</v>
      </c>
      <c r="BK237" t="s">
        <v>88</v>
      </c>
    </row>
    <row r="238" spans="1:63" x14ac:dyDescent="0.35">
      <c r="A238" s="4">
        <v>77</v>
      </c>
      <c r="B238" s="4">
        <v>39</v>
      </c>
      <c r="C238" t="s">
        <v>119</v>
      </c>
      <c r="D238" t="s">
        <v>64</v>
      </c>
      <c r="E238" t="s">
        <v>104</v>
      </c>
      <c r="F238" t="s">
        <v>90</v>
      </c>
      <c r="G238" t="s">
        <v>67</v>
      </c>
      <c r="H238" s="2">
        <v>200</v>
      </c>
      <c r="I238" t="s">
        <v>68</v>
      </c>
      <c r="J238" t="s">
        <v>69</v>
      </c>
      <c r="K238" t="s">
        <v>70</v>
      </c>
      <c r="L238" t="s">
        <v>69</v>
      </c>
      <c r="M238" s="4">
        <v>2</v>
      </c>
      <c r="N238" t="s">
        <v>71</v>
      </c>
      <c r="O238" s="4">
        <v>2</v>
      </c>
      <c r="P238" t="s">
        <v>71</v>
      </c>
      <c r="Q238" s="4">
        <v>1</v>
      </c>
      <c r="R238" t="s">
        <v>71</v>
      </c>
      <c r="S238" s="4">
        <v>1</v>
      </c>
      <c r="T238" t="s">
        <v>71</v>
      </c>
      <c r="U238" t="s">
        <v>92</v>
      </c>
      <c r="V238" t="s">
        <v>75</v>
      </c>
      <c r="W238" t="s">
        <v>93</v>
      </c>
      <c r="X238" t="s">
        <v>94</v>
      </c>
      <c r="Y238" t="s">
        <v>69</v>
      </c>
      <c r="Z238" s="4">
        <v>4</v>
      </c>
      <c r="AA238" t="s">
        <v>77</v>
      </c>
      <c r="AB238" s="4">
        <v>112</v>
      </c>
      <c r="AC238" s="4">
        <v>78</v>
      </c>
      <c r="AD238" s="4">
        <v>58</v>
      </c>
      <c r="AE238" s="4">
        <v>180</v>
      </c>
      <c r="AF238" s="4">
        <v>78</v>
      </c>
      <c r="AG238" s="4">
        <v>89</v>
      </c>
      <c r="AH238" s="4">
        <v>82</v>
      </c>
      <c r="AI238" s="4">
        <v>102</v>
      </c>
      <c r="AJ238" s="4">
        <v>38</v>
      </c>
      <c r="AK238" t="s">
        <v>78</v>
      </c>
      <c r="AL238" t="s">
        <v>95</v>
      </c>
      <c r="AM238" t="s">
        <v>80</v>
      </c>
      <c r="AN238" t="s">
        <v>96</v>
      </c>
      <c r="AO238" t="s">
        <v>97</v>
      </c>
      <c r="AP238" t="s">
        <v>83</v>
      </c>
      <c r="AQ238" t="s">
        <v>83</v>
      </c>
      <c r="AR238" t="s">
        <v>83</v>
      </c>
      <c r="AS238" t="s">
        <v>84</v>
      </c>
      <c r="AT238" t="s">
        <v>85</v>
      </c>
      <c r="AU238" t="s">
        <v>85</v>
      </c>
      <c r="AV238" t="s">
        <v>85</v>
      </c>
      <c r="AW238" s="4">
        <v>1</v>
      </c>
      <c r="AX238" s="4">
        <v>0</v>
      </c>
      <c r="AY238" s="4">
        <v>0</v>
      </c>
      <c r="AZ238" s="3">
        <v>1.8</v>
      </c>
      <c r="BA238" s="3">
        <v>3.24</v>
      </c>
      <c r="BB238" s="3">
        <v>17.901234567901234</v>
      </c>
      <c r="BC238" t="s">
        <v>100</v>
      </c>
      <c r="BD238" t="s">
        <v>86</v>
      </c>
      <c r="BE238" s="4">
        <v>1</v>
      </c>
      <c r="BF238" t="s">
        <v>87</v>
      </c>
      <c r="BG238" s="4">
        <v>0</v>
      </c>
      <c r="BH238" s="1" t="e">
        <v>#NULL!</v>
      </c>
      <c r="BI238" t="s">
        <v>85</v>
      </c>
      <c r="BJ238" s="4">
        <v>1</v>
      </c>
      <c r="BK238" t="s">
        <v>88</v>
      </c>
    </row>
    <row r="239" spans="1:63" x14ac:dyDescent="0.35">
      <c r="A239" s="4">
        <v>99</v>
      </c>
      <c r="B239" s="4">
        <v>39</v>
      </c>
      <c r="C239" t="s">
        <v>119</v>
      </c>
      <c r="D239" t="s">
        <v>64</v>
      </c>
      <c r="E239" t="s">
        <v>104</v>
      </c>
      <c r="F239" t="s">
        <v>101</v>
      </c>
      <c r="G239" t="s">
        <v>67</v>
      </c>
      <c r="H239" s="2">
        <v>800</v>
      </c>
      <c r="I239" t="s">
        <v>105</v>
      </c>
      <c r="J239" t="s">
        <v>69</v>
      </c>
      <c r="K239" t="s">
        <v>69</v>
      </c>
      <c r="L239" t="s">
        <v>69</v>
      </c>
      <c r="M239" s="4">
        <v>4</v>
      </c>
      <c r="N239" t="s">
        <v>91</v>
      </c>
      <c r="O239" s="4">
        <v>4</v>
      </c>
      <c r="P239" t="s">
        <v>91</v>
      </c>
      <c r="Q239" s="4">
        <v>4</v>
      </c>
      <c r="R239" t="s">
        <v>91</v>
      </c>
      <c r="S239" s="4">
        <v>4</v>
      </c>
      <c r="T239" t="s">
        <v>91</v>
      </c>
      <c r="U239" t="s">
        <v>73</v>
      </c>
      <c r="V239" t="s">
        <v>93</v>
      </c>
      <c r="W239" t="s">
        <v>93</v>
      </c>
      <c r="X239" t="s">
        <v>94</v>
      </c>
      <c r="Y239" t="s">
        <v>69</v>
      </c>
      <c r="Z239" s="4">
        <v>4</v>
      </c>
      <c r="AA239" t="s">
        <v>77</v>
      </c>
      <c r="AB239" s="4">
        <v>151</v>
      </c>
      <c r="AC239" s="4">
        <v>89</v>
      </c>
      <c r="AD239" s="4">
        <v>83</v>
      </c>
      <c r="AE239" s="4">
        <v>178</v>
      </c>
      <c r="AF239" s="4">
        <v>90</v>
      </c>
      <c r="AG239" s="4">
        <v>113</v>
      </c>
      <c r="AH239" s="4">
        <v>109</v>
      </c>
      <c r="AI239" s="4">
        <v>101</v>
      </c>
      <c r="AJ239" s="4">
        <v>42</v>
      </c>
      <c r="AK239" t="s">
        <v>78</v>
      </c>
      <c r="AL239" t="s">
        <v>79</v>
      </c>
      <c r="AM239" t="s">
        <v>108</v>
      </c>
      <c r="AN239" t="s">
        <v>109</v>
      </c>
      <c r="AO239" t="s">
        <v>82</v>
      </c>
      <c r="AP239" t="s">
        <v>83</v>
      </c>
      <c r="AQ239" t="s">
        <v>85</v>
      </c>
      <c r="AR239" t="s">
        <v>85</v>
      </c>
      <c r="AS239" t="s">
        <v>102</v>
      </c>
      <c r="AT239" t="s">
        <v>85</v>
      </c>
      <c r="AU239" t="s">
        <v>83</v>
      </c>
      <c r="AV239" t="s">
        <v>85</v>
      </c>
      <c r="AW239" s="4">
        <v>2</v>
      </c>
      <c r="AX239" s="4">
        <v>1</v>
      </c>
      <c r="AY239" s="4">
        <v>1</v>
      </c>
      <c r="AZ239" s="3">
        <v>1.78</v>
      </c>
      <c r="BA239" s="3">
        <v>3.1684000000000001</v>
      </c>
      <c r="BB239" s="3">
        <v>26.196187350082059</v>
      </c>
      <c r="BC239" t="s">
        <v>98</v>
      </c>
      <c r="BD239" t="s">
        <v>99</v>
      </c>
      <c r="BE239" s="4">
        <v>2</v>
      </c>
      <c r="BF239" t="s">
        <v>87</v>
      </c>
      <c r="BG239" s="4">
        <v>0</v>
      </c>
      <c r="BH239" s="1" t="e">
        <v>#NULL!</v>
      </c>
      <c r="BI239" t="s">
        <v>85</v>
      </c>
      <c r="BJ239" s="4">
        <v>2</v>
      </c>
      <c r="BK239" t="s">
        <v>88</v>
      </c>
    </row>
    <row r="240" spans="1:63" x14ac:dyDescent="0.35">
      <c r="A240" s="4">
        <v>264</v>
      </c>
      <c r="B240" s="4">
        <v>39</v>
      </c>
      <c r="C240" t="s">
        <v>119</v>
      </c>
      <c r="D240" t="s">
        <v>64</v>
      </c>
      <c r="E240" t="s">
        <v>104</v>
      </c>
      <c r="F240" t="s">
        <v>101</v>
      </c>
      <c r="G240" t="s">
        <v>67</v>
      </c>
      <c r="H240" s="2">
        <v>400</v>
      </c>
      <c r="I240" t="s">
        <v>68</v>
      </c>
      <c r="J240" t="s">
        <v>69</v>
      </c>
      <c r="K240" t="s">
        <v>70</v>
      </c>
      <c r="L240" t="s">
        <v>69</v>
      </c>
      <c r="M240" s="4">
        <v>2</v>
      </c>
      <c r="N240" t="s">
        <v>71</v>
      </c>
      <c r="O240" s="4">
        <v>2</v>
      </c>
      <c r="P240" t="s">
        <v>71</v>
      </c>
      <c r="Q240" s="4">
        <v>2</v>
      </c>
      <c r="R240" t="s">
        <v>71</v>
      </c>
      <c r="S240" s="4">
        <v>1</v>
      </c>
      <c r="T240" t="s">
        <v>71</v>
      </c>
      <c r="U240" t="s">
        <v>103</v>
      </c>
      <c r="V240" t="s">
        <v>93</v>
      </c>
      <c r="W240" t="s">
        <v>93</v>
      </c>
      <c r="X240" t="s">
        <v>94</v>
      </c>
      <c r="Y240" t="s">
        <v>69</v>
      </c>
      <c r="Z240" s="4">
        <v>3</v>
      </c>
      <c r="AA240" t="s">
        <v>77</v>
      </c>
      <c r="AB240" s="4">
        <v>137</v>
      </c>
      <c r="AC240" s="4">
        <v>90</v>
      </c>
      <c r="AD240" s="4">
        <v>60</v>
      </c>
      <c r="AE240" s="4">
        <v>175</v>
      </c>
      <c r="AF240" s="4">
        <v>74</v>
      </c>
      <c r="AG240" s="4">
        <v>96</v>
      </c>
      <c r="AH240" s="4">
        <v>76</v>
      </c>
      <c r="AI240" s="4">
        <v>53</v>
      </c>
      <c r="AJ240" s="4">
        <v>58</v>
      </c>
      <c r="AK240" t="s">
        <v>78</v>
      </c>
      <c r="AL240" t="s">
        <v>79</v>
      </c>
      <c r="AM240" t="s">
        <v>108</v>
      </c>
      <c r="AN240" t="s">
        <v>109</v>
      </c>
      <c r="AO240" t="s">
        <v>82</v>
      </c>
      <c r="AP240" t="s">
        <v>85</v>
      </c>
      <c r="AQ240" t="s">
        <v>85</v>
      </c>
      <c r="AR240" t="s">
        <v>85</v>
      </c>
      <c r="AS240" t="s">
        <v>84</v>
      </c>
      <c r="AT240" t="s">
        <v>85</v>
      </c>
      <c r="AU240" t="s">
        <v>85</v>
      </c>
      <c r="AV240" t="s">
        <v>85</v>
      </c>
      <c r="AW240" s="4">
        <v>1</v>
      </c>
      <c r="AX240" s="4">
        <v>0</v>
      </c>
      <c r="AY240" s="4">
        <v>0</v>
      </c>
      <c r="AZ240" s="3">
        <v>1.75</v>
      </c>
      <c r="BA240" s="3">
        <v>3.0625</v>
      </c>
      <c r="BB240" s="3">
        <v>19.591836734693878</v>
      </c>
      <c r="BC240" t="s">
        <v>85</v>
      </c>
      <c r="BD240" t="s">
        <v>86</v>
      </c>
      <c r="BE240" s="4">
        <v>1</v>
      </c>
      <c r="BF240" t="s">
        <v>87</v>
      </c>
      <c r="BG240" s="4">
        <v>0</v>
      </c>
      <c r="BH240" s="1" t="e">
        <v>#NULL!</v>
      </c>
      <c r="BI240" t="s">
        <v>85</v>
      </c>
      <c r="BJ240" s="4">
        <v>1</v>
      </c>
      <c r="BK240" t="s">
        <v>88</v>
      </c>
    </row>
    <row r="241" spans="1:63" x14ac:dyDescent="0.35">
      <c r="A241" s="4">
        <v>265</v>
      </c>
      <c r="B241" s="4">
        <v>39</v>
      </c>
      <c r="C241" t="s">
        <v>119</v>
      </c>
      <c r="D241" t="s">
        <v>89</v>
      </c>
      <c r="E241" t="s">
        <v>104</v>
      </c>
      <c r="F241" t="s">
        <v>90</v>
      </c>
      <c r="G241" t="s">
        <v>67</v>
      </c>
      <c r="H241" s="2">
        <v>900</v>
      </c>
      <c r="I241" t="s">
        <v>105</v>
      </c>
      <c r="J241" t="s">
        <v>69</v>
      </c>
      <c r="K241" t="s">
        <v>69</v>
      </c>
      <c r="L241" t="s">
        <v>69</v>
      </c>
      <c r="M241" s="4">
        <v>7</v>
      </c>
      <c r="N241" t="s">
        <v>72</v>
      </c>
      <c r="O241" s="4">
        <v>6</v>
      </c>
      <c r="P241" t="s">
        <v>72</v>
      </c>
      <c r="Q241" s="4">
        <v>7</v>
      </c>
      <c r="R241" t="s">
        <v>72</v>
      </c>
      <c r="S241" s="4">
        <v>7</v>
      </c>
      <c r="T241" t="s">
        <v>72</v>
      </c>
      <c r="U241" t="s">
        <v>73</v>
      </c>
      <c r="V241" t="s">
        <v>93</v>
      </c>
      <c r="W241" t="s">
        <v>93</v>
      </c>
      <c r="X241" t="s">
        <v>94</v>
      </c>
      <c r="Y241" t="s">
        <v>69</v>
      </c>
      <c r="Z241" s="4">
        <v>5</v>
      </c>
      <c r="AA241" t="s">
        <v>77</v>
      </c>
      <c r="AB241" s="4">
        <v>108</v>
      </c>
      <c r="AC241" s="4">
        <v>68</v>
      </c>
      <c r="AD241" s="4">
        <v>78</v>
      </c>
      <c r="AE241" s="4">
        <v>176</v>
      </c>
      <c r="AF241" s="4">
        <v>76</v>
      </c>
      <c r="AG241" s="4">
        <v>98</v>
      </c>
      <c r="AH241" s="4">
        <v>106</v>
      </c>
      <c r="AI241" s="4">
        <v>121</v>
      </c>
      <c r="AJ241" s="4">
        <v>69</v>
      </c>
      <c r="AK241" t="s">
        <v>78</v>
      </c>
      <c r="AL241" t="s">
        <v>95</v>
      </c>
      <c r="AM241" t="s">
        <v>80</v>
      </c>
      <c r="AN241" t="s">
        <v>96</v>
      </c>
      <c r="AO241" t="s">
        <v>97</v>
      </c>
      <c r="AP241" t="s">
        <v>85</v>
      </c>
      <c r="AQ241" t="s">
        <v>85</v>
      </c>
      <c r="AR241" t="s">
        <v>85</v>
      </c>
      <c r="AS241" t="s">
        <v>102</v>
      </c>
      <c r="AT241" t="s">
        <v>85</v>
      </c>
      <c r="AU241" t="s">
        <v>85</v>
      </c>
      <c r="AV241" t="s">
        <v>85</v>
      </c>
      <c r="AW241" s="4">
        <v>1</v>
      </c>
      <c r="AX241" s="4">
        <v>0</v>
      </c>
      <c r="AY241" s="4">
        <v>0</v>
      </c>
      <c r="AZ241" s="3">
        <v>1.76</v>
      </c>
      <c r="BA241" s="3">
        <v>3.0975999999999999</v>
      </c>
      <c r="BB241" s="3">
        <v>25.180785123966942</v>
      </c>
      <c r="BC241" t="s">
        <v>98</v>
      </c>
      <c r="BD241" t="s">
        <v>99</v>
      </c>
      <c r="BE241" s="4">
        <v>1</v>
      </c>
      <c r="BF241" t="s">
        <v>87</v>
      </c>
      <c r="BG241" s="1" t="e">
        <v>#NULL!</v>
      </c>
      <c r="BH241" s="4">
        <v>0</v>
      </c>
      <c r="BI241" t="s">
        <v>85</v>
      </c>
      <c r="BJ241" s="4">
        <v>1</v>
      </c>
      <c r="BK241" t="s">
        <v>88</v>
      </c>
    </row>
    <row r="242" spans="1:63" x14ac:dyDescent="0.35">
      <c r="A242" s="4">
        <v>342</v>
      </c>
      <c r="B242" s="4">
        <v>39</v>
      </c>
      <c r="C242" t="s">
        <v>119</v>
      </c>
      <c r="D242" t="s">
        <v>89</v>
      </c>
      <c r="E242" t="s">
        <v>104</v>
      </c>
      <c r="F242" t="s">
        <v>66</v>
      </c>
      <c r="G242" t="s">
        <v>67</v>
      </c>
      <c r="H242" s="2">
        <v>800</v>
      </c>
      <c r="I242" t="s">
        <v>105</v>
      </c>
      <c r="J242" t="s">
        <v>69</v>
      </c>
      <c r="K242" t="s">
        <v>69</v>
      </c>
      <c r="L242" t="s">
        <v>69</v>
      </c>
      <c r="M242" s="4">
        <v>5</v>
      </c>
      <c r="N242" t="s">
        <v>72</v>
      </c>
      <c r="O242" s="4">
        <v>6</v>
      </c>
      <c r="P242" t="s">
        <v>72</v>
      </c>
      <c r="Q242" s="4">
        <v>5</v>
      </c>
      <c r="R242" t="s">
        <v>72</v>
      </c>
      <c r="S242" s="4">
        <v>6</v>
      </c>
      <c r="T242" t="s">
        <v>72</v>
      </c>
      <c r="U242" t="s">
        <v>73</v>
      </c>
      <c r="V242" t="s">
        <v>93</v>
      </c>
      <c r="W242" t="s">
        <v>74</v>
      </c>
      <c r="X242" t="s">
        <v>76</v>
      </c>
      <c r="Y242" t="s">
        <v>69</v>
      </c>
      <c r="Z242" s="4">
        <v>2</v>
      </c>
      <c r="AA242" t="s">
        <v>77</v>
      </c>
      <c r="AB242" s="4">
        <v>104</v>
      </c>
      <c r="AC242" s="4">
        <v>70</v>
      </c>
      <c r="AD242" s="4">
        <v>105</v>
      </c>
      <c r="AE242" s="4">
        <v>173</v>
      </c>
      <c r="AF242" s="4">
        <v>117</v>
      </c>
      <c r="AG242" s="4">
        <v>130</v>
      </c>
      <c r="AH242" s="4">
        <v>110</v>
      </c>
      <c r="AI242" s="4">
        <v>81</v>
      </c>
      <c r="AJ242" s="4">
        <v>39</v>
      </c>
      <c r="AK242" t="s">
        <v>78</v>
      </c>
      <c r="AL242" t="s">
        <v>95</v>
      </c>
      <c r="AM242" t="s">
        <v>80</v>
      </c>
      <c r="AN242" t="s">
        <v>96</v>
      </c>
      <c r="AO242" t="s">
        <v>97</v>
      </c>
      <c r="AP242" t="s">
        <v>83</v>
      </c>
      <c r="AQ242" t="s">
        <v>83</v>
      </c>
      <c r="AR242" t="s">
        <v>83</v>
      </c>
      <c r="AS242" t="s">
        <v>102</v>
      </c>
      <c r="AT242" t="s">
        <v>83</v>
      </c>
      <c r="AU242" t="s">
        <v>83</v>
      </c>
      <c r="AV242" t="s">
        <v>83</v>
      </c>
      <c r="AW242" s="4">
        <v>2</v>
      </c>
      <c r="AX242" s="4">
        <v>1</v>
      </c>
      <c r="AY242" s="4">
        <v>2</v>
      </c>
      <c r="AZ242" s="3">
        <v>1.73</v>
      </c>
      <c r="BA242" s="3">
        <v>2.9929000000000001</v>
      </c>
      <c r="BB242" s="3">
        <v>35.083029837281565</v>
      </c>
      <c r="BC242" t="s">
        <v>110</v>
      </c>
      <c r="BD242" t="s">
        <v>99</v>
      </c>
      <c r="BE242" s="4">
        <v>3</v>
      </c>
      <c r="BF242" t="s">
        <v>111</v>
      </c>
      <c r="BG242" s="1" t="e">
        <v>#NULL!</v>
      </c>
      <c r="BH242" s="4">
        <v>1</v>
      </c>
      <c r="BI242" t="s">
        <v>83</v>
      </c>
      <c r="BJ242" s="4">
        <v>3</v>
      </c>
      <c r="BK242" t="s">
        <v>112</v>
      </c>
    </row>
    <row r="243" spans="1:63" x14ac:dyDescent="0.35">
      <c r="A243" s="4">
        <v>347</v>
      </c>
      <c r="B243" s="4">
        <v>39</v>
      </c>
      <c r="C243" t="s">
        <v>119</v>
      </c>
      <c r="D243" t="s">
        <v>64</v>
      </c>
      <c r="E243" t="s">
        <v>104</v>
      </c>
      <c r="F243" t="s">
        <v>101</v>
      </c>
      <c r="G243" t="s">
        <v>67</v>
      </c>
      <c r="H243" s="2">
        <v>600</v>
      </c>
      <c r="I243" t="s">
        <v>105</v>
      </c>
      <c r="J243" t="s">
        <v>69</v>
      </c>
      <c r="K243" t="s">
        <v>70</v>
      </c>
      <c r="L243" t="s">
        <v>69</v>
      </c>
      <c r="M243" s="4">
        <v>5</v>
      </c>
      <c r="N243" t="s">
        <v>72</v>
      </c>
      <c r="O243" s="4">
        <v>2</v>
      </c>
      <c r="P243" t="s">
        <v>71</v>
      </c>
      <c r="Q243" s="4">
        <v>5</v>
      </c>
      <c r="R243" t="s">
        <v>72</v>
      </c>
      <c r="S243" s="4">
        <v>1</v>
      </c>
      <c r="T243" t="s">
        <v>71</v>
      </c>
      <c r="U243" t="s">
        <v>92</v>
      </c>
      <c r="V243" t="s">
        <v>93</v>
      </c>
      <c r="W243" t="s">
        <v>74</v>
      </c>
      <c r="X243" t="s">
        <v>76</v>
      </c>
      <c r="Y243" t="s">
        <v>69</v>
      </c>
      <c r="Z243" s="4">
        <v>4</v>
      </c>
      <c r="AA243" t="s">
        <v>77</v>
      </c>
      <c r="AB243" s="4">
        <v>118</v>
      </c>
      <c r="AC243" s="4">
        <v>78</v>
      </c>
      <c r="AD243" s="4">
        <v>84</v>
      </c>
      <c r="AE243" s="4">
        <v>176</v>
      </c>
      <c r="AF243" s="4">
        <v>90</v>
      </c>
      <c r="AG243" s="4">
        <v>98</v>
      </c>
      <c r="AH243" s="4">
        <v>96</v>
      </c>
      <c r="AI243" s="4">
        <v>122</v>
      </c>
      <c r="AJ243" s="4">
        <v>62</v>
      </c>
      <c r="AK243" t="s">
        <v>78</v>
      </c>
      <c r="AL243" t="s">
        <v>95</v>
      </c>
      <c r="AM243" t="s">
        <v>80</v>
      </c>
      <c r="AN243" t="s">
        <v>96</v>
      </c>
      <c r="AO243" t="s">
        <v>97</v>
      </c>
      <c r="AP243" t="s">
        <v>85</v>
      </c>
      <c r="AQ243" t="s">
        <v>85</v>
      </c>
      <c r="AR243" t="s">
        <v>85</v>
      </c>
      <c r="AS243" t="s">
        <v>84</v>
      </c>
      <c r="AT243" t="s">
        <v>85</v>
      </c>
      <c r="AU243" t="s">
        <v>83</v>
      </c>
      <c r="AV243" t="s">
        <v>85</v>
      </c>
      <c r="AW243" s="4">
        <v>0</v>
      </c>
      <c r="AX243" s="4">
        <v>0</v>
      </c>
      <c r="AY243" s="4">
        <v>0</v>
      </c>
      <c r="AZ243" s="3">
        <v>1.76</v>
      </c>
      <c r="BA243" s="3">
        <v>3.0975999999999999</v>
      </c>
      <c r="BB243" s="3">
        <v>27.117768595041323</v>
      </c>
      <c r="BC243" t="s">
        <v>98</v>
      </c>
      <c r="BD243" t="s">
        <v>99</v>
      </c>
      <c r="BE243" s="4">
        <v>0</v>
      </c>
      <c r="BF243" t="s">
        <v>87</v>
      </c>
      <c r="BG243" s="4">
        <v>0</v>
      </c>
      <c r="BH243" s="1" t="e">
        <v>#NULL!</v>
      </c>
      <c r="BI243" t="s">
        <v>85</v>
      </c>
      <c r="BJ243" s="4">
        <v>0</v>
      </c>
      <c r="BK243" t="s">
        <v>88</v>
      </c>
    </row>
    <row r="244" spans="1:63" x14ac:dyDescent="0.35">
      <c r="A244" s="4">
        <v>382</v>
      </c>
      <c r="B244" s="4">
        <v>39</v>
      </c>
      <c r="C244" t="s">
        <v>119</v>
      </c>
      <c r="D244" t="s">
        <v>89</v>
      </c>
      <c r="E244" t="s">
        <v>104</v>
      </c>
      <c r="F244" t="s">
        <v>115</v>
      </c>
      <c r="G244" t="s">
        <v>67</v>
      </c>
      <c r="H244" s="2">
        <v>450</v>
      </c>
      <c r="I244" t="s">
        <v>68</v>
      </c>
      <c r="J244" t="s">
        <v>69</v>
      </c>
      <c r="K244" t="s">
        <v>69</v>
      </c>
      <c r="L244" t="s">
        <v>69</v>
      </c>
      <c r="M244" s="4">
        <v>3</v>
      </c>
      <c r="N244" t="s">
        <v>91</v>
      </c>
      <c r="O244" s="4">
        <v>2</v>
      </c>
      <c r="P244" t="s">
        <v>71</v>
      </c>
      <c r="Q244" s="4">
        <v>2</v>
      </c>
      <c r="R244" t="s">
        <v>71</v>
      </c>
      <c r="S244" s="4">
        <v>1</v>
      </c>
      <c r="T244" t="s">
        <v>71</v>
      </c>
      <c r="U244" t="s">
        <v>92</v>
      </c>
      <c r="V244" t="s">
        <v>93</v>
      </c>
      <c r="W244" t="s">
        <v>93</v>
      </c>
      <c r="X244" t="s">
        <v>94</v>
      </c>
      <c r="Y244" t="s">
        <v>69</v>
      </c>
      <c r="Z244" s="4">
        <v>6</v>
      </c>
      <c r="AA244" t="s">
        <v>77</v>
      </c>
      <c r="AB244" s="4">
        <v>144</v>
      </c>
      <c r="AC244" s="4">
        <v>79</v>
      </c>
      <c r="AD244" s="4">
        <v>64</v>
      </c>
      <c r="AE244" s="4">
        <v>170</v>
      </c>
      <c r="AF244" s="4">
        <v>76</v>
      </c>
      <c r="AG244" s="4">
        <v>94</v>
      </c>
      <c r="AH244" s="4">
        <v>128</v>
      </c>
      <c r="AI244" s="4">
        <v>175</v>
      </c>
      <c r="AJ244" s="4">
        <v>38</v>
      </c>
      <c r="AK244" t="s">
        <v>107</v>
      </c>
      <c r="AL244" t="s">
        <v>79</v>
      </c>
      <c r="AM244" t="s">
        <v>80</v>
      </c>
      <c r="AN244" t="s">
        <v>81</v>
      </c>
      <c r="AO244" t="s">
        <v>82</v>
      </c>
      <c r="AP244" t="s">
        <v>83</v>
      </c>
      <c r="AQ244" t="s">
        <v>83</v>
      </c>
      <c r="AR244" t="s">
        <v>83</v>
      </c>
      <c r="AS244" t="s">
        <v>102</v>
      </c>
      <c r="AT244" t="s">
        <v>85</v>
      </c>
      <c r="AU244" t="s">
        <v>85</v>
      </c>
      <c r="AV244" t="s">
        <v>85</v>
      </c>
      <c r="AW244" s="4">
        <v>4</v>
      </c>
      <c r="AX244" s="4">
        <v>1</v>
      </c>
      <c r="AY244" s="4">
        <v>1</v>
      </c>
      <c r="AZ244" s="3">
        <v>1.7</v>
      </c>
      <c r="BA244" s="3">
        <v>2.8899999999999997</v>
      </c>
      <c r="BB244" s="3">
        <v>22.145328719723185</v>
      </c>
      <c r="BC244" t="s">
        <v>85</v>
      </c>
      <c r="BD244" t="s">
        <v>86</v>
      </c>
      <c r="BE244" s="4">
        <v>4</v>
      </c>
      <c r="BF244" t="s">
        <v>87</v>
      </c>
      <c r="BG244" s="1" t="e">
        <v>#NULL!</v>
      </c>
      <c r="BH244" s="4">
        <v>0</v>
      </c>
      <c r="BI244" t="s">
        <v>85</v>
      </c>
      <c r="BJ244" s="4">
        <v>4</v>
      </c>
      <c r="BK244" t="s">
        <v>112</v>
      </c>
    </row>
    <row r="245" spans="1:63" x14ac:dyDescent="0.35">
      <c r="A245" s="4">
        <v>391</v>
      </c>
      <c r="B245" s="4">
        <v>39</v>
      </c>
      <c r="C245" t="s">
        <v>119</v>
      </c>
      <c r="D245" t="s">
        <v>64</v>
      </c>
      <c r="E245" t="s">
        <v>104</v>
      </c>
      <c r="F245" t="s">
        <v>66</v>
      </c>
      <c r="G245" t="s">
        <v>67</v>
      </c>
      <c r="H245" s="2">
        <v>450</v>
      </c>
      <c r="I245" t="s">
        <v>68</v>
      </c>
      <c r="J245" t="s">
        <v>70</v>
      </c>
      <c r="K245" t="s">
        <v>70</v>
      </c>
      <c r="L245" t="s">
        <v>69</v>
      </c>
      <c r="M245" s="4">
        <v>3</v>
      </c>
      <c r="N245" t="s">
        <v>91</v>
      </c>
      <c r="O245" s="4">
        <v>4</v>
      </c>
      <c r="P245" t="s">
        <v>91</v>
      </c>
      <c r="Q245" s="4">
        <v>4</v>
      </c>
      <c r="R245" t="s">
        <v>91</v>
      </c>
      <c r="S245" s="4">
        <v>4</v>
      </c>
      <c r="T245" t="s">
        <v>91</v>
      </c>
      <c r="U245" t="s">
        <v>92</v>
      </c>
      <c r="V245" t="s">
        <v>93</v>
      </c>
      <c r="W245" t="s">
        <v>75</v>
      </c>
      <c r="X245" t="s">
        <v>76</v>
      </c>
      <c r="Y245" t="s">
        <v>69</v>
      </c>
      <c r="Z245" s="4">
        <v>3</v>
      </c>
      <c r="AA245" t="s">
        <v>77</v>
      </c>
      <c r="AB245" s="4">
        <v>125</v>
      </c>
      <c r="AC245" s="4">
        <v>81</v>
      </c>
      <c r="AD245" s="4">
        <v>51</v>
      </c>
      <c r="AE245" s="4">
        <v>175</v>
      </c>
      <c r="AF245" s="4">
        <v>68</v>
      </c>
      <c r="AG245" s="4">
        <v>86</v>
      </c>
      <c r="AH245" s="4">
        <v>73</v>
      </c>
      <c r="AI245" s="4">
        <v>70</v>
      </c>
      <c r="AJ245" s="4">
        <v>43</v>
      </c>
      <c r="AK245" t="s">
        <v>78</v>
      </c>
      <c r="AL245" t="s">
        <v>95</v>
      </c>
      <c r="AM245" t="s">
        <v>80</v>
      </c>
      <c r="AN245" t="s">
        <v>96</v>
      </c>
      <c r="AO245" t="s">
        <v>97</v>
      </c>
      <c r="AP245" t="s">
        <v>83</v>
      </c>
      <c r="AQ245" t="s">
        <v>85</v>
      </c>
      <c r="AR245" t="s">
        <v>85</v>
      </c>
      <c r="AS245" t="s">
        <v>84</v>
      </c>
      <c r="AT245" t="s">
        <v>85</v>
      </c>
      <c r="AU245" t="s">
        <v>85</v>
      </c>
      <c r="AV245" t="s">
        <v>85</v>
      </c>
      <c r="AW245" s="4">
        <v>0</v>
      </c>
      <c r="AX245" s="4">
        <v>0</v>
      </c>
      <c r="AY245" s="4">
        <v>0</v>
      </c>
      <c r="AZ245" s="3">
        <v>1.75</v>
      </c>
      <c r="BA245" s="3">
        <v>3.0625</v>
      </c>
      <c r="BB245" s="3">
        <v>16.653061224489797</v>
      </c>
      <c r="BC245" t="s">
        <v>100</v>
      </c>
      <c r="BD245" t="s">
        <v>86</v>
      </c>
      <c r="BE245" s="4">
        <v>0</v>
      </c>
      <c r="BF245" t="s">
        <v>87</v>
      </c>
      <c r="BG245" s="4">
        <v>0</v>
      </c>
      <c r="BH245" s="1" t="e">
        <v>#NULL!</v>
      </c>
      <c r="BI245" t="s">
        <v>85</v>
      </c>
      <c r="BJ245" s="4">
        <v>0</v>
      </c>
      <c r="BK245" t="s">
        <v>88</v>
      </c>
    </row>
    <row r="246" spans="1:63" x14ac:dyDescent="0.35">
      <c r="A246" s="4">
        <v>393</v>
      </c>
      <c r="B246" s="4">
        <v>39</v>
      </c>
      <c r="C246" t="s">
        <v>119</v>
      </c>
      <c r="D246" t="s">
        <v>89</v>
      </c>
      <c r="E246" t="s">
        <v>104</v>
      </c>
      <c r="F246" t="s">
        <v>101</v>
      </c>
      <c r="G246" t="s">
        <v>67</v>
      </c>
      <c r="H246" s="2">
        <v>800</v>
      </c>
      <c r="I246" t="s">
        <v>105</v>
      </c>
      <c r="J246" t="s">
        <v>69</v>
      </c>
      <c r="K246" t="s">
        <v>69</v>
      </c>
      <c r="L246" t="s">
        <v>69</v>
      </c>
      <c r="M246" s="4">
        <v>3</v>
      </c>
      <c r="N246" t="s">
        <v>91</v>
      </c>
      <c r="O246" s="4">
        <v>2</v>
      </c>
      <c r="P246" t="s">
        <v>71</v>
      </c>
      <c r="Q246" s="4">
        <v>4</v>
      </c>
      <c r="R246" t="s">
        <v>91</v>
      </c>
      <c r="S246" s="4">
        <v>1</v>
      </c>
      <c r="T246" t="s">
        <v>71</v>
      </c>
      <c r="U246" t="s">
        <v>92</v>
      </c>
      <c r="V246" t="s">
        <v>93</v>
      </c>
      <c r="W246" t="s">
        <v>93</v>
      </c>
      <c r="X246" t="s">
        <v>94</v>
      </c>
      <c r="Y246" t="s">
        <v>69</v>
      </c>
      <c r="Z246" s="4">
        <v>1</v>
      </c>
      <c r="AA246" t="s">
        <v>77</v>
      </c>
      <c r="AB246" s="4">
        <v>120</v>
      </c>
      <c r="AC246" s="4">
        <v>85</v>
      </c>
      <c r="AD246" s="4">
        <v>75</v>
      </c>
      <c r="AE246" s="4">
        <v>165</v>
      </c>
      <c r="AF246" s="4">
        <v>113</v>
      </c>
      <c r="AG246" s="4">
        <v>133</v>
      </c>
      <c r="AH246" s="4">
        <v>152</v>
      </c>
      <c r="AI246" s="4">
        <v>65</v>
      </c>
      <c r="AJ246" s="4">
        <v>55</v>
      </c>
      <c r="AK246" t="s">
        <v>78</v>
      </c>
      <c r="AL246" t="s">
        <v>95</v>
      </c>
      <c r="AM246" t="s">
        <v>108</v>
      </c>
      <c r="AN246" t="s">
        <v>81</v>
      </c>
      <c r="AO246" t="s">
        <v>82</v>
      </c>
      <c r="AP246" t="s">
        <v>85</v>
      </c>
      <c r="AQ246" t="s">
        <v>85</v>
      </c>
      <c r="AR246" t="s">
        <v>85</v>
      </c>
      <c r="AS246" t="s">
        <v>102</v>
      </c>
      <c r="AT246" t="s">
        <v>83</v>
      </c>
      <c r="AU246" t="s">
        <v>83</v>
      </c>
      <c r="AV246" t="s">
        <v>83</v>
      </c>
      <c r="AW246" s="4">
        <v>2</v>
      </c>
      <c r="AX246" s="4">
        <v>1</v>
      </c>
      <c r="AY246" s="4">
        <v>2</v>
      </c>
      <c r="AZ246" s="3">
        <v>1.65</v>
      </c>
      <c r="BA246" s="3">
        <v>2.7224999999999997</v>
      </c>
      <c r="BB246" s="3">
        <v>27.548209366391188</v>
      </c>
      <c r="BC246" t="s">
        <v>98</v>
      </c>
      <c r="BD246" t="s">
        <v>99</v>
      </c>
      <c r="BE246" s="4">
        <v>3</v>
      </c>
      <c r="BF246" t="s">
        <v>111</v>
      </c>
      <c r="BG246" s="1" t="e">
        <v>#NULL!</v>
      </c>
      <c r="BH246" s="4">
        <v>1</v>
      </c>
      <c r="BI246" t="s">
        <v>83</v>
      </c>
      <c r="BJ246" s="4">
        <v>3</v>
      </c>
      <c r="BK246" t="s">
        <v>112</v>
      </c>
    </row>
    <row r="247" spans="1:63" x14ac:dyDescent="0.35">
      <c r="A247" s="4">
        <v>417</v>
      </c>
      <c r="B247" s="4">
        <v>39</v>
      </c>
      <c r="C247" t="s">
        <v>119</v>
      </c>
      <c r="D247" t="s">
        <v>89</v>
      </c>
      <c r="E247" t="s">
        <v>104</v>
      </c>
      <c r="F247" t="s">
        <v>66</v>
      </c>
      <c r="G247" t="s">
        <v>67</v>
      </c>
      <c r="H247" s="2">
        <v>250</v>
      </c>
      <c r="I247" t="s">
        <v>68</v>
      </c>
      <c r="J247" t="s">
        <v>69</v>
      </c>
      <c r="K247" t="s">
        <v>69</v>
      </c>
      <c r="L247" t="s">
        <v>69</v>
      </c>
      <c r="M247" s="4">
        <v>2</v>
      </c>
      <c r="N247" t="s">
        <v>71</v>
      </c>
      <c r="O247" s="4">
        <v>2</v>
      </c>
      <c r="P247" t="s">
        <v>71</v>
      </c>
      <c r="Q247" s="4">
        <v>2</v>
      </c>
      <c r="R247" t="s">
        <v>71</v>
      </c>
      <c r="S247" s="4">
        <v>1</v>
      </c>
      <c r="T247" t="s">
        <v>71</v>
      </c>
      <c r="U247" t="s">
        <v>73</v>
      </c>
      <c r="V247" t="s">
        <v>93</v>
      </c>
      <c r="W247" t="s">
        <v>93</v>
      </c>
      <c r="X247" t="s">
        <v>94</v>
      </c>
      <c r="Y247" t="s">
        <v>69</v>
      </c>
      <c r="Z247" s="4">
        <v>10</v>
      </c>
      <c r="AA247" t="s">
        <v>117</v>
      </c>
      <c r="AB247" s="4">
        <v>150</v>
      </c>
      <c r="AC247" s="4">
        <v>89</v>
      </c>
      <c r="AD247" s="4">
        <v>59</v>
      </c>
      <c r="AE247" s="4">
        <v>153</v>
      </c>
      <c r="AF247" s="4">
        <v>90</v>
      </c>
      <c r="AG247" s="4">
        <v>96</v>
      </c>
      <c r="AH247" s="4">
        <v>141</v>
      </c>
      <c r="AI247" s="4">
        <v>53</v>
      </c>
      <c r="AJ247" s="4">
        <v>52</v>
      </c>
      <c r="AK247" t="s">
        <v>78</v>
      </c>
      <c r="AL247" t="s">
        <v>79</v>
      </c>
      <c r="AM247" t="s">
        <v>108</v>
      </c>
      <c r="AN247" t="s">
        <v>109</v>
      </c>
      <c r="AO247" t="s">
        <v>82</v>
      </c>
      <c r="AP247" t="s">
        <v>85</v>
      </c>
      <c r="AQ247" t="s">
        <v>85</v>
      </c>
      <c r="AR247" t="s">
        <v>85</v>
      </c>
      <c r="AS247" t="s">
        <v>102</v>
      </c>
      <c r="AT247" t="s">
        <v>85</v>
      </c>
      <c r="AU247" t="s">
        <v>83</v>
      </c>
      <c r="AV247" t="s">
        <v>83</v>
      </c>
      <c r="AW247" s="4">
        <v>2</v>
      </c>
      <c r="AX247" s="4">
        <v>1</v>
      </c>
      <c r="AY247" s="4">
        <v>2</v>
      </c>
      <c r="AZ247" s="3">
        <v>1.53</v>
      </c>
      <c r="BA247" s="3">
        <v>2.3409</v>
      </c>
      <c r="BB247" s="3">
        <v>25.20398137468495</v>
      </c>
      <c r="BC247" t="s">
        <v>98</v>
      </c>
      <c r="BD247" t="s">
        <v>99</v>
      </c>
      <c r="BE247" s="4">
        <v>3</v>
      </c>
      <c r="BF247" t="s">
        <v>111</v>
      </c>
      <c r="BG247" s="1" t="e">
        <v>#NULL!</v>
      </c>
      <c r="BH247" s="4">
        <v>1</v>
      </c>
      <c r="BI247" t="s">
        <v>83</v>
      </c>
      <c r="BJ247" s="4">
        <v>3</v>
      </c>
      <c r="BK247" t="s">
        <v>112</v>
      </c>
    </row>
    <row r="248" spans="1:63" x14ac:dyDescent="0.35">
      <c r="A248" s="4">
        <v>429</v>
      </c>
      <c r="B248" s="4">
        <v>39</v>
      </c>
      <c r="C248" t="s">
        <v>119</v>
      </c>
      <c r="D248" t="s">
        <v>89</v>
      </c>
      <c r="E248" t="s">
        <v>104</v>
      </c>
      <c r="F248" t="s">
        <v>101</v>
      </c>
      <c r="G248" t="s">
        <v>67</v>
      </c>
      <c r="H248" s="2">
        <v>800</v>
      </c>
      <c r="I248" t="s">
        <v>105</v>
      </c>
      <c r="J248" t="s">
        <v>69</v>
      </c>
      <c r="K248" t="s">
        <v>69</v>
      </c>
      <c r="L248" t="s">
        <v>69</v>
      </c>
      <c r="M248" s="4">
        <v>1</v>
      </c>
      <c r="N248" t="s">
        <v>71</v>
      </c>
      <c r="O248" s="4">
        <v>2</v>
      </c>
      <c r="P248" t="s">
        <v>71</v>
      </c>
      <c r="Q248" s="4">
        <v>2</v>
      </c>
      <c r="R248" t="s">
        <v>71</v>
      </c>
      <c r="S248" s="4">
        <v>1</v>
      </c>
      <c r="T248" t="s">
        <v>71</v>
      </c>
      <c r="U248" t="s">
        <v>103</v>
      </c>
      <c r="V248" t="s">
        <v>93</v>
      </c>
      <c r="W248" t="s">
        <v>74</v>
      </c>
      <c r="X248" t="s">
        <v>76</v>
      </c>
      <c r="Y248" t="s">
        <v>69</v>
      </c>
      <c r="Z248" s="4">
        <v>5</v>
      </c>
      <c r="AA248" t="s">
        <v>77</v>
      </c>
      <c r="AB248" s="4">
        <v>145</v>
      </c>
      <c r="AC248" s="4">
        <v>62</v>
      </c>
      <c r="AD248" s="4">
        <v>41</v>
      </c>
      <c r="AE248" s="4">
        <v>160</v>
      </c>
      <c r="AF248" s="4">
        <v>69</v>
      </c>
      <c r="AG248" s="4">
        <v>80</v>
      </c>
      <c r="AH248" s="4">
        <v>113</v>
      </c>
      <c r="AI248" s="4">
        <v>109</v>
      </c>
      <c r="AJ248" s="4">
        <v>41</v>
      </c>
      <c r="AK248" t="s">
        <v>78</v>
      </c>
      <c r="AL248" t="s">
        <v>79</v>
      </c>
      <c r="AM248" t="s">
        <v>80</v>
      </c>
      <c r="AN248" t="s">
        <v>81</v>
      </c>
      <c r="AO248" t="s">
        <v>82</v>
      </c>
      <c r="AP248" t="s">
        <v>83</v>
      </c>
      <c r="AQ248" t="s">
        <v>85</v>
      </c>
      <c r="AR248" t="s">
        <v>83</v>
      </c>
      <c r="AS248" t="s">
        <v>102</v>
      </c>
      <c r="AT248" t="s">
        <v>85</v>
      </c>
      <c r="AU248" t="s">
        <v>85</v>
      </c>
      <c r="AV248" t="s">
        <v>85</v>
      </c>
      <c r="AW248" s="4">
        <v>3</v>
      </c>
      <c r="AX248" s="4">
        <v>1</v>
      </c>
      <c r="AY248" s="4">
        <v>1</v>
      </c>
      <c r="AZ248" s="3">
        <v>1.6</v>
      </c>
      <c r="BA248" s="3">
        <v>2.5600000000000005</v>
      </c>
      <c r="BB248" s="3">
        <v>16.015624999999996</v>
      </c>
      <c r="BC248" t="s">
        <v>100</v>
      </c>
      <c r="BD248" t="s">
        <v>86</v>
      </c>
      <c r="BE248" s="4">
        <v>3</v>
      </c>
      <c r="BF248" t="s">
        <v>87</v>
      </c>
      <c r="BG248" s="1" t="e">
        <v>#NULL!</v>
      </c>
      <c r="BH248" s="4">
        <v>0</v>
      </c>
      <c r="BI248" t="s">
        <v>85</v>
      </c>
      <c r="BJ248" s="4">
        <v>3</v>
      </c>
      <c r="BK248" t="s">
        <v>112</v>
      </c>
    </row>
    <row r="249" spans="1:63" x14ac:dyDescent="0.35">
      <c r="A249" s="4">
        <v>437</v>
      </c>
      <c r="B249" s="4">
        <v>39</v>
      </c>
      <c r="C249" t="s">
        <v>119</v>
      </c>
      <c r="D249" t="s">
        <v>89</v>
      </c>
      <c r="E249" t="s">
        <v>104</v>
      </c>
      <c r="F249" t="s">
        <v>90</v>
      </c>
      <c r="G249" t="s">
        <v>67</v>
      </c>
      <c r="H249" s="2">
        <v>600</v>
      </c>
      <c r="I249" t="s">
        <v>105</v>
      </c>
      <c r="J249" t="s">
        <v>69</v>
      </c>
      <c r="K249" t="s">
        <v>69</v>
      </c>
      <c r="L249" t="s">
        <v>69</v>
      </c>
      <c r="M249" s="4">
        <v>2</v>
      </c>
      <c r="N249" t="s">
        <v>71</v>
      </c>
      <c r="O249" s="4">
        <v>5</v>
      </c>
      <c r="P249" t="s">
        <v>72</v>
      </c>
      <c r="Q249" s="4">
        <v>2</v>
      </c>
      <c r="R249" t="s">
        <v>71</v>
      </c>
      <c r="S249" s="4">
        <v>1</v>
      </c>
      <c r="T249" t="s">
        <v>71</v>
      </c>
      <c r="U249" t="s">
        <v>103</v>
      </c>
      <c r="V249" t="s">
        <v>93</v>
      </c>
      <c r="W249" t="s">
        <v>93</v>
      </c>
      <c r="X249" t="s">
        <v>94</v>
      </c>
      <c r="Y249" t="s">
        <v>69</v>
      </c>
      <c r="Z249" s="4">
        <v>4</v>
      </c>
      <c r="AA249" t="s">
        <v>77</v>
      </c>
      <c r="AB249" s="4">
        <v>134</v>
      </c>
      <c r="AC249" s="4">
        <v>80</v>
      </c>
      <c r="AD249" s="4">
        <v>86</v>
      </c>
      <c r="AE249" s="4">
        <v>165</v>
      </c>
      <c r="AF249" s="4">
        <v>111</v>
      </c>
      <c r="AG249" s="4">
        <v>123</v>
      </c>
      <c r="AH249" s="4">
        <v>90</v>
      </c>
      <c r="AI249" s="4">
        <v>84</v>
      </c>
      <c r="AJ249" s="4">
        <v>26</v>
      </c>
      <c r="AK249" t="s">
        <v>78</v>
      </c>
      <c r="AL249" t="s">
        <v>79</v>
      </c>
      <c r="AM249" t="s">
        <v>80</v>
      </c>
      <c r="AN249" t="s">
        <v>81</v>
      </c>
      <c r="AO249" t="s">
        <v>82</v>
      </c>
      <c r="AP249" t="s">
        <v>83</v>
      </c>
      <c r="AQ249" t="s">
        <v>83</v>
      </c>
      <c r="AR249" t="s">
        <v>83</v>
      </c>
      <c r="AS249" t="s">
        <v>84</v>
      </c>
      <c r="AT249" t="s">
        <v>83</v>
      </c>
      <c r="AU249" t="s">
        <v>83</v>
      </c>
      <c r="AV249" t="s">
        <v>83</v>
      </c>
      <c r="AW249" s="4">
        <v>2</v>
      </c>
      <c r="AX249" s="4">
        <v>1</v>
      </c>
      <c r="AY249" s="4">
        <v>2</v>
      </c>
      <c r="AZ249" s="3">
        <v>1.65</v>
      </c>
      <c r="BA249" s="3">
        <v>2.7224999999999997</v>
      </c>
      <c r="BB249" s="3">
        <v>31.588613406795229</v>
      </c>
      <c r="BC249" t="s">
        <v>110</v>
      </c>
      <c r="BD249" t="s">
        <v>99</v>
      </c>
      <c r="BE249" s="4">
        <v>3</v>
      </c>
      <c r="BF249" t="s">
        <v>111</v>
      </c>
      <c r="BG249" s="1" t="e">
        <v>#NULL!</v>
      </c>
      <c r="BH249" s="4">
        <v>1</v>
      </c>
      <c r="BI249" t="s">
        <v>83</v>
      </c>
      <c r="BJ249" s="4">
        <v>3</v>
      </c>
      <c r="BK249" t="s">
        <v>112</v>
      </c>
    </row>
    <row r="250" spans="1:63" x14ac:dyDescent="0.35">
      <c r="A250" s="4">
        <v>492</v>
      </c>
      <c r="B250" s="4">
        <v>39</v>
      </c>
      <c r="C250" t="s">
        <v>119</v>
      </c>
      <c r="D250" t="s">
        <v>64</v>
      </c>
      <c r="E250" t="s">
        <v>104</v>
      </c>
      <c r="F250" t="s">
        <v>66</v>
      </c>
      <c r="G250" t="s">
        <v>67</v>
      </c>
      <c r="H250" s="2">
        <v>450</v>
      </c>
      <c r="I250" t="s">
        <v>68</v>
      </c>
      <c r="J250" t="s">
        <v>70</v>
      </c>
      <c r="K250" t="s">
        <v>69</v>
      </c>
      <c r="L250" t="s">
        <v>69</v>
      </c>
      <c r="M250" s="4">
        <v>3</v>
      </c>
      <c r="N250" t="s">
        <v>91</v>
      </c>
      <c r="O250" s="4">
        <v>4</v>
      </c>
      <c r="P250" t="s">
        <v>91</v>
      </c>
      <c r="Q250" s="4">
        <v>4</v>
      </c>
      <c r="R250" t="s">
        <v>91</v>
      </c>
      <c r="S250" s="4">
        <v>4</v>
      </c>
      <c r="T250" t="s">
        <v>91</v>
      </c>
      <c r="U250" t="s">
        <v>92</v>
      </c>
      <c r="V250" t="s">
        <v>93</v>
      </c>
      <c r="W250" t="s">
        <v>75</v>
      </c>
      <c r="X250" t="s">
        <v>76</v>
      </c>
      <c r="Y250" t="s">
        <v>69</v>
      </c>
      <c r="Z250" s="4">
        <v>3</v>
      </c>
      <c r="AA250" t="s">
        <v>77</v>
      </c>
      <c r="AB250" s="4">
        <v>125</v>
      </c>
      <c r="AC250" s="4">
        <v>81</v>
      </c>
      <c r="AD250" s="4">
        <v>51</v>
      </c>
      <c r="AE250" s="4">
        <v>175</v>
      </c>
      <c r="AF250" s="4">
        <v>68</v>
      </c>
      <c r="AG250" s="4">
        <v>86</v>
      </c>
      <c r="AH250" s="4">
        <v>73</v>
      </c>
      <c r="AI250" s="4">
        <v>70</v>
      </c>
      <c r="AJ250" s="4">
        <v>43</v>
      </c>
      <c r="AK250" t="s">
        <v>78</v>
      </c>
      <c r="AL250" t="s">
        <v>95</v>
      </c>
      <c r="AM250" t="s">
        <v>80</v>
      </c>
      <c r="AN250" t="s">
        <v>96</v>
      </c>
      <c r="AO250" t="s">
        <v>97</v>
      </c>
      <c r="AP250" t="s">
        <v>83</v>
      </c>
      <c r="AQ250" t="s">
        <v>85</v>
      </c>
      <c r="AR250" t="s">
        <v>85</v>
      </c>
      <c r="AS250" t="s">
        <v>84</v>
      </c>
      <c r="AT250" t="s">
        <v>85</v>
      </c>
      <c r="AU250" t="s">
        <v>85</v>
      </c>
      <c r="AV250" t="s">
        <v>85</v>
      </c>
      <c r="AW250" s="4">
        <v>0</v>
      </c>
      <c r="AX250" s="4">
        <v>0</v>
      </c>
      <c r="AY250" s="4">
        <v>0</v>
      </c>
      <c r="AZ250" s="3">
        <v>1.75</v>
      </c>
      <c r="BA250" s="3">
        <v>3.0625</v>
      </c>
      <c r="BB250" s="3">
        <v>16.653061224489797</v>
      </c>
      <c r="BC250" t="s">
        <v>100</v>
      </c>
      <c r="BD250" t="s">
        <v>86</v>
      </c>
      <c r="BE250" s="4">
        <v>0</v>
      </c>
      <c r="BF250" t="s">
        <v>87</v>
      </c>
      <c r="BG250" s="4">
        <v>0</v>
      </c>
      <c r="BH250" s="1" t="e">
        <v>#NULL!</v>
      </c>
      <c r="BI250" t="s">
        <v>85</v>
      </c>
      <c r="BJ250" s="4">
        <v>0</v>
      </c>
      <c r="BK250" t="s">
        <v>88</v>
      </c>
    </row>
    <row r="251" spans="1:63" x14ac:dyDescent="0.35">
      <c r="A251" s="4">
        <v>13</v>
      </c>
      <c r="B251" s="4">
        <v>39</v>
      </c>
      <c r="C251" t="s">
        <v>119</v>
      </c>
      <c r="D251" t="s">
        <v>89</v>
      </c>
      <c r="E251" t="s">
        <v>113</v>
      </c>
      <c r="F251" t="s">
        <v>90</v>
      </c>
      <c r="G251" t="s">
        <v>67</v>
      </c>
      <c r="H251" s="2">
        <v>800</v>
      </c>
      <c r="I251" t="s">
        <v>105</v>
      </c>
      <c r="J251" t="s">
        <v>69</v>
      </c>
      <c r="K251" t="s">
        <v>69</v>
      </c>
      <c r="L251" t="s">
        <v>69</v>
      </c>
      <c r="M251" s="4">
        <v>1</v>
      </c>
      <c r="N251" t="s">
        <v>71</v>
      </c>
      <c r="O251" s="4">
        <v>4</v>
      </c>
      <c r="P251" t="s">
        <v>91</v>
      </c>
      <c r="Q251" s="4">
        <v>1</v>
      </c>
      <c r="R251" t="s">
        <v>71</v>
      </c>
      <c r="S251" s="4">
        <v>1</v>
      </c>
      <c r="T251" t="s">
        <v>71</v>
      </c>
      <c r="U251" t="s">
        <v>73</v>
      </c>
      <c r="V251" t="s">
        <v>93</v>
      </c>
      <c r="W251" t="s">
        <v>93</v>
      </c>
      <c r="X251" t="s">
        <v>94</v>
      </c>
      <c r="Y251" t="s">
        <v>69</v>
      </c>
      <c r="Z251" s="4">
        <v>7</v>
      </c>
      <c r="AA251" t="s">
        <v>77</v>
      </c>
      <c r="AB251" s="4">
        <v>140</v>
      </c>
      <c r="AC251" s="4">
        <v>93</v>
      </c>
      <c r="AD251" s="4">
        <v>106</v>
      </c>
      <c r="AE251" s="4">
        <v>171</v>
      </c>
      <c r="AF251" s="4">
        <v>107</v>
      </c>
      <c r="AG251" s="4">
        <v>133</v>
      </c>
      <c r="AH251" s="4">
        <v>114</v>
      </c>
      <c r="AI251" s="4">
        <v>109</v>
      </c>
      <c r="AJ251" s="4">
        <v>51</v>
      </c>
      <c r="AK251" t="s">
        <v>78</v>
      </c>
      <c r="AL251" t="s">
        <v>79</v>
      </c>
      <c r="AM251" t="s">
        <v>108</v>
      </c>
      <c r="AN251" t="s">
        <v>109</v>
      </c>
      <c r="AO251" t="s">
        <v>82</v>
      </c>
      <c r="AP251" t="s">
        <v>85</v>
      </c>
      <c r="AQ251" t="s">
        <v>85</v>
      </c>
      <c r="AR251" t="s">
        <v>85</v>
      </c>
      <c r="AS251" t="s">
        <v>102</v>
      </c>
      <c r="AT251" t="s">
        <v>83</v>
      </c>
      <c r="AU251" t="s">
        <v>83</v>
      </c>
      <c r="AV251" t="s">
        <v>83</v>
      </c>
      <c r="AW251" s="4">
        <v>2</v>
      </c>
      <c r="AX251" s="4">
        <v>1</v>
      </c>
      <c r="AY251" s="4">
        <v>2</v>
      </c>
      <c r="AZ251" s="3">
        <v>1.71</v>
      </c>
      <c r="BA251" s="3">
        <v>2.9240999999999997</v>
      </c>
      <c r="BB251" s="3">
        <v>36.250470230156289</v>
      </c>
      <c r="BC251" t="s">
        <v>110</v>
      </c>
      <c r="BD251" t="s">
        <v>99</v>
      </c>
      <c r="BE251" s="4">
        <v>3</v>
      </c>
      <c r="BF251" t="s">
        <v>111</v>
      </c>
      <c r="BG251" s="1" t="e">
        <v>#NULL!</v>
      </c>
      <c r="BH251" s="4">
        <v>1</v>
      </c>
      <c r="BI251" t="s">
        <v>83</v>
      </c>
      <c r="BJ251" s="4">
        <v>3</v>
      </c>
      <c r="BK251" t="s">
        <v>112</v>
      </c>
    </row>
    <row r="252" spans="1:63" x14ac:dyDescent="0.35">
      <c r="A252" s="4">
        <v>208</v>
      </c>
      <c r="B252" s="4">
        <v>39</v>
      </c>
      <c r="C252" t="s">
        <v>119</v>
      </c>
      <c r="D252" t="s">
        <v>64</v>
      </c>
      <c r="E252" t="s">
        <v>113</v>
      </c>
      <c r="F252" t="s">
        <v>101</v>
      </c>
      <c r="G252" t="s">
        <v>67</v>
      </c>
      <c r="H252" s="2">
        <v>800</v>
      </c>
      <c r="I252" t="s">
        <v>105</v>
      </c>
      <c r="J252" t="s">
        <v>69</v>
      </c>
      <c r="K252" t="s">
        <v>70</v>
      </c>
      <c r="L252" t="s">
        <v>69</v>
      </c>
      <c r="M252" s="4">
        <v>4</v>
      </c>
      <c r="N252" t="s">
        <v>91</v>
      </c>
      <c r="O252" s="4">
        <v>5</v>
      </c>
      <c r="P252" t="s">
        <v>72</v>
      </c>
      <c r="Q252" s="4">
        <v>4</v>
      </c>
      <c r="R252" t="s">
        <v>91</v>
      </c>
      <c r="S252" s="4">
        <v>6</v>
      </c>
      <c r="T252" t="s">
        <v>72</v>
      </c>
      <c r="U252" t="s">
        <v>92</v>
      </c>
      <c r="V252" t="s">
        <v>93</v>
      </c>
      <c r="W252" t="s">
        <v>74</v>
      </c>
      <c r="X252" t="s">
        <v>76</v>
      </c>
      <c r="Y252" t="s">
        <v>69</v>
      </c>
      <c r="Z252" s="4">
        <v>2</v>
      </c>
      <c r="AA252" t="s">
        <v>77</v>
      </c>
      <c r="AB252" s="4">
        <v>107</v>
      </c>
      <c r="AC252" s="4">
        <v>82</v>
      </c>
      <c r="AD252" s="4">
        <v>89</v>
      </c>
      <c r="AE252" s="4">
        <v>173</v>
      </c>
      <c r="AF252" s="4">
        <v>92</v>
      </c>
      <c r="AG252" s="4">
        <v>101</v>
      </c>
      <c r="AH252" s="4">
        <v>93</v>
      </c>
      <c r="AI252" s="4">
        <v>170</v>
      </c>
      <c r="AJ252" s="4">
        <v>70</v>
      </c>
      <c r="AK252" t="s">
        <v>107</v>
      </c>
      <c r="AL252" t="s">
        <v>95</v>
      </c>
      <c r="AM252" t="s">
        <v>80</v>
      </c>
      <c r="AN252" t="s">
        <v>96</v>
      </c>
      <c r="AO252" t="s">
        <v>97</v>
      </c>
      <c r="AP252" t="s">
        <v>85</v>
      </c>
      <c r="AQ252" t="s">
        <v>85</v>
      </c>
      <c r="AR252" t="s">
        <v>85</v>
      </c>
      <c r="AS252" t="s">
        <v>84</v>
      </c>
      <c r="AT252" t="s">
        <v>85</v>
      </c>
      <c r="AU252" t="s">
        <v>83</v>
      </c>
      <c r="AV252" t="s">
        <v>85</v>
      </c>
      <c r="AW252" s="4">
        <v>1</v>
      </c>
      <c r="AX252" s="4">
        <v>0</v>
      </c>
      <c r="AY252" s="4">
        <v>0</v>
      </c>
      <c r="AZ252" s="3">
        <v>1.73</v>
      </c>
      <c r="BA252" s="3">
        <v>2.9929000000000001</v>
      </c>
      <c r="BB252" s="3">
        <v>29.737044338267232</v>
      </c>
      <c r="BC252" t="s">
        <v>98</v>
      </c>
      <c r="BD252" t="s">
        <v>99</v>
      </c>
      <c r="BE252" s="4">
        <v>1</v>
      </c>
      <c r="BF252" t="s">
        <v>87</v>
      </c>
      <c r="BG252" s="4">
        <v>0</v>
      </c>
      <c r="BH252" s="1" t="e">
        <v>#NULL!</v>
      </c>
      <c r="BI252" t="s">
        <v>85</v>
      </c>
      <c r="BJ252" s="4">
        <v>1</v>
      </c>
      <c r="BK252" t="s">
        <v>88</v>
      </c>
    </row>
    <row r="253" spans="1:63" x14ac:dyDescent="0.35">
      <c r="A253" s="4">
        <v>31</v>
      </c>
      <c r="B253" s="4">
        <v>40</v>
      </c>
      <c r="C253" t="s">
        <v>119</v>
      </c>
      <c r="D253" t="s">
        <v>89</v>
      </c>
      <c r="E253" t="s">
        <v>104</v>
      </c>
      <c r="F253" t="s">
        <v>66</v>
      </c>
      <c r="G253" t="s">
        <v>67</v>
      </c>
      <c r="H253" s="2">
        <v>200</v>
      </c>
      <c r="I253" t="s">
        <v>68</v>
      </c>
      <c r="J253" t="s">
        <v>69</v>
      </c>
      <c r="K253" t="s">
        <v>70</v>
      </c>
      <c r="L253" t="s">
        <v>69</v>
      </c>
      <c r="M253" s="4">
        <v>1</v>
      </c>
      <c r="N253" t="s">
        <v>71</v>
      </c>
      <c r="O253" s="4">
        <v>2</v>
      </c>
      <c r="P253" t="s">
        <v>71</v>
      </c>
      <c r="Q253" s="4">
        <v>2</v>
      </c>
      <c r="R253" t="s">
        <v>71</v>
      </c>
      <c r="S253" s="4">
        <v>2</v>
      </c>
      <c r="T253" t="s">
        <v>71</v>
      </c>
      <c r="U253" t="s">
        <v>92</v>
      </c>
      <c r="V253" t="s">
        <v>93</v>
      </c>
      <c r="W253" t="s">
        <v>93</v>
      </c>
      <c r="X253" t="s">
        <v>94</v>
      </c>
      <c r="Y253" t="s">
        <v>69</v>
      </c>
      <c r="Z253" s="4">
        <v>3</v>
      </c>
      <c r="AA253" t="s">
        <v>77</v>
      </c>
      <c r="AB253" s="4">
        <v>131</v>
      </c>
      <c r="AC253" s="4">
        <v>76</v>
      </c>
      <c r="AD253" s="4">
        <v>60</v>
      </c>
      <c r="AE253" s="4">
        <v>161</v>
      </c>
      <c r="AF253" s="4">
        <v>78</v>
      </c>
      <c r="AG253" s="4">
        <v>105</v>
      </c>
      <c r="AH253" s="4">
        <v>98</v>
      </c>
      <c r="AI253" s="4">
        <v>58</v>
      </c>
      <c r="AJ253" s="4">
        <v>32</v>
      </c>
      <c r="AK253" t="s">
        <v>78</v>
      </c>
      <c r="AL253" t="s">
        <v>79</v>
      </c>
      <c r="AM253" t="s">
        <v>80</v>
      </c>
      <c r="AN253" t="s">
        <v>81</v>
      </c>
      <c r="AO253" t="s">
        <v>82</v>
      </c>
      <c r="AP253" t="s">
        <v>83</v>
      </c>
      <c r="AQ253" t="s">
        <v>83</v>
      </c>
      <c r="AR253" t="s">
        <v>83</v>
      </c>
      <c r="AS253" t="s">
        <v>84</v>
      </c>
      <c r="AT253" t="s">
        <v>85</v>
      </c>
      <c r="AU253" t="s">
        <v>85</v>
      </c>
      <c r="AV253" t="s">
        <v>85</v>
      </c>
      <c r="AW253" s="4">
        <v>2</v>
      </c>
      <c r="AX253" s="4">
        <v>1</v>
      </c>
      <c r="AY253" s="4">
        <v>1</v>
      </c>
      <c r="AZ253" s="3">
        <v>1.61</v>
      </c>
      <c r="BA253" s="3">
        <v>2.5921000000000003</v>
      </c>
      <c r="BB253" s="3">
        <v>23.147255121330193</v>
      </c>
      <c r="BC253" t="s">
        <v>85</v>
      </c>
      <c r="BD253" t="s">
        <v>86</v>
      </c>
      <c r="BE253" s="4">
        <v>2</v>
      </c>
      <c r="BF253" t="s">
        <v>87</v>
      </c>
      <c r="BG253" s="1" t="e">
        <v>#NULL!</v>
      </c>
      <c r="BH253" s="4">
        <v>0</v>
      </c>
      <c r="BI253" t="s">
        <v>85</v>
      </c>
      <c r="BJ253" s="4">
        <v>2</v>
      </c>
      <c r="BK253" t="s">
        <v>88</v>
      </c>
    </row>
    <row r="254" spans="1:63" x14ac:dyDescent="0.35">
      <c r="A254" s="4">
        <v>42</v>
      </c>
      <c r="B254" s="4">
        <v>40</v>
      </c>
      <c r="C254" t="s">
        <v>119</v>
      </c>
      <c r="D254" t="s">
        <v>89</v>
      </c>
      <c r="E254" t="s">
        <v>104</v>
      </c>
      <c r="F254" t="s">
        <v>66</v>
      </c>
      <c r="G254" t="s">
        <v>67</v>
      </c>
      <c r="H254" s="2">
        <v>300</v>
      </c>
      <c r="I254" t="s">
        <v>68</v>
      </c>
      <c r="J254" t="s">
        <v>69</v>
      </c>
      <c r="K254" t="s">
        <v>69</v>
      </c>
      <c r="L254" t="s">
        <v>69</v>
      </c>
      <c r="M254" s="4">
        <v>2</v>
      </c>
      <c r="N254" t="s">
        <v>71</v>
      </c>
      <c r="O254" s="4">
        <v>2</v>
      </c>
      <c r="P254" t="s">
        <v>71</v>
      </c>
      <c r="Q254" s="4">
        <v>3</v>
      </c>
      <c r="R254" t="s">
        <v>91</v>
      </c>
      <c r="S254" s="4">
        <v>3</v>
      </c>
      <c r="T254" t="s">
        <v>91</v>
      </c>
      <c r="U254" t="s">
        <v>92</v>
      </c>
      <c r="V254" t="s">
        <v>93</v>
      </c>
      <c r="W254" t="s">
        <v>93</v>
      </c>
      <c r="X254" t="s">
        <v>94</v>
      </c>
      <c r="Y254" t="s">
        <v>69</v>
      </c>
      <c r="Z254" s="4">
        <v>4</v>
      </c>
      <c r="AA254" t="s">
        <v>77</v>
      </c>
      <c r="AB254" s="4">
        <v>134</v>
      </c>
      <c r="AC254" s="4">
        <v>87</v>
      </c>
      <c r="AD254" s="4">
        <v>84</v>
      </c>
      <c r="AE254" s="4">
        <v>173</v>
      </c>
      <c r="AF254" s="4">
        <v>88</v>
      </c>
      <c r="AG254" s="4">
        <v>101</v>
      </c>
      <c r="AH254" s="4">
        <v>126</v>
      </c>
      <c r="AI254" s="4">
        <v>132</v>
      </c>
      <c r="AJ254" s="4">
        <v>53</v>
      </c>
      <c r="AK254" t="s">
        <v>78</v>
      </c>
      <c r="AL254" t="s">
        <v>79</v>
      </c>
      <c r="AM254" t="s">
        <v>108</v>
      </c>
      <c r="AN254" t="s">
        <v>109</v>
      </c>
      <c r="AO254" t="s">
        <v>82</v>
      </c>
      <c r="AP254" t="s">
        <v>85</v>
      </c>
      <c r="AQ254" t="s">
        <v>85</v>
      </c>
      <c r="AR254" t="s">
        <v>85</v>
      </c>
      <c r="AS254" t="s">
        <v>102</v>
      </c>
      <c r="AT254" t="s">
        <v>85</v>
      </c>
      <c r="AU254" t="s">
        <v>83</v>
      </c>
      <c r="AV254" t="s">
        <v>83</v>
      </c>
      <c r="AW254" s="4">
        <v>2</v>
      </c>
      <c r="AX254" s="4">
        <v>1</v>
      </c>
      <c r="AY254" s="4">
        <v>2</v>
      </c>
      <c r="AZ254" s="3">
        <v>1.73</v>
      </c>
      <c r="BA254" s="3">
        <v>2.9929000000000001</v>
      </c>
      <c r="BB254" s="3">
        <v>28.06642386982525</v>
      </c>
      <c r="BC254" t="s">
        <v>98</v>
      </c>
      <c r="BD254" t="s">
        <v>99</v>
      </c>
      <c r="BE254" s="4">
        <v>3</v>
      </c>
      <c r="BF254" t="s">
        <v>111</v>
      </c>
      <c r="BG254" s="1" t="e">
        <v>#NULL!</v>
      </c>
      <c r="BH254" s="4">
        <v>1</v>
      </c>
      <c r="BI254" t="s">
        <v>83</v>
      </c>
      <c r="BJ254" s="4">
        <v>3</v>
      </c>
      <c r="BK254" t="s">
        <v>112</v>
      </c>
    </row>
    <row r="255" spans="1:63" x14ac:dyDescent="0.35">
      <c r="A255" s="4">
        <v>57</v>
      </c>
      <c r="B255" s="4">
        <v>40</v>
      </c>
      <c r="C255" t="s">
        <v>119</v>
      </c>
      <c r="D255" t="s">
        <v>89</v>
      </c>
      <c r="E255" t="s">
        <v>104</v>
      </c>
      <c r="F255" t="s">
        <v>101</v>
      </c>
      <c r="G255" t="s">
        <v>67</v>
      </c>
      <c r="H255" s="2">
        <v>800</v>
      </c>
      <c r="I255" t="s">
        <v>105</v>
      </c>
      <c r="J255" t="s">
        <v>69</v>
      </c>
      <c r="K255" t="s">
        <v>69</v>
      </c>
      <c r="L255" t="s">
        <v>69</v>
      </c>
      <c r="M255" s="4">
        <v>1</v>
      </c>
      <c r="N255" t="s">
        <v>71</v>
      </c>
      <c r="O255" s="4">
        <v>2</v>
      </c>
      <c r="P255" t="s">
        <v>71</v>
      </c>
      <c r="Q255" s="4">
        <v>2</v>
      </c>
      <c r="R255" t="s">
        <v>71</v>
      </c>
      <c r="S255" s="4">
        <v>1</v>
      </c>
      <c r="T255" t="s">
        <v>71</v>
      </c>
      <c r="U255" t="s">
        <v>103</v>
      </c>
      <c r="V255" t="s">
        <v>93</v>
      </c>
      <c r="W255" t="s">
        <v>74</v>
      </c>
      <c r="X255" t="s">
        <v>76</v>
      </c>
      <c r="Y255" t="s">
        <v>69</v>
      </c>
      <c r="Z255" s="4">
        <v>5</v>
      </c>
      <c r="AA255" t="s">
        <v>77</v>
      </c>
      <c r="AB255" s="4">
        <v>145</v>
      </c>
      <c r="AC255" s="4">
        <v>62</v>
      </c>
      <c r="AD255" s="4">
        <v>41</v>
      </c>
      <c r="AE255" s="4">
        <v>160</v>
      </c>
      <c r="AF255" s="4">
        <v>69</v>
      </c>
      <c r="AG255" s="4">
        <v>80</v>
      </c>
      <c r="AH255" s="4">
        <v>113</v>
      </c>
      <c r="AI255" s="4">
        <v>109</v>
      </c>
      <c r="AJ255" s="4">
        <v>41</v>
      </c>
      <c r="AK255" t="s">
        <v>78</v>
      </c>
      <c r="AL255" t="s">
        <v>79</v>
      </c>
      <c r="AM255" t="s">
        <v>80</v>
      </c>
      <c r="AN255" t="s">
        <v>81</v>
      </c>
      <c r="AO255" t="s">
        <v>82</v>
      </c>
      <c r="AP255" t="s">
        <v>83</v>
      </c>
      <c r="AQ255" t="s">
        <v>85</v>
      </c>
      <c r="AR255" t="s">
        <v>83</v>
      </c>
      <c r="AS255" t="s">
        <v>102</v>
      </c>
      <c r="AT255" t="s">
        <v>85</v>
      </c>
      <c r="AU255" t="s">
        <v>85</v>
      </c>
      <c r="AV255" t="s">
        <v>85</v>
      </c>
      <c r="AW255" s="4">
        <v>3</v>
      </c>
      <c r="AX255" s="4">
        <v>1</v>
      </c>
      <c r="AY255" s="4">
        <v>1</v>
      </c>
      <c r="AZ255" s="3">
        <v>1.6</v>
      </c>
      <c r="BA255" s="3">
        <v>2.5600000000000005</v>
      </c>
      <c r="BB255" s="3">
        <v>16.015624999999996</v>
      </c>
      <c r="BC255" t="s">
        <v>100</v>
      </c>
      <c r="BD255" t="s">
        <v>86</v>
      </c>
      <c r="BE255" s="4">
        <v>3</v>
      </c>
      <c r="BF255" t="s">
        <v>87</v>
      </c>
      <c r="BG255" s="1" t="e">
        <v>#NULL!</v>
      </c>
      <c r="BH255" s="4">
        <v>0</v>
      </c>
      <c r="BI255" t="s">
        <v>85</v>
      </c>
      <c r="BJ255" s="4">
        <v>3</v>
      </c>
      <c r="BK255" t="s">
        <v>112</v>
      </c>
    </row>
    <row r="256" spans="1:63" x14ac:dyDescent="0.35">
      <c r="A256" s="4">
        <v>73</v>
      </c>
      <c r="B256" s="4">
        <v>40</v>
      </c>
      <c r="C256" t="s">
        <v>119</v>
      </c>
      <c r="D256" t="s">
        <v>89</v>
      </c>
      <c r="E256" t="s">
        <v>104</v>
      </c>
      <c r="F256" t="s">
        <v>115</v>
      </c>
      <c r="G256" t="s">
        <v>67</v>
      </c>
      <c r="H256" s="2">
        <v>300</v>
      </c>
      <c r="I256" t="s">
        <v>68</v>
      </c>
      <c r="J256" t="s">
        <v>69</v>
      </c>
      <c r="K256" t="s">
        <v>69</v>
      </c>
      <c r="L256" t="s">
        <v>69</v>
      </c>
      <c r="M256" s="4">
        <v>3</v>
      </c>
      <c r="N256" t="s">
        <v>91</v>
      </c>
      <c r="O256" s="4">
        <v>2</v>
      </c>
      <c r="P256" t="s">
        <v>71</v>
      </c>
      <c r="Q256" s="4">
        <v>3</v>
      </c>
      <c r="R256" t="s">
        <v>91</v>
      </c>
      <c r="S256" s="4">
        <v>1</v>
      </c>
      <c r="T256" t="s">
        <v>71</v>
      </c>
      <c r="U256" t="s">
        <v>73</v>
      </c>
      <c r="V256" t="s">
        <v>93</v>
      </c>
      <c r="W256" t="s">
        <v>93</v>
      </c>
      <c r="X256" t="s">
        <v>94</v>
      </c>
      <c r="Y256" t="s">
        <v>69</v>
      </c>
      <c r="Z256" s="4">
        <v>5</v>
      </c>
      <c r="AA256" t="s">
        <v>77</v>
      </c>
      <c r="AB256" s="4">
        <v>120</v>
      </c>
      <c r="AC256" s="4">
        <v>69</v>
      </c>
      <c r="AD256" s="4">
        <v>65</v>
      </c>
      <c r="AE256" s="4">
        <v>164</v>
      </c>
      <c r="AF256" s="4">
        <v>76</v>
      </c>
      <c r="AG256" s="4">
        <v>98</v>
      </c>
      <c r="AH256" s="4">
        <v>86</v>
      </c>
      <c r="AI256" s="4">
        <v>114</v>
      </c>
      <c r="AJ256" s="4">
        <v>52</v>
      </c>
      <c r="AK256" t="s">
        <v>78</v>
      </c>
      <c r="AL256" t="s">
        <v>95</v>
      </c>
      <c r="AM256" t="s">
        <v>80</v>
      </c>
      <c r="AN256" t="s">
        <v>96</v>
      </c>
      <c r="AO256" t="s">
        <v>97</v>
      </c>
      <c r="AP256" t="s">
        <v>85</v>
      </c>
      <c r="AQ256" t="s">
        <v>85</v>
      </c>
      <c r="AR256" t="s">
        <v>85</v>
      </c>
      <c r="AS256" t="s">
        <v>84</v>
      </c>
      <c r="AT256" t="s">
        <v>85</v>
      </c>
      <c r="AU256" t="s">
        <v>85</v>
      </c>
      <c r="AV256" t="s">
        <v>85</v>
      </c>
      <c r="AW256" s="4">
        <v>0</v>
      </c>
      <c r="AX256" s="4">
        <v>0</v>
      </c>
      <c r="AY256" s="4">
        <v>0</v>
      </c>
      <c r="AZ256" s="3">
        <v>1.64</v>
      </c>
      <c r="BA256" s="3">
        <v>2.6895999999999995</v>
      </c>
      <c r="BB256" s="3">
        <v>24.167162403331353</v>
      </c>
      <c r="BC256" t="s">
        <v>85</v>
      </c>
      <c r="BD256" t="s">
        <v>86</v>
      </c>
      <c r="BE256" s="4">
        <v>0</v>
      </c>
      <c r="BF256" t="s">
        <v>87</v>
      </c>
      <c r="BG256" s="1" t="e">
        <v>#NULL!</v>
      </c>
      <c r="BH256" s="4">
        <v>0</v>
      </c>
      <c r="BI256" t="s">
        <v>85</v>
      </c>
      <c r="BJ256" s="4">
        <v>0</v>
      </c>
      <c r="BK256" t="s">
        <v>88</v>
      </c>
    </row>
    <row r="257" spans="1:63" x14ac:dyDescent="0.35">
      <c r="A257" s="4">
        <v>86</v>
      </c>
      <c r="B257" s="4">
        <v>40</v>
      </c>
      <c r="C257" t="s">
        <v>119</v>
      </c>
      <c r="D257" t="s">
        <v>89</v>
      </c>
      <c r="E257" t="s">
        <v>104</v>
      </c>
      <c r="F257" t="s">
        <v>115</v>
      </c>
      <c r="G257" t="s">
        <v>67</v>
      </c>
      <c r="H257" s="2">
        <v>450</v>
      </c>
      <c r="I257" t="s">
        <v>68</v>
      </c>
      <c r="J257" t="s">
        <v>69</v>
      </c>
      <c r="K257" t="s">
        <v>69</v>
      </c>
      <c r="L257" t="s">
        <v>69</v>
      </c>
      <c r="M257" s="4">
        <v>3</v>
      </c>
      <c r="N257" t="s">
        <v>91</v>
      </c>
      <c r="O257" s="4">
        <v>2</v>
      </c>
      <c r="P257" t="s">
        <v>71</v>
      </c>
      <c r="Q257" s="4">
        <v>2</v>
      </c>
      <c r="R257" t="s">
        <v>71</v>
      </c>
      <c r="S257" s="4">
        <v>1</v>
      </c>
      <c r="T257" t="s">
        <v>71</v>
      </c>
      <c r="U257" t="s">
        <v>92</v>
      </c>
      <c r="V257" t="s">
        <v>93</v>
      </c>
      <c r="W257" t="s">
        <v>93</v>
      </c>
      <c r="X257" t="s">
        <v>94</v>
      </c>
      <c r="Y257" t="s">
        <v>69</v>
      </c>
      <c r="Z257" s="4">
        <v>6</v>
      </c>
      <c r="AA257" t="s">
        <v>77</v>
      </c>
      <c r="AB257" s="4">
        <v>144</v>
      </c>
      <c r="AC257" s="4">
        <v>79</v>
      </c>
      <c r="AD257" s="4">
        <v>64</v>
      </c>
      <c r="AE257" s="4">
        <v>170</v>
      </c>
      <c r="AF257" s="4">
        <v>76</v>
      </c>
      <c r="AG257" s="4">
        <v>94</v>
      </c>
      <c r="AH257" s="4">
        <v>128</v>
      </c>
      <c r="AI257" s="4">
        <v>175</v>
      </c>
      <c r="AJ257" s="4">
        <v>38</v>
      </c>
      <c r="AK257" t="s">
        <v>107</v>
      </c>
      <c r="AL257" t="s">
        <v>79</v>
      </c>
      <c r="AM257" t="s">
        <v>80</v>
      </c>
      <c r="AN257" t="s">
        <v>81</v>
      </c>
      <c r="AO257" t="s">
        <v>82</v>
      </c>
      <c r="AP257" t="s">
        <v>83</v>
      </c>
      <c r="AQ257" t="s">
        <v>83</v>
      </c>
      <c r="AR257" t="s">
        <v>83</v>
      </c>
      <c r="AS257" t="s">
        <v>102</v>
      </c>
      <c r="AT257" t="s">
        <v>85</v>
      </c>
      <c r="AU257" t="s">
        <v>85</v>
      </c>
      <c r="AV257" t="s">
        <v>85</v>
      </c>
      <c r="AW257" s="4">
        <v>4</v>
      </c>
      <c r="AX257" s="4">
        <v>1</v>
      </c>
      <c r="AY257" s="4">
        <v>1</v>
      </c>
      <c r="AZ257" s="3">
        <v>1.7</v>
      </c>
      <c r="BA257" s="3">
        <v>2.8899999999999997</v>
      </c>
      <c r="BB257" s="3">
        <v>22.145328719723185</v>
      </c>
      <c r="BC257" t="s">
        <v>85</v>
      </c>
      <c r="BD257" t="s">
        <v>86</v>
      </c>
      <c r="BE257" s="4">
        <v>4</v>
      </c>
      <c r="BF257" t="s">
        <v>87</v>
      </c>
      <c r="BG257" s="1" t="e">
        <v>#NULL!</v>
      </c>
      <c r="BH257" s="4">
        <v>0</v>
      </c>
      <c r="BI257" t="s">
        <v>85</v>
      </c>
      <c r="BJ257" s="4">
        <v>4</v>
      </c>
      <c r="BK257" t="s">
        <v>112</v>
      </c>
    </row>
    <row r="258" spans="1:63" x14ac:dyDescent="0.35">
      <c r="A258" s="4">
        <v>100</v>
      </c>
      <c r="B258" s="4">
        <v>40</v>
      </c>
      <c r="C258" t="s">
        <v>119</v>
      </c>
      <c r="D258" t="s">
        <v>64</v>
      </c>
      <c r="E258" t="s">
        <v>104</v>
      </c>
      <c r="F258" t="s">
        <v>115</v>
      </c>
      <c r="G258" t="s">
        <v>67</v>
      </c>
      <c r="H258" s="2">
        <v>300</v>
      </c>
      <c r="I258" t="s">
        <v>68</v>
      </c>
      <c r="J258" t="s">
        <v>70</v>
      </c>
      <c r="K258" t="s">
        <v>69</v>
      </c>
      <c r="L258" t="s">
        <v>69</v>
      </c>
      <c r="M258" s="4">
        <v>1</v>
      </c>
      <c r="N258" t="s">
        <v>71</v>
      </c>
      <c r="O258" s="4">
        <v>2</v>
      </c>
      <c r="P258" t="s">
        <v>71</v>
      </c>
      <c r="Q258" s="4">
        <v>1</v>
      </c>
      <c r="R258" t="s">
        <v>71</v>
      </c>
      <c r="S258" s="4">
        <v>1</v>
      </c>
      <c r="T258" t="s">
        <v>71</v>
      </c>
      <c r="U258" t="s">
        <v>73</v>
      </c>
      <c r="V258" t="s">
        <v>93</v>
      </c>
      <c r="W258" t="s">
        <v>93</v>
      </c>
      <c r="X258" t="s">
        <v>94</v>
      </c>
      <c r="Y258" t="s">
        <v>69</v>
      </c>
      <c r="Z258" s="4">
        <v>2</v>
      </c>
      <c r="AA258" t="s">
        <v>77</v>
      </c>
      <c r="AB258" s="4">
        <v>116</v>
      </c>
      <c r="AC258" s="4">
        <v>90</v>
      </c>
      <c r="AD258" s="4">
        <v>48</v>
      </c>
      <c r="AE258" s="4">
        <v>170</v>
      </c>
      <c r="AF258" s="4">
        <v>70</v>
      </c>
      <c r="AG258" s="4">
        <v>88</v>
      </c>
      <c r="AH258" s="4">
        <v>88</v>
      </c>
      <c r="AI258" s="4">
        <v>72</v>
      </c>
      <c r="AJ258" s="4">
        <v>36</v>
      </c>
      <c r="AK258" t="s">
        <v>78</v>
      </c>
      <c r="AL258" t="s">
        <v>95</v>
      </c>
      <c r="AM258" t="s">
        <v>108</v>
      </c>
      <c r="AN258" t="s">
        <v>81</v>
      </c>
      <c r="AO258" t="s">
        <v>82</v>
      </c>
      <c r="AP258" t="s">
        <v>83</v>
      </c>
      <c r="AQ258" t="s">
        <v>83</v>
      </c>
      <c r="AR258" t="s">
        <v>83</v>
      </c>
      <c r="AS258" t="s">
        <v>84</v>
      </c>
      <c r="AT258" t="s">
        <v>85</v>
      </c>
      <c r="AU258" t="s">
        <v>85</v>
      </c>
      <c r="AV258" t="s">
        <v>85</v>
      </c>
      <c r="AW258" s="4">
        <v>2</v>
      </c>
      <c r="AX258" s="4">
        <v>1</v>
      </c>
      <c r="AY258" s="4">
        <v>1</v>
      </c>
      <c r="AZ258" s="3">
        <v>1.7</v>
      </c>
      <c r="BA258" s="3">
        <v>2.8899999999999997</v>
      </c>
      <c r="BB258" s="3">
        <v>16.60899653979239</v>
      </c>
      <c r="BC258" t="s">
        <v>100</v>
      </c>
      <c r="BD258" t="s">
        <v>86</v>
      </c>
      <c r="BE258" s="4">
        <v>2</v>
      </c>
      <c r="BF258" t="s">
        <v>87</v>
      </c>
      <c r="BG258" s="4">
        <v>0</v>
      </c>
      <c r="BH258" s="1" t="e">
        <v>#NULL!</v>
      </c>
      <c r="BI258" t="s">
        <v>85</v>
      </c>
      <c r="BJ258" s="4">
        <v>2</v>
      </c>
      <c r="BK258" t="s">
        <v>88</v>
      </c>
    </row>
    <row r="259" spans="1:63" x14ac:dyDescent="0.35">
      <c r="A259" s="4">
        <v>134</v>
      </c>
      <c r="B259" s="4">
        <v>40</v>
      </c>
      <c r="C259" t="s">
        <v>119</v>
      </c>
      <c r="D259" t="s">
        <v>89</v>
      </c>
      <c r="E259" t="s">
        <v>104</v>
      </c>
      <c r="F259" t="s">
        <v>90</v>
      </c>
      <c r="G259" t="s">
        <v>67</v>
      </c>
      <c r="H259" s="2">
        <v>300</v>
      </c>
      <c r="I259" t="s">
        <v>68</v>
      </c>
      <c r="J259" t="s">
        <v>69</v>
      </c>
      <c r="K259" t="s">
        <v>69</v>
      </c>
      <c r="L259" t="s">
        <v>69</v>
      </c>
      <c r="M259" s="4">
        <v>2</v>
      </c>
      <c r="N259" t="s">
        <v>71</v>
      </c>
      <c r="O259" s="4">
        <v>4</v>
      </c>
      <c r="P259" t="s">
        <v>91</v>
      </c>
      <c r="Q259" s="4">
        <v>2</v>
      </c>
      <c r="R259" t="s">
        <v>71</v>
      </c>
      <c r="S259" s="4">
        <v>2</v>
      </c>
      <c r="T259" t="s">
        <v>71</v>
      </c>
      <c r="U259" t="s">
        <v>92</v>
      </c>
      <c r="V259" t="s">
        <v>93</v>
      </c>
      <c r="W259" t="s">
        <v>93</v>
      </c>
      <c r="X259" t="s">
        <v>94</v>
      </c>
      <c r="Y259" t="s">
        <v>69</v>
      </c>
      <c r="Z259" s="4">
        <v>8</v>
      </c>
      <c r="AA259" t="s">
        <v>117</v>
      </c>
      <c r="AB259" s="4">
        <v>142</v>
      </c>
      <c r="AC259" s="4">
        <v>87</v>
      </c>
      <c r="AD259" s="4">
        <v>74</v>
      </c>
      <c r="AE259" s="4">
        <v>169</v>
      </c>
      <c r="AF259" s="4">
        <v>103</v>
      </c>
      <c r="AG259" s="4">
        <v>110</v>
      </c>
      <c r="AH259" s="4">
        <v>131</v>
      </c>
      <c r="AI259" s="4">
        <v>201</v>
      </c>
      <c r="AJ259" s="4">
        <v>22</v>
      </c>
      <c r="AK259" t="s">
        <v>107</v>
      </c>
      <c r="AL259" t="s">
        <v>79</v>
      </c>
      <c r="AM259" t="s">
        <v>108</v>
      </c>
      <c r="AN259" t="s">
        <v>109</v>
      </c>
      <c r="AO259" t="s">
        <v>82</v>
      </c>
      <c r="AP259" t="s">
        <v>83</v>
      </c>
      <c r="AQ259" t="s">
        <v>83</v>
      </c>
      <c r="AR259" t="s">
        <v>83</v>
      </c>
      <c r="AS259" t="s">
        <v>102</v>
      </c>
      <c r="AT259" t="s">
        <v>83</v>
      </c>
      <c r="AU259" t="s">
        <v>83</v>
      </c>
      <c r="AV259" t="s">
        <v>83</v>
      </c>
      <c r="AW259" s="4">
        <v>4</v>
      </c>
      <c r="AX259" s="4">
        <v>1</v>
      </c>
      <c r="AY259" s="4">
        <v>2</v>
      </c>
      <c r="AZ259" s="3">
        <v>1.69</v>
      </c>
      <c r="BA259" s="3">
        <v>2.8560999999999996</v>
      </c>
      <c r="BB259" s="3">
        <v>25.909456951787405</v>
      </c>
      <c r="BC259" t="s">
        <v>98</v>
      </c>
      <c r="BD259" t="s">
        <v>99</v>
      </c>
      <c r="BE259" s="4">
        <v>5</v>
      </c>
      <c r="BF259" t="s">
        <v>111</v>
      </c>
      <c r="BG259" s="1" t="e">
        <v>#NULL!</v>
      </c>
      <c r="BH259" s="4">
        <v>1</v>
      </c>
      <c r="BI259" t="s">
        <v>83</v>
      </c>
      <c r="BJ259" s="4">
        <v>5</v>
      </c>
      <c r="BK259" t="s">
        <v>112</v>
      </c>
    </row>
    <row r="260" spans="1:63" x14ac:dyDescent="0.35">
      <c r="A260" s="4">
        <v>137</v>
      </c>
      <c r="B260" s="4">
        <v>40</v>
      </c>
      <c r="C260" t="s">
        <v>119</v>
      </c>
      <c r="D260" t="s">
        <v>89</v>
      </c>
      <c r="E260" t="s">
        <v>104</v>
      </c>
      <c r="F260" t="s">
        <v>90</v>
      </c>
      <c r="G260" t="s">
        <v>67</v>
      </c>
      <c r="H260" s="2">
        <v>600</v>
      </c>
      <c r="I260" t="s">
        <v>105</v>
      </c>
      <c r="J260" t="s">
        <v>69</v>
      </c>
      <c r="K260" t="s">
        <v>69</v>
      </c>
      <c r="L260" t="s">
        <v>69</v>
      </c>
      <c r="M260" s="4">
        <v>2</v>
      </c>
      <c r="N260" t="s">
        <v>71</v>
      </c>
      <c r="O260" s="4">
        <v>5</v>
      </c>
      <c r="P260" t="s">
        <v>72</v>
      </c>
      <c r="Q260" s="4">
        <v>2</v>
      </c>
      <c r="R260" t="s">
        <v>71</v>
      </c>
      <c r="S260" s="4">
        <v>1</v>
      </c>
      <c r="T260" t="s">
        <v>71</v>
      </c>
      <c r="U260" t="s">
        <v>103</v>
      </c>
      <c r="V260" t="s">
        <v>93</v>
      </c>
      <c r="W260" t="s">
        <v>93</v>
      </c>
      <c r="X260" t="s">
        <v>94</v>
      </c>
      <c r="Y260" t="s">
        <v>69</v>
      </c>
      <c r="Z260" s="4">
        <v>4</v>
      </c>
      <c r="AA260" t="s">
        <v>77</v>
      </c>
      <c r="AB260" s="4">
        <v>134</v>
      </c>
      <c r="AC260" s="4">
        <v>80</v>
      </c>
      <c r="AD260" s="4">
        <v>86</v>
      </c>
      <c r="AE260" s="4">
        <v>165</v>
      </c>
      <c r="AF260" s="4">
        <v>111</v>
      </c>
      <c r="AG260" s="4">
        <v>123</v>
      </c>
      <c r="AH260" s="4">
        <v>90</v>
      </c>
      <c r="AI260" s="4">
        <v>84</v>
      </c>
      <c r="AJ260" s="4">
        <v>26</v>
      </c>
      <c r="AK260" t="s">
        <v>78</v>
      </c>
      <c r="AL260" t="s">
        <v>79</v>
      </c>
      <c r="AM260" t="s">
        <v>80</v>
      </c>
      <c r="AN260" t="s">
        <v>81</v>
      </c>
      <c r="AO260" t="s">
        <v>82</v>
      </c>
      <c r="AP260" t="s">
        <v>83</v>
      </c>
      <c r="AQ260" t="s">
        <v>83</v>
      </c>
      <c r="AR260" t="s">
        <v>83</v>
      </c>
      <c r="AS260" t="s">
        <v>84</v>
      </c>
      <c r="AT260" t="s">
        <v>83</v>
      </c>
      <c r="AU260" t="s">
        <v>83</v>
      </c>
      <c r="AV260" t="s">
        <v>83</v>
      </c>
      <c r="AW260" s="4">
        <v>2</v>
      </c>
      <c r="AX260" s="4">
        <v>1</v>
      </c>
      <c r="AY260" s="4">
        <v>2</v>
      </c>
      <c r="AZ260" s="3">
        <v>1.65</v>
      </c>
      <c r="BA260" s="3">
        <v>2.7224999999999997</v>
      </c>
      <c r="BB260" s="3">
        <v>31.588613406795229</v>
      </c>
      <c r="BC260" t="s">
        <v>110</v>
      </c>
      <c r="BD260" t="s">
        <v>99</v>
      </c>
      <c r="BE260" s="4">
        <v>3</v>
      </c>
      <c r="BF260" t="s">
        <v>111</v>
      </c>
      <c r="BG260" s="1" t="e">
        <v>#NULL!</v>
      </c>
      <c r="BH260" s="4">
        <v>1</v>
      </c>
      <c r="BI260" t="s">
        <v>83</v>
      </c>
      <c r="BJ260" s="4">
        <v>3</v>
      </c>
      <c r="BK260" t="s">
        <v>112</v>
      </c>
    </row>
    <row r="261" spans="1:63" x14ac:dyDescent="0.35">
      <c r="A261" s="4">
        <v>144</v>
      </c>
      <c r="B261" s="4">
        <v>40</v>
      </c>
      <c r="C261" t="s">
        <v>119</v>
      </c>
      <c r="D261" t="s">
        <v>89</v>
      </c>
      <c r="E261" t="s">
        <v>104</v>
      </c>
      <c r="F261" t="s">
        <v>115</v>
      </c>
      <c r="G261" t="s">
        <v>67</v>
      </c>
      <c r="H261" s="2">
        <v>700</v>
      </c>
      <c r="I261" t="s">
        <v>105</v>
      </c>
      <c r="J261" t="s">
        <v>69</v>
      </c>
      <c r="K261" t="s">
        <v>69</v>
      </c>
      <c r="L261" t="s">
        <v>69</v>
      </c>
      <c r="M261" s="4">
        <v>1</v>
      </c>
      <c r="N261" t="s">
        <v>71</v>
      </c>
      <c r="O261" s="4">
        <v>4</v>
      </c>
      <c r="P261" t="s">
        <v>91</v>
      </c>
      <c r="Q261" s="4">
        <v>1</v>
      </c>
      <c r="R261" t="s">
        <v>71</v>
      </c>
      <c r="S261" s="4">
        <v>2</v>
      </c>
      <c r="T261" t="s">
        <v>71</v>
      </c>
      <c r="U261" t="s">
        <v>92</v>
      </c>
      <c r="V261" t="s">
        <v>93</v>
      </c>
      <c r="W261" t="s">
        <v>93</v>
      </c>
      <c r="X261" t="s">
        <v>94</v>
      </c>
      <c r="Y261" t="s">
        <v>69</v>
      </c>
      <c r="Z261" s="4">
        <v>4</v>
      </c>
      <c r="AA261" t="s">
        <v>77</v>
      </c>
      <c r="AB261" s="4">
        <v>144</v>
      </c>
      <c r="AC261" s="4">
        <v>74</v>
      </c>
      <c r="AD261" s="4">
        <v>40</v>
      </c>
      <c r="AE261" s="4">
        <v>155</v>
      </c>
      <c r="AF261" s="4">
        <v>66</v>
      </c>
      <c r="AG261" s="4">
        <v>83</v>
      </c>
      <c r="AH261" s="4">
        <v>111</v>
      </c>
      <c r="AI261" s="4">
        <v>35</v>
      </c>
      <c r="AJ261" s="4">
        <v>73</v>
      </c>
      <c r="AK261" t="s">
        <v>78</v>
      </c>
      <c r="AL261" t="s">
        <v>79</v>
      </c>
      <c r="AM261" t="s">
        <v>80</v>
      </c>
      <c r="AN261" t="s">
        <v>81</v>
      </c>
      <c r="AO261" t="s">
        <v>82</v>
      </c>
      <c r="AP261" t="s">
        <v>85</v>
      </c>
      <c r="AQ261" t="s">
        <v>85</v>
      </c>
      <c r="AR261" t="s">
        <v>85</v>
      </c>
      <c r="AS261" t="s">
        <v>102</v>
      </c>
      <c r="AT261" t="s">
        <v>85</v>
      </c>
      <c r="AU261" t="s">
        <v>85</v>
      </c>
      <c r="AV261" t="s">
        <v>85</v>
      </c>
      <c r="AW261" s="4">
        <v>2</v>
      </c>
      <c r="AX261" s="4">
        <v>1</v>
      </c>
      <c r="AY261" s="4">
        <v>1</v>
      </c>
      <c r="AZ261" s="3">
        <v>1.55</v>
      </c>
      <c r="BA261" s="3">
        <v>2.4025000000000003</v>
      </c>
      <c r="BB261" s="3">
        <v>16.649323621227886</v>
      </c>
      <c r="BC261" t="s">
        <v>100</v>
      </c>
      <c r="BD261" t="s">
        <v>86</v>
      </c>
      <c r="BE261" s="4">
        <v>2</v>
      </c>
      <c r="BF261" t="s">
        <v>87</v>
      </c>
      <c r="BG261" s="1" t="e">
        <v>#NULL!</v>
      </c>
      <c r="BH261" s="4">
        <v>0</v>
      </c>
      <c r="BI261" t="s">
        <v>85</v>
      </c>
      <c r="BJ261" s="4">
        <v>2</v>
      </c>
      <c r="BK261" t="s">
        <v>88</v>
      </c>
    </row>
    <row r="262" spans="1:63" x14ac:dyDescent="0.35">
      <c r="A262" s="4">
        <v>176</v>
      </c>
      <c r="B262" s="4">
        <v>40</v>
      </c>
      <c r="C262" t="s">
        <v>119</v>
      </c>
      <c r="D262" t="s">
        <v>64</v>
      </c>
      <c r="E262" t="s">
        <v>104</v>
      </c>
      <c r="F262" t="s">
        <v>66</v>
      </c>
      <c r="G262" t="s">
        <v>67</v>
      </c>
      <c r="H262" s="2">
        <v>450</v>
      </c>
      <c r="I262" t="s">
        <v>68</v>
      </c>
      <c r="J262" t="s">
        <v>70</v>
      </c>
      <c r="K262" t="s">
        <v>69</v>
      </c>
      <c r="L262" t="s">
        <v>69</v>
      </c>
      <c r="M262" s="4">
        <v>3</v>
      </c>
      <c r="N262" t="s">
        <v>91</v>
      </c>
      <c r="O262" s="4">
        <v>4</v>
      </c>
      <c r="P262" t="s">
        <v>91</v>
      </c>
      <c r="Q262" s="4">
        <v>4</v>
      </c>
      <c r="R262" t="s">
        <v>91</v>
      </c>
      <c r="S262" s="4">
        <v>4</v>
      </c>
      <c r="T262" t="s">
        <v>91</v>
      </c>
      <c r="U262" t="s">
        <v>92</v>
      </c>
      <c r="V262" t="s">
        <v>93</v>
      </c>
      <c r="W262" t="s">
        <v>75</v>
      </c>
      <c r="X262" t="s">
        <v>76</v>
      </c>
      <c r="Y262" t="s">
        <v>69</v>
      </c>
      <c r="Z262" s="4">
        <v>3</v>
      </c>
      <c r="AA262" t="s">
        <v>77</v>
      </c>
      <c r="AB262" s="4">
        <v>125</v>
      </c>
      <c r="AC262" s="4">
        <v>81</v>
      </c>
      <c r="AD262" s="4">
        <v>51</v>
      </c>
      <c r="AE262" s="4">
        <v>175</v>
      </c>
      <c r="AF262" s="4">
        <v>68</v>
      </c>
      <c r="AG262" s="4">
        <v>86</v>
      </c>
      <c r="AH262" s="4">
        <v>73</v>
      </c>
      <c r="AI262" s="4">
        <v>70</v>
      </c>
      <c r="AJ262" s="4">
        <v>43</v>
      </c>
      <c r="AK262" t="s">
        <v>78</v>
      </c>
      <c r="AL262" t="s">
        <v>95</v>
      </c>
      <c r="AM262" t="s">
        <v>80</v>
      </c>
      <c r="AN262" t="s">
        <v>96</v>
      </c>
      <c r="AO262" t="s">
        <v>97</v>
      </c>
      <c r="AP262" t="s">
        <v>83</v>
      </c>
      <c r="AQ262" t="s">
        <v>85</v>
      </c>
      <c r="AR262" t="s">
        <v>85</v>
      </c>
      <c r="AS262" t="s">
        <v>84</v>
      </c>
      <c r="AT262" t="s">
        <v>85</v>
      </c>
      <c r="AU262" t="s">
        <v>85</v>
      </c>
      <c r="AV262" t="s">
        <v>85</v>
      </c>
      <c r="AW262" s="4">
        <v>0</v>
      </c>
      <c r="AX262" s="4">
        <v>0</v>
      </c>
      <c r="AY262" s="4">
        <v>0</v>
      </c>
      <c r="AZ262" s="3">
        <v>1.75</v>
      </c>
      <c r="BA262" s="3">
        <v>3.0625</v>
      </c>
      <c r="BB262" s="3">
        <v>16.653061224489797</v>
      </c>
      <c r="BC262" t="s">
        <v>100</v>
      </c>
      <c r="BD262" t="s">
        <v>86</v>
      </c>
      <c r="BE262" s="4">
        <v>0</v>
      </c>
      <c r="BF262" t="s">
        <v>87</v>
      </c>
      <c r="BG262" s="4">
        <v>0</v>
      </c>
      <c r="BH262" s="1" t="e">
        <v>#NULL!</v>
      </c>
      <c r="BI262" t="s">
        <v>85</v>
      </c>
      <c r="BJ262" s="4">
        <v>0</v>
      </c>
      <c r="BK262" t="s">
        <v>88</v>
      </c>
    </row>
    <row r="263" spans="1:63" x14ac:dyDescent="0.35">
      <c r="A263" s="4">
        <v>185</v>
      </c>
      <c r="B263" s="4">
        <v>40</v>
      </c>
      <c r="C263" t="s">
        <v>119</v>
      </c>
      <c r="D263" t="s">
        <v>89</v>
      </c>
      <c r="E263" t="s">
        <v>104</v>
      </c>
      <c r="F263" t="s">
        <v>66</v>
      </c>
      <c r="G263" t="s">
        <v>67</v>
      </c>
      <c r="H263" s="2">
        <v>250</v>
      </c>
      <c r="I263" t="s">
        <v>68</v>
      </c>
      <c r="J263" t="s">
        <v>69</v>
      </c>
      <c r="K263" t="s">
        <v>69</v>
      </c>
      <c r="L263" t="s">
        <v>69</v>
      </c>
      <c r="M263" s="4">
        <v>3</v>
      </c>
      <c r="N263" t="s">
        <v>91</v>
      </c>
      <c r="O263" s="4">
        <v>2</v>
      </c>
      <c r="P263" t="s">
        <v>71</v>
      </c>
      <c r="Q263" s="4">
        <v>2</v>
      </c>
      <c r="R263" t="s">
        <v>71</v>
      </c>
      <c r="S263" s="4">
        <v>1</v>
      </c>
      <c r="T263" t="s">
        <v>71</v>
      </c>
      <c r="U263" t="s">
        <v>73</v>
      </c>
      <c r="V263" t="s">
        <v>93</v>
      </c>
      <c r="W263" t="s">
        <v>93</v>
      </c>
      <c r="X263" t="s">
        <v>94</v>
      </c>
      <c r="Y263" t="s">
        <v>69</v>
      </c>
      <c r="Z263" s="4">
        <v>10</v>
      </c>
      <c r="AA263" t="s">
        <v>117</v>
      </c>
      <c r="AB263" s="4">
        <v>150</v>
      </c>
      <c r="AC263" s="4">
        <v>89</v>
      </c>
      <c r="AD263" s="4">
        <v>59</v>
      </c>
      <c r="AE263" s="4">
        <v>153</v>
      </c>
      <c r="AF263" s="4">
        <v>90</v>
      </c>
      <c r="AG263" s="4">
        <v>96</v>
      </c>
      <c r="AH263" s="4">
        <v>141</v>
      </c>
      <c r="AI263" s="4">
        <v>53</v>
      </c>
      <c r="AJ263" s="4">
        <v>52</v>
      </c>
      <c r="AK263" t="s">
        <v>78</v>
      </c>
      <c r="AL263" t="s">
        <v>79</v>
      </c>
      <c r="AM263" t="s">
        <v>108</v>
      </c>
      <c r="AN263" t="s">
        <v>109</v>
      </c>
      <c r="AO263" t="s">
        <v>82</v>
      </c>
      <c r="AP263" t="s">
        <v>85</v>
      </c>
      <c r="AQ263" t="s">
        <v>85</v>
      </c>
      <c r="AR263" t="s">
        <v>85</v>
      </c>
      <c r="AS263" t="s">
        <v>102</v>
      </c>
      <c r="AT263" t="s">
        <v>85</v>
      </c>
      <c r="AU263" t="s">
        <v>83</v>
      </c>
      <c r="AV263" t="s">
        <v>83</v>
      </c>
      <c r="AW263" s="4">
        <v>2</v>
      </c>
      <c r="AX263" s="4">
        <v>1</v>
      </c>
      <c r="AY263" s="4">
        <v>2</v>
      </c>
      <c r="AZ263" s="3">
        <v>1.53</v>
      </c>
      <c r="BA263" s="3">
        <v>2.3409</v>
      </c>
      <c r="BB263" s="3">
        <v>25.20398137468495</v>
      </c>
      <c r="BC263" t="s">
        <v>98</v>
      </c>
      <c r="BD263" t="s">
        <v>99</v>
      </c>
      <c r="BE263" s="4">
        <v>3</v>
      </c>
      <c r="BF263" t="s">
        <v>111</v>
      </c>
      <c r="BG263" s="1" t="e">
        <v>#NULL!</v>
      </c>
      <c r="BH263" s="4">
        <v>1</v>
      </c>
      <c r="BI263" t="s">
        <v>83</v>
      </c>
      <c r="BJ263" s="4">
        <v>3</v>
      </c>
      <c r="BK263" t="s">
        <v>112</v>
      </c>
    </row>
    <row r="264" spans="1:63" x14ac:dyDescent="0.35">
      <c r="A264" s="4">
        <v>196</v>
      </c>
      <c r="B264" s="4">
        <v>40</v>
      </c>
      <c r="C264" t="s">
        <v>119</v>
      </c>
      <c r="D264" t="s">
        <v>89</v>
      </c>
      <c r="E264" t="s">
        <v>104</v>
      </c>
      <c r="F264" t="s">
        <v>101</v>
      </c>
      <c r="G264" t="s">
        <v>67</v>
      </c>
      <c r="H264" s="2">
        <v>800</v>
      </c>
      <c r="I264" t="s">
        <v>105</v>
      </c>
      <c r="J264" t="s">
        <v>69</v>
      </c>
      <c r="K264" t="s">
        <v>69</v>
      </c>
      <c r="L264" t="s">
        <v>69</v>
      </c>
      <c r="M264" s="4">
        <v>3</v>
      </c>
      <c r="N264" t="s">
        <v>91</v>
      </c>
      <c r="O264" s="4">
        <v>2</v>
      </c>
      <c r="P264" t="s">
        <v>71</v>
      </c>
      <c r="Q264" s="4">
        <v>4</v>
      </c>
      <c r="R264" t="s">
        <v>91</v>
      </c>
      <c r="S264" s="4">
        <v>1</v>
      </c>
      <c r="T264" t="s">
        <v>71</v>
      </c>
      <c r="U264" t="s">
        <v>92</v>
      </c>
      <c r="V264" t="s">
        <v>93</v>
      </c>
      <c r="W264" t="s">
        <v>93</v>
      </c>
      <c r="X264" t="s">
        <v>94</v>
      </c>
      <c r="Y264" t="s">
        <v>69</v>
      </c>
      <c r="Z264" s="4">
        <v>1</v>
      </c>
      <c r="AA264" t="s">
        <v>77</v>
      </c>
      <c r="AB264" s="4">
        <v>120</v>
      </c>
      <c r="AC264" s="4">
        <v>85</v>
      </c>
      <c r="AD264" s="4">
        <v>75</v>
      </c>
      <c r="AE264" s="4">
        <v>165</v>
      </c>
      <c r="AF264" s="4">
        <v>113</v>
      </c>
      <c r="AG264" s="4">
        <v>133</v>
      </c>
      <c r="AH264" s="4">
        <v>152</v>
      </c>
      <c r="AI264" s="4">
        <v>65</v>
      </c>
      <c r="AJ264" s="4">
        <v>55</v>
      </c>
      <c r="AK264" t="s">
        <v>78</v>
      </c>
      <c r="AL264" t="s">
        <v>95</v>
      </c>
      <c r="AM264" t="s">
        <v>108</v>
      </c>
      <c r="AN264" t="s">
        <v>81</v>
      </c>
      <c r="AO264" t="s">
        <v>82</v>
      </c>
      <c r="AP264" t="s">
        <v>85</v>
      </c>
      <c r="AQ264" t="s">
        <v>85</v>
      </c>
      <c r="AR264" t="s">
        <v>85</v>
      </c>
      <c r="AS264" t="s">
        <v>102</v>
      </c>
      <c r="AT264" t="s">
        <v>83</v>
      </c>
      <c r="AU264" t="s">
        <v>83</v>
      </c>
      <c r="AV264" t="s">
        <v>83</v>
      </c>
      <c r="AW264" s="4">
        <v>2</v>
      </c>
      <c r="AX264" s="4">
        <v>1</v>
      </c>
      <c r="AY264" s="4">
        <v>2</v>
      </c>
      <c r="AZ264" s="3">
        <v>1.65</v>
      </c>
      <c r="BA264" s="3">
        <v>2.7224999999999997</v>
      </c>
      <c r="BB264" s="3">
        <v>27.548209366391188</v>
      </c>
      <c r="BC264" t="s">
        <v>98</v>
      </c>
      <c r="BD264" t="s">
        <v>99</v>
      </c>
      <c r="BE264" s="4">
        <v>3</v>
      </c>
      <c r="BF264" t="s">
        <v>111</v>
      </c>
      <c r="BG264" s="1" t="e">
        <v>#NULL!</v>
      </c>
      <c r="BH264" s="4">
        <v>1</v>
      </c>
      <c r="BI264" t="s">
        <v>83</v>
      </c>
      <c r="BJ264" s="4">
        <v>3</v>
      </c>
      <c r="BK264" t="s">
        <v>112</v>
      </c>
    </row>
    <row r="265" spans="1:63" x14ac:dyDescent="0.35">
      <c r="A265" s="4">
        <v>223</v>
      </c>
      <c r="B265" s="4">
        <v>40</v>
      </c>
      <c r="C265" t="s">
        <v>119</v>
      </c>
      <c r="D265" t="s">
        <v>64</v>
      </c>
      <c r="E265" t="s">
        <v>104</v>
      </c>
      <c r="F265" t="s">
        <v>101</v>
      </c>
      <c r="G265" t="s">
        <v>67</v>
      </c>
      <c r="H265" s="2">
        <v>880</v>
      </c>
      <c r="I265" t="s">
        <v>105</v>
      </c>
      <c r="J265" t="s">
        <v>69</v>
      </c>
      <c r="K265" t="s">
        <v>70</v>
      </c>
      <c r="L265" t="s">
        <v>69</v>
      </c>
      <c r="M265" s="4">
        <v>1</v>
      </c>
      <c r="N265" t="s">
        <v>71</v>
      </c>
      <c r="O265" s="4">
        <v>2</v>
      </c>
      <c r="P265" t="s">
        <v>71</v>
      </c>
      <c r="Q265" s="4">
        <v>1</v>
      </c>
      <c r="R265" t="s">
        <v>71</v>
      </c>
      <c r="S265" s="4">
        <v>1</v>
      </c>
      <c r="T265" t="s">
        <v>71</v>
      </c>
      <c r="U265" t="s">
        <v>92</v>
      </c>
      <c r="V265" t="s">
        <v>93</v>
      </c>
      <c r="W265" t="s">
        <v>93</v>
      </c>
      <c r="X265" t="s">
        <v>94</v>
      </c>
      <c r="Y265" t="s">
        <v>69</v>
      </c>
      <c r="Z265" s="4">
        <v>3</v>
      </c>
      <c r="AA265" t="s">
        <v>77</v>
      </c>
      <c r="AB265" s="4">
        <v>100</v>
      </c>
      <c r="AC265" s="4">
        <v>70</v>
      </c>
      <c r="AD265" s="4">
        <v>68</v>
      </c>
      <c r="AE265" s="4">
        <v>172</v>
      </c>
      <c r="AF265" s="4">
        <v>78</v>
      </c>
      <c r="AG265" s="4">
        <v>88</v>
      </c>
      <c r="AH265" s="4">
        <v>82</v>
      </c>
      <c r="AI265" s="4">
        <v>128</v>
      </c>
      <c r="AJ265" s="4">
        <v>70</v>
      </c>
      <c r="AK265" t="s">
        <v>78</v>
      </c>
      <c r="AL265" t="s">
        <v>95</v>
      </c>
      <c r="AM265" t="s">
        <v>80</v>
      </c>
      <c r="AN265" t="s">
        <v>96</v>
      </c>
      <c r="AO265" t="s">
        <v>97</v>
      </c>
      <c r="AP265" t="s">
        <v>85</v>
      </c>
      <c r="AQ265" t="s">
        <v>85</v>
      </c>
      <c r="AR265" t="s">
        <v>85</v>
      </c>
      <c r="AS265" t="s">
        <v>84</v>
      </c>
      <c r="AT265" t="s">
        <v>85</v>
      </c>
      <c r="AU265" t="s">
        <v>85</v>
      </c>
      <c r="AV265" t="s">
        <v>85</v>
      </c>
      <c r="AW265" s="4">
        <v>0</v>
      </c>
      <c r="AX265" s="4">
        <v>0</v>
      </c>
      <c r="AY265" s="4">
        <v>0</v>
      </c>
      <c r="AZ265" s="3">
        <v>1.72</v>
      </c>
      <c r="BA265" s="3">
        <v>2.9583999999999997</v>
      </c>
      <c r="BB265" s="3">
        <v>22.985397512168742</v>
      </c>
      <c r="BC265" t="s">
        <v>85</v>
      </c>
      <c r="BD265" t="s">
        <v>86</v>
      </c>
      <c r="BE265" s="4">
        <v>0</v>
      </c>
      <c r="BF265" t="s">
        <v>87</v>
      </c>
      <c r="BG265" s="4">
        <v>0</v>
      </c>
      <c r="BH265" s="1" t="e">
        <v>#NULL!</v>
      </c>
      <c r="BI265" t="s">
        <v>85</v>
      </c>
      <c r="BJ265" s="4">
        <v>0</v>
      </c>
      <c r="BK265" t="s">
        <v>88</v>
      </c>
    </row>
    <row r="266" spans="1:63" x14ac:dyDescent="0.35">
      <c r="A266" s="4">
        <v>325</v>
      </c>
      <c r="B266" s="4">
        <v>40</v>
      </c>
      <c r="C266" t="s">
        <v>119</v>
      </c>
      <c r="D266" t="s">
        <v>89</v>
      </c>
      <c r="E266" t="s">
        <v>104</v>
      </c>
      <c r="F266" t="s">
        <v>90</v>
      </c>
      <c r="G266" t="s">
        <v>67</v>
      </c>
      <c r="H266" s="2">
        <v>800</v>
      </c>
      <c r="I266" t="s">
        <v>105</v>
      </c>
      <c r="J266" t="s">
        <v>69</v>
      </c>
      <c r="K266" t="s">
        <v>69</v>
      </c>
      <c r="L266" t="s">
        <v>69</v>
      </c>
      <c r="M266" s="4">
        <v>1</v>
      </c>
      <c r="N266" t="s">
        <v>71</v>
      </c>
      <c r="O266" s="4">
        <v>4</v>
      </c>
      <c r="P266" t="s">
        <v>91</v>
      </c>
      <c r="Q266" s="4">
        <v>1</v>
      </c>
      <c r="R266" t="s">
        <v>71</v>
      </c>
      <c r="S266" s="4">
        <v>3</v>
      </c>
      <c r="T266" t="s">
        <v>91</v>
      </c>
      <c r="U266" t="s">
        <v>73</v>
      </c>
      <c r="V266" t="s">
        <v>93</v>
      </c>
      <c r="W266" t="s">
        <v>93</v>
      </c>
      <c r="X266" t="s">
        <v>94</v>
      </c>
      <c r="Y266" t="s">
        <v>69</v>
      </c>
      <c r="Z266" s="4">
        <v>7</v>
      </c>
      <c r="AA266" t="s">
        <v>77</v>
      </c>
      <c r="AB266" s="4">
        <v>140</v>
      </c>
      <c r="AC266" s="4">
        <v>93</v>
      </c>
      <c r="AD266" s="4">
        <v>106</v>
      </c>
      <c r="AE266" s="4">
        <v>171</v>
      </c>
      <c r="AF266" s="4">
        <v>107</v>
      </c>
      <c r="AG266" s="4">
        <v>133</v>
      </c>
      <c r="AH266" s="4">
        <v>114</v>
      </c>
      <c r="AI266" s="4">
        <v>109</v>
      </c>
      <c r="AJ266" s="4">
        <v>51</v>
      </c>
      <c r="AK266" t="s">
        <v>78</v>
      </c>
      <c r="AL266" t="s">
        <v>79</v>
      </c>
      <c r="AM266" t="s">
        <v>108</v>
      </c>
      <c r="AN266" t="s">
        <v>109</v>
      </c>
      <c r="AO266" t="s">
        <v>82</v>
      </c>
      <c r="AP266" t="s">
        <v>85</v>
      </c>
      <c r="AQ266" t="s">
        <v>85</v>
      </c>
      <c r="AR266" t="s">
        <v>85</v>
      </c>
      <c r="AS266" t="s">
        <v>102</v>
      </c>
      <c r="AT266" t="s">
        <v>83</v>
      </c>
      <c r="AU266" t="s">
        <v>83</v>
      </c>
      <c r="AV266" t="s">
        <v>83</v>
      </c>
      <c r="AW266" s="4">
        <v>2</v>
      </c>
      <c r="AX266" s="4">
        <v>1</v>
      </c>
      <c r="AY266" s="4">
        <v>2</v>
      </c>
      <c r="AZ266" s="3">
        <v>1.71</v>
      </c>
      <c r="BA266" s="3">
        <v>2.9240999999999997</v>
      </c>
      <c r="BB266" s="3">
        <v>36.250470230156289</v>
      </c>
      <c r="BC266" t="s">
        <v>110</v>
      </c>
      <c r="BD266" t="s">
        <v>99</v>
      </c>
      <c r="BE266" s="4">
        <v>3</v>
      </c>
      <c r="BF266" t="s">
        <v>111</v>
      </c>
      <c r="BG266" s="1" t="e">
        <v>#NULL!</v>
      </c>
      <c r="BH266" s="4">
        <v>1</v>
      </c>
      <c r="BI266" t="s">
        <v>83</v>
      </c>
      <c r="BJ266" s="4">
        <v>3</v>
      </c>
      <c r="BK266" t="s">
        <v>112</v>
      </c>
    </row>
    <row r="267" spans="1:63" x14ac:dyDescent="0.35">
      <c r="A267" s="4">
        <v>354</v>
      </c>
      <c r="B267" s="4">
        <v>40</v>
      </c>
      <c r="C267" t="s">
        <v>119</v>
      </c>
      <c r="D267" t="s">
        <v>64</v>
      </c>
      <c r="E267" t="s">
        <v>104</v>
      </c>
      <c r="F267" t="s">
        <v>101</v>
      </c>
      <c r="G267" t="s">
        <v>67</v>
      </c>
      <c r="H267" s="2">
        <v>600</v>
      </c>
      <c r="I267" t="s">
        <v>105</v>
      </c>
      <c r="J267" t="s">
        <v>69</v>
      </c>
      <c r="K267" t="s">
        <v>69</v>
      </c>
      <c r="L267" t="s">
        <v>69</v>
      </c>
      <c r="M267" s="4">
        <v>5</v>
      </c>
      <c r="N267" t="s">
        <v>72</v>
      </c>
      <c r="O267" s="4">
        <v>5</v>
      </c>
      <c r="P267" t="s">
        <v>72</v>
      </c>
      <c r="Q267" s="4">
        <v>6</v>
      </c>
      <c r="R267" t="s">
        <v>72</v>
      </c>
      <c r="S267" s="4">
        <v>4</v>
      </c>
      <c r="T267" t="s">
        <v>91</v>
      </c>
      <c r="U267" t="s">
        <v>92</v>
      </c>
      <c r="V267" t="s">
        <v>74</v>
      </c>
      <c r="W267" t="s">
        <v>93</v>
      </c>
      <c r="X267" t="s">
        <v>94</v>
      </c>
      <c r="Y267" t="s">
        <v>69</v>
      </c>
      <c r="Z267" s="4">
        <v>3</v>
      </c>
      <c r="AA267" t="s">
        <v>77</v>
      </c>
      <c r="AB267" s="4">
        <v>122</v>
      </c>
      <c r="AC267" s="4">
        <v>81</v>
      </c>
      <c r="AD267" s="4">
        <v>85</v>
      </c>
      <c r="AE267" s="4">
        <v>178</v>
      </c>
      <c r="AF267" s="4">
        <v>84</v>
      </c>
      <c r="AG267" s="4">
        <v>106</v>
      </c>
      <c r="AH267" s="4">
        <v>118</v>
      </c>
      <c r="AI267" s="4">
        <v>89</v>
      </c>
      <c r="AJ267" s="4">
        <v>43</v>
      </c>
      <c r="AK267" t="s">
        <v>78</v>
      </c>
      <c r="AL267" t="s">
        <v>95</v>
      </c>
      <c r="AM267" t="s">
        <v>80</v>
      </c>
      <c r="AN267" t="s">
        <v>96</v>
      </c>
      <c r="AO267" t="s">
        <v>97</v>
      </c>
      <c r="AP267" t="s">
        <v>83</v>
      </c>
      <c r="AQ267" t="s">
        <v>85</v>
      </c>
      <c r="AR267" t="s">
        <v>85</v>
      </c>
      <c r="AS267" t="s">
        <v>102</v>
      </c>
      <c r="AT267" t="s">
        <v>85</v>
      </c>
      <c r="AU267" t="s">
        <v>83</v>
      </c>
      <c r="AV267" t="s">
        <v>85</v>
      </c>
      <c r="AW267" s="4">
        <v>1</v>
      </c>
      <c r="AX267" s="4">
        <v>0</v>
      </c>
      <c r="AY267" s="4">
        <v>0</v>
      </c>
      <c r="AZ267" s="3">
        <v>1.78</v>
      </c>
      <c r="BA267" s="3">
        <v>3.1684000000000001</v>
      </c>
      <c r="BB267" s="3">
        <v>26.82742078020452</v>
      </c>
      <c r="BC267" t="s">
        <v>98</v>
      </c>
      <c r="BD267" t="s">
        <v>99</v>
      </c>
      <c r="BE267" s="4">
        <v>1</v>
      </c>
      <c r="BF267" t="s">
        <v>87</v>
      </c>
      <c r="BG267" s="4">
        <v>0</v>
      </c>
      <c r="BH267" s="1" t="e">
        <v>#NULL!</v>
      </c>
      <c r="BI267" t="s">
        <v>85</v>
      </c>
      <c r="BJ267" s="4">
        <v>1</v>
      </c>
      <c r="BK267" t="s">
        <v>88</v>
      </c>
    </row>
    <row r="268" spans="1:63" x14ac:dyDescent="0.35">
      <c r="A268" s="4">
        <v>444</v>
      </c>
      <c r="B268" s="4">
        <v>40</v>
      </c>
      <c r="C268" t="s">
        <v>119</v>
      </c>
      <c r="D268" t="s">
        <v>64</v>
      </c>
      <c r="E268" t="s">
        <v>104</v>
      </c>
      <c r="F268" t="s">
        <v>101</v>
      </c>
      <c r="G268" t="s">
        <v>67</v>
      </c>
      <c r="H268" s="2">
        <v>1300</v>
      </c>
      <c r="I268" t="s">
        <v>116</v>
      </c>
      <c r="J268" t="s">
        <v>70</v>
      </c>
      <c r="K268" t="s">
        <v>70</v>
      </c>
      <c r="L268" t="s">
        <v>69</v>
      </c>
      <c r="M268" s="4">
        <v>1</v>
      </c>
      <c r="N268" t="s">
        <v>71</v>
      </c>
      <c r="O268" s="4">
        <v>3</v>
      </c>
      <c r="P268" t="s">
        <v>91</v>
      </c>
      <c r="Q268" s="4">
        <v>1</v>
      </c>
      <c r="R268" t="s">
        <v>71</v>
      </c>
      <c r="S268" s="4">
        <v>2</v>
      </c>
      <c r="T268" t="s">
        <v>71</v>
      </c>
      <c r="U268" t="s">
        <v>92</v>
      </c>
      <c r="V268" t="s">
        <v>93</v>
      </c>
      <c r="W268" t="s">
        <v>93</v>
      </c>
      <c r="X268" t="s">
        <v>94</v>
      </c>
      <c r="Y268" t="s">
        <v>69</v>
      </c>
      <c r="Z268" s="4">
        <v>10</v>
      </c>
      <c r="AA268" t="s">
        <v>117</v>
      </c>
      <c r="AB268" s="4">
        <v>152</v>
      </c>
      <c r="AC268" s="4">
        <v>98</v>
      </c>
      <c r="AD268" s="4">
        <v>84</v>
      </c>
      <c r="AE268" s="4">
        <v>169</v>
      </c>
      <c r="AF268" s="4">
        <v>92</v>
      </c>
      <c r="AG268" s="4">
        <v>100</v>
      </c>
      <c r="AH268" s="4">
        <v>106</v>
      </c>
      <c r="AI268" s="4">
        <v>140</v>
      </c>
      <c r="AJ268" s="4">
        <v>35</v>
      </c>
      <c r="AK268" t="s">
        <v>78</v>
      </c>
      <c r="AL268" t="s">
        <v>79</v>
      </c>
      <c r="AM268" t="s">
        <v>108</v>
      </c>
      <c r="AN268" t="s">
        <v>109</v>
      </c>
      <c r="AO268" t="s">
        <v>82</v>
      </c>
      <c r="AP268" t="s">
        <v>83</v>
      </c>
      <c r="AQ268" t="s">
        <v>83</v>
      </c>
      <c r="AR268" t="s">
        <v>83</v>
      </c>
      <c r="AS268" t="s">
        <v>102</v>
      </c>
      <c r="AT268" t="s">
        <v>85</v>
      </c>
      <c r="AU268" t="s">
        <v>83</v>
      </c>
      <c r="AV268" t="s">
        <v>85</v>
      </c>
      <c r="AW268" s="4">
        <v>3</v>
      </c>
      <c r="AX268" s="4">
        <v>1</v>
      </c>
      <c r="AY268" s="4">
        <v>1</v>
      </c>
      <c r="AZ268" s="3">
        <v>1.69</v>
      </c>
      <c r="BA268" s="3">
        <v>2.8560999999999996</v>
      </c>
      <c r="BB268" s="3">
        <v>29.410734918245165</v>
      </c>
      <c r="BC268" t="s">
        <v>98</v>
      </c>
      <c r="BD268" t="s">
        <v>99</v>
      </c>
      <c r="BE268" s="4">
        <v>3</v>
      </c>
      <c r="BF268" t="s">
        <v>87</v>
      </c>
      <c r="BG268" s="4">
        <v>0</v>
      </c>
      <c r="BH268" s="1" t="e">
        <v>#NULL!</v>
      </c>
      <c r="BI268" t="s">
        <v>85</v>
      </c>
      <c r="BJ268" s="4">
        <v>3</v>
      </c>
      <c r="BK268" t="s">
        <v>112</v>
      </c>
    </row>
    <row r="269" spans="1:63" x14ac:dyDescent="0.35">
      <c r="A269" s="4">
        <v>457</v>
      </c>
      <c r="B269" s="4">
        <v>40</v>
      </c>
      <c r="C269" t="s">
        <v>119</v>
      </c>
      <c r="D269" t="s">
        <v>64</v>
      </c>
      <c r="E269" t="s">
        <v>104</v>
      </c>
      <c r="F269" t="s">
        <v>101</v>
      </c>
      <c r="G269" t="s">
        <v>67</v>
      </c>
      <c r="H269" s="2">
        <v>1200</v>
      </c>
      <c r="I269" t="s">
        <v>116</v>
      </c>
      <c r="J269" t="s">
        <v>69</v>
      </c>
      <c r="K269" t="s">
        <v>69</v>
      </c>
      <c r="L269" t="s">
        <v>69</v>
      </c>
      <c r="M269" s="4">
        <v>2</v>
      </c>
      <c r="N269" t="s">
        <v>71</v>
      </c>
      <c r="O269" s="4">
        <v>2</v>
      </c>
      <c r="P269" t="s">
        <v>71</v>
      </c>
      <c r="Q269" s="4">
        <v>3</v>
      </c>
      <c r="R269" t="s">
        <v>91</v>
      </c>
      <c r="S269" s="4">
        <v>2</v>
      </c>
      <c r="T269" t="s">
        <v>71</v>
      </c>
      <c r="U269" t="s">
        <v>103</v>
      </c>
      <c r="V269" t="s">
        <v>93</v>
      </c>
      <c r="W269" t="s">
        <v>93</v>
      </c>
      <c r="X269" t="s">
        <v>94</v>
      </c>
      <c r="Y269" t="s">
        <v>69</v>
      </c>
      <c r="Z269" s="4">
        <v>4</v>
      </c>
      <c r="AA269" t="s">
        <v>77</v>
      </c>
      <c r="AB269" s="4">
        <v>100</v>
      </c>
      <c r="AC269" s="4">
        <v>62</v>
      </c>
      <c r="AD269" s="4">
        <v>51</v>
      </c>
      <c r="AE269" s="4">
        <v>172</v>
      </c>
      <c r="AF269" s="4">
        <v>72</v>
      </c>
      <c r="AG269" s="4">
        <v>96</v>
      </c>
      <c r="AH269" s="4">
        <v>64</v>
      </c>
      <c r="AI269" s="4">
        <v>92</v>
      </c>
      <c r="AJ269" s="4">
        <v>53</v>
      </c>
      <c r="AK269" t="s">
        <v>78</v>
      </c>
      <c r="AL269" t="s">
        <v>95</v>
      </c>
      <c r="AM269" t="s">
        <v>80</v>
      </c>
      <c r="AN269" t="s">
        <v>96</v>
      </c>
      <c r="AO269" t="s">
        <v>97</v>
      </c>
      <c r="AP269" t="s">
        <v>85</v>
      </c>
      <c r="AQ269" t="s">
        <v>85</v>
      </c>
      <c r="AR269" t="s">
        <v>85</v>
      </c>
      <c r="AS269" t="s">
        <v>84</v>
      </c>
      <c r="AT269" t="s">
        <v>85</v>
      </c>
      <c r="AU269" t="s">
        <v>85</v>
      </c>
      <c r="AV269" t="s">
        <v>85</v>
      </c>
      <c r="AW269" s="4">
        <v>0</v>
      </c>
      <c r="AX269" s="4">
        <v>0</v>
      </c>
      <c r="AY269" s="4">
        <v>0</v>
      </c>
      <c r="AZ269" s="3">
        <v>1.72</v>
      </c>
      <c r="BA269" s="3">
        <v>2.9583999999999997</v>
      </c>
      <c r="BB269" s="3">
        <v>17.239048134126556</v>
      </c>
      <c r="BC269" t="s">
        <v>100</v>
      </c>
      <c r="BD269" t="s">
        <v>86</v>
      </c>
      <c r="BE269" s="4">
        <v>0</v>
      </c>
      <c r="BF269" t="s">
        <v>87</v>
      </c>
      <c r="BG269" s="4">
        <v>0</v>
      </c>
      <c r="BH269" s="1" t="e">
        <v>#NULL!</v>
      </c>
      <c r="BI269" t="s">
        <v>85</v>
      </c>
      <c r="BJ269" s="4">
        <v>0</v>
      </c>
      <c r="BK269" t="s">
        <v>88</v>
      </c>
    </row>
    <row r="270" spans="1:63" x14ac:dyDescent="0.35">
      <c r="A270" s="4">
        <v>481</v>
      </c>
      <c r="B270" s="4">
        <v>40</v>
      </c>
      <c r="C270" t="s">
        <v>119</v>
      </c>
      <c r="D270" t="s">
        <v>64</v>
      </c>
      <c r="E270" t="s">
        <v>104</v>
      </c>
      <c r="F270" t="s">
        <v>101</v>
      </c>
      <c r="G270" t="s">
        <v>67</v>
      </c>
      <c r="H270" s="2">
        <v>1200</v>
      </c>
      <c r="I270" t="s">
        <v>116</v>
      </c>
      <c r="J270" t="s">
        <v>69</v>
      </c>
      <c r="K270" t="s">
        <v>69</v>
      </c>
      <c r="L270" t="s">
        <v>69</v>
      </c>
      <c r="M270" s="4">
        <v>2</v>
      </c>
      <c r="N270" t="s">
        <v>71</v>
      </c>
      <c r="O270" s="4">
        <v>2</v>
      </c>
      <c r="P270" t="s">
        <v>71</v>
      </c>
      <c r="Q270" s="4">
        <v>3</v>
      </c>
      <c r="R270" t="s">
        <v>91</v>
      </c>
      <c r="S270" s="4">
        <v>2</v>
      </c>
      <c r="T270" t="s">
        <v>71</v>
      </c>
      <c r="U270" t="s">
        <v>103</v>
      </c>
      <c r="V270" t="s">
        <v>93</v>
      </c>
      <c r="W270" t="s">
        <v>93</v>
      </c>
      <c r="X270" t="s">
        <v>94</v>
      </c>
      <c r="Y270" t="s">
        <v>69</v>
      </c>
      <c r="Z270" s="4">
        <v>4</v>
      </c>
      <c r="AA270" t="s">
        <v>77</v>
      </c>
      <c r="AB270" s="4">
        <v>100</v>
      </c>
      <c r="AC270" s="4">
        <v>62</v>
      </c>
      <c r="AD270" s="4">
        <v>51</v>
      </c>
      <c r="AE270" s="4">
        <v>172</v>
      </c>
      <c r="AF270" s="4">
        <v>72</v>
      </c>
      <c r="AG270" s="4">
        <v>96</v>
      </c>
      <c r="AH270" s="4">
        <v>64</v>
      </c>
      <c r="AI270" s="4">
        <v>92</v>
      </c>
      <c r="AJ270" s="4">
        <v>53</v>
      </c>
      <c r="AK270" t="s">
        <v>78</v>
      </c>
      <c r="AL270" t="s">
        <v>95</v>
      </c>
      <c r="AM270" t="s">
        <v>80</v>
      </c>
      <c r="AN270" t="s">
        <v>96</v>
      </c>
      <c r="AO270" t="s">
        <v>97</v>
      </c>
      <c r="AP270" t="s">
        <v>85</v>
      </c>
      <c r="AQ270" t="s">
        <v>85</v>
      </c>
      <c r="AR270" t="s">
        <v>85</v>
      </c>
      <c r="AS270" t="s">
        <v>84</v>
      </c>
      <c r="AT270" t="s">
        <v>85</v>
      </c>
      <c r="AU270" t="s">
        <v>85</v>
      </c>
      <c r="AV270" t="s">
        <v>85</v>
      </c>
      <c r="AW270" s="4">
        <v>0</v>
      </c>
      <c r="AX270" s="4">
        <v>0</v>
      </c>
      <c r="AY270" s="4">
        <v>0</v>
      </c>
      <c r="AZ270" s="3">
        <v>1.72</v>
      </c>
      <c r="BA270" s="3">
        <v>2.9583999999999997</v>
      </c>
      <c r="BB270" s="3">
        <v>17.239048134126556</v>
      </c>
      <c r="BC270" t="s">
        <v>100</v>
      </c>
      <c r="BD270" t="s">
        <v>86</v>
      </c>
      <c r="BE270" s="4">
        <v>0</v>
      </c>
      <c r="BF270" t="s">
        <v>87</v>
      </c>
      <c r="BG270" s="4">
        <v>0</v>
      </c>
      <c r="BH270" s="1" t="e">
        <v>#NULL!</v>
      </c>
      <c r="BI270" t="s">
        <v>85</v>
      </c>
      <c r="BJ270" s="4">
        <v>0</v>
      </c>
      <c r="BK270" t="s">
        <v>88</v>
      </c>
    </row>
    <row r="271" spans="1:63" x14ac:dyDescent="0.35">
      <c r="A271" s="4">
        <v>21</v>
      </c>
      <c r="B271" s="4">
        <v>40</v>
      </c>
      <c r="C271" t="s">
        <v>119</v>
      </c>
      <c r="D271" t="s">
        <v>89</v>
      </c>
      <c r="E271" t="s">
        <v>113</v>
      </c>
      <c r="F271" t="s">
        <v>115</v>
      </c>
      <c r="G271" t="s">
        <v>67</v>
      </c>
      <c r="H271" s="2">
        <v>300</v>
      </c>
      <c r="I271" t="s">
        <v>68</v>
      </c>
      <c r="J271" t="s">
        <v>69</v>
      </c>
      <c r="K271" t="s">
        <v>70</v>
      </c>
      <c r="L271" t="s">
        <v>69</v>
      </c>
      <c r="M271" s="4">
        <v>3</v>
      </c>
      <c r="N271" t="s">
        <v>91</v>
      </c>
      <c r="O271" s="4">
        <v>3</v>
      </c>
      <c r="P271" t="s">
        <v>91</v>
      </c>
      <c r="Q271" s="4">
        <v>7</v>
      </c>
      <c r="R271" t="s">
        <v>72</v>
      </c>
      <c r="S271" s="4">
        <v>7</v>
      </c>
      <c r="T271" t="s">
        <v>72</v>
      </c>
      <c r="U271" t="s">
        <v>92</v>
      </c>
      <c r="V271" t="s">
        <v>74</v>
      </c>
      <c r="W271" t="s">
        <v>74</v>
      </c>
      <c r="X271" t="s">
        <v>76</v>
      </c>
      <c r="Y271" t="s">
        <v>69</v>
      </c>
      <c r="Z271" s="4">
        <v>1</v>
      </c>
      <c r="AA271" t="s">
        <v>77</v>
      </c>
      <c r="AB271" s="4">
        <v>116</v>
      </c>
      <c r="AC271" s="4">
        <v>80</v>
      </c>
      <c r="AD271" s="4">
        <v>94</v>
      </c>
      <c r="AE271" s="4">
        <v>167</v>
      </c>
      <c r="AF271" s="4">
        <v>119</v>
      </c>
      <c r="AG271" s="4">
        <v>125</v>
      </c>
      <c r="AH271" s="4">
        <v>105</v>
      </c>
      <c r="AI271" s="4">
        <v>129</v>
      </c>
      <c r="AJ271" s="4">
        <v>40</v>
      </c>
      <c r="AK271" t="s">
        <v>78</v>
      </c>
      <c r="AL271" t="s">
        <v>95</v>
      </c>
      <c r="AM271" t="s">
        <v>80</v>
      </c>
      <c r="AN271" t="s">
        <v>96</v>
      </c>
      <c r="AO271" t="s">
        <v>97</v>
      </c>
      <c r="AP271" t="s">
        <v>83</v>
      </c>
      <c r="AQ271" t="s">
        <v>85</v>
      </c>
      <c r="AR271" t="s">
        <v>83</v>
      </c>
      <c r="AS271" t="s">
        <v>102</v>
      </c>
      <c r="AT271" t="s">
        <v>83</v>
      </c>
      <c r="AU271" t="s">
        <v>83</v>
      </c>
      <c r="AV271" t="s">
        <v>83</v>
      </c>
      <c r="AW271" s="4">
        <v>2</v>
      </c>
      <c r="AX271" s="4">
        <v>1</v>
      </c>
      <c r="AY271" s="4">
        <v>2</v>
      </c>
      <c r="AZ271" s="3">
        <v>1.67</v>
      </c>
      <c r="BA271" s="3">
        <v>2.7888999999999999</v>
      </c>
      <c r="BB271" s="3">
        <v>33.705044999820721</v>
      </c>
      <c r="BC271" t="s">
        <v>110</v>
      </c>
      <c r="BD271" t="s">
        <v>99</v>
      </c>
      <c r="BE271" s="4">
        <v>3</v>
      </c>
      <c r="BF271" t="s">
        <v>111</v>
      </c>
      <c r="BG271" s="1" t="e">
        <v>#NULL!</v>
      </c>
      <c r="BH271" s="4">
        <v>1</v>
      </c>
      <c r="BI271" t="s">
        <v>83</v>
      </c>
      <c r="BJ271" s="4">
        <v>3</v>
      </c>
      <c r="BK271" t="s">
        <v>112</v>
      </c>
    </row>
    <row r="272" spans="1:63" x14ac:dyDescent="0.35">
      <c r="A272" s="4">
        <v>49</v>
      </c>
      <c r="B272" s="4">
        <v>41</v>
      </c>
      <c r="C272" t="s">
        <v>119</v>
      </c>
      <c r="D272" t="s">
        <v>64</v>
      </c>
      <c r="E272" t="s">
        <v>104</v>
      </c>
      <c r="F272" t="s">
        <v>101</v>
      </c>
      <c r="G272" t="s">
        <v>67</v>
      </c>
      <c r="H272" s="2">
        <v>1200</v>
      </c>
      <c r="I272" t="s">
        <v>116</v>
      </c>
      <c r="J272" t="s">
        <v>69</v>
      </c>
      <c r="K272" t="s">
        <v>69</v>
      </c>
      <c r="L272" t="s">
        <v>69</v>
      </c>
      <c r="M272" s="4">
        <v>2</v>
      </c>
      <c r="N272" t="s">
        <v>71</v>
      </c>
      <c r="O272" s="4">
        <v>2</v>
      </c>
      <c r="P272" t="s">
        <v>71</v>
      </c>
      <c r="Q272" s="4">
        <v>3</v>
      </c>
      <c r="R272" t="s">
        <v>91</v>
      </c>
      <c r="S272" s="4">
        <v>2</v>
      </c>
      <c r="T272" t="s">
        <v>71</v>
      </c>
      <c r="U272" t="s">
        <v>103</v>
      </c>
      <c r="V272" t="s">
        <v>93</v>
      </c>
      <c r="W272" t="s">
        <v>93</v>
      </c>
      <c r="X272" t="s">
        <v>94</v>
      </c>
      <c r="Y272" t="s">
        <v>69</v>
      </c>
      <c r="Z272" s="4">
        <v>4</v>
      </c>
      <c r="AA272" t="s">
        <v>77</v>
      </c>
      <c r="AB272" s="4">
        <v>100</v>
      </c>
      <c r="AC272" s="4">
        <v>62</v>
      </c>
      <c r="AD272" s="4">
        <v>51</v>
      </c>
      <c r="AE272" s="4">
        <v>172</v>
      </c>
      <c r="AF272" s="4">
        <v>72</v>
      </c>
      <c r="AG272" s="4">
        <v>96</v>
      </c>
      <c r="AH272" s="4">
        <v>64</v>
      </c>
      <c r="AI272" s="4">
        <v>92</v>
      </c>
      <c r="AJ272" s="4">
        <v>53</v>
      </c>
      <c r="AK272" t="s">
        <v>78</v>
      </c>
      <c r="AL272" t="s">
        <v>95</v>
      </c>
      <c r="AM272" t="s">
        <v>80</v>
      </c>
      <c r="AN272" t="s">
        <v>96</v>
      </c>
      <c r="AO272" t="s">
        <v>97</v>
      </c>
      <c r="AP272" t="s">
        <v>85</v>
      </c>
      <c r="AQ272" t="s">
        <v>85</v>
      </c>
      <c r="AR272" t="s">
        <v>85</v>
      </c>
      <c r="AS272" t="s">
        <v>84</v>
      </c>
      <c r="AT272" t="s">
        <v>85</v>
      </c>
      <c r="AU272" t="s">
        <v>85</v>
      </c>
      <c r="AV272" t="s">
        <v>85</v>
      </c>
      <c r="AW272" s="4">
        <v>0</v>
      </c>
      <c r="AX272" s="4">
        <v>0</v>
      </c>
      <c r="AY272" s="4">
        <v>0</v>
      </c>
      <c r="AZ272" s="3">
        <v>1.72</v>
      </c>
      <c r="BA272" s="3">
        <v>2.9583999999999997</v>
      </c>
      <c r="BB272" s="3">
        <v>17.239048134126556</v>
      </c>
      <c r="BC272" t="s">
        <v>100</v>
      </c>
      <c r="BD272" t="s">
        <v>86</v>
      </c>
      <c r="BE272" s="4">
        <v>0</v>
      </c>
      <c r="BF272" t="s">
        <v>87</v>
      </c>
      <c r="BG272" s="4">
        <v>0</v>
      </c>
      <c r="BH272" s="1" t="e">
        <v>#NULL!</v>
      </c>
      <c r="BI272" t="s">
        <v>85</v>
      </c>
      <c r="BJ272" s="4">
        <v>0</v>
      </c>
      <c r="BK272" t="s">
        <v>88</v>
      </c>
    </row>
    <row r="273" spans="1:63" x14ac:dyDescent="0.35">
      <c r="A273" s="4">
        <v>207</v>
      </c>
      <c r="B273" s="4">
        <v>41</v>
      </c>
      <c r="C273" t="s">
        <v>119</v>
      </c>
      <c r="D273" t="s">
        <v>64</v>
      </c>
      <c r="E273" t="s">
        <v>104</v>
      </c>
      <c r="F273" t="s">
        <v>101</v>
      </c>
      <c r="G273" t="s">
        <v>67</v>
      </c>
      <c r="H273" s="2">
        <v>1300</v>
      </c>
      <c r="I273" t="s">
        <v>116</v>
      </c>
      <c r="J273" t="s">
        <v>70</v>
      </c>
      <c r="K273" t="s">
        <v>69</v>
      </c>
      <c r="L273" t="s">
        <v>69</v>
      </c>
      <c r="M273" s="4">
        <v>1</v>
      </c>
      <c r="N273" t="s">
        <v>71</v>
      </c>
      <c r="O273" s="4">
        <v>3</v>
      </c>
      <c r="P273" t="s">
        <v>91</v>
      </c>
      <c r="Q273" s="4">
        <v>1</v>
      </c>
      <c r="R273" t="s">
        <v>71</v>
      </c>
      <c r="S273" s="4">
        <v>2</v>
      </c>
      <c r="T273" t="s">
        <v>71</v>
      </c>
      <c r="U273" t="s">
        <v>92</v>
      </c>
      <c r="V273" t="s">
        <v>93</v>
      </c>
      <c r="W273" t="s">
        <v>93</v>
      </c>
      <c r="X273" t="s">
        <v>94</v>
      </c>
      <c r="Y273" t="s">
        <v>69</v>
      </c>
      <c r="Z273" s="4">
        <v>10</v>
      </c>
      <c r="AA273" t="s">
        <v>117</v>
      </c>
      <c r="AB273" s="4">
        <v>152</v>
      </c>
      <c r="AC273" s="4">
        <v>98</v>
      </c>
      <c r="AD273" s="4">
        <v>84</v>
      </c>
      <c r="AE273" s="4">
        <v>169</v>
      </c>
      <c r="AF273" s="4">
        <v>92</v>
      </c>
      <c r="AG273" s="4">
        <v>100</v>
      </c>
      <c r="AH273" s="4">
        <v>106</v>
      </c>
      <c r="AI273" s="4">
        <v>140</v>
      </c>
      <c r="AJ273" s="4">
        <v>35</v>
      </c>
      <c r="AK273" t="s">
        <v>78</v>
      </c>
      <c r="AL273" t="s">
        <v>79</v>
      </c>
      <c r="AM273" t="s">
        <v>108</v>
      </c>
      <c r="AN273" t="s">
        <v>109</v>
      </c>
      <c r="AO273" t="s">
        <v>82</v>
      </c>
      <c r="AP273" t="s">
        <v>83</v>
      </c>
      <c r="AQ273" t="s">
        <v>83</v>
      </c>
      <c r="AR273" t="s">
        <v>83</v>
      </c>
      <c r="AS273" t="s">
        <v>102</v>
      </c>
      <c r="AT273" t="s">
        <v>85</v>
      </c>
      <c r="AU273" t="s">
        <v>83</v>
      </c>
      <c r="AV273" t="s">
        <v>85</v>
      </c>
      <c r="AW273" s="4">
        <v>3</v>
      </c>
      <c r="AX273" s="4">
        <v>1</v>
      </c>
      <c r="AY273" s="4">
        <v>1</v>
      </c>
      <c r="AZ273" s="3">
        <v>1.69</v>
      </c>
      <c r="BA273" s="3">
        <v>2.8560999999999996</v>
      </c>
      <c r="BB273" s="3">
        <v>29.410734918245165</v>
      </c>
      <c r="BC273" t="s">
        <v>98</v>
      </c>
      <c r="BD273" t="s">
        <v>99</v>
      </c>
      <c r="BE273" s="4">
        <v>3</v>
      </c>
      <c r="BF273" t="s">
        <v>87</v>
      </c>
      <c r="BG273" s="4">
        <v>0</v>
      </c>
      <c r="BH273" s="1" t="e">
        <v>#NULL!</v>
      </c>
      <c r="BI273" t="s">
        <v>85</v>
      </c>
      <c r="BJ273" s="4">
        <v>3</v>
      </c>
      <c r="BK273" t="s">
        <v>112</v>
      </c>
    </row>
    <row r="274" spans="1:63" x14ac:dyDescent="0.35">
      <c r="A274" s="4">
        <v>259</v>
      </c>
      <c r="B274" s="4">
        <v>41</v>
      </c>
      <c r="C274" t="s">
        <v>119</v>
      </c>
      <c r="D274" t="s">
        <v>64</v>
      </c>
      <c r="E274" t="s">
        <v>104</v>
      </c>
      <c r="F274" t="s">
        <v>115</v>
      </c>
      <c r="G274" t="s">
        <v>67</v>
      </c>
      <c r="H274" s="2">
        <v>300</v>
      </c>
      <c r="I274" t="s">
        <v>68</v>
      </c>
      <c r="J274" t="s">
        <v>70</v>
      </c>
      <c r="K274" t="s">
        <v>70</v>
      </c>
      <c r="L274" t="s">
        <v>69</v>
      </c>
      <c r="M274" s="4">
        <v>1</v>
      </c>
      <c r="N274" t="s">
        <v>71</v>
      </c>
      <c r="O274" s="4">
        <v>2</v>
      </c>
      <c r="P274" t="s">
        <v>71</v>
      </c>
      <c r="Q274" s="4">
        <v>1</v>
      </c>
      <c r="R274" t="s">
        <v>71</v>
      </c>
      <c r="S274" s="4">
        <v>1</v>
      </c>
      <c r="T274" t="s">
        <v>71</v>
      </c>
      <c r="U274" t="s">
        <v>73</v>
      </c>
      <c r="V274" t="s">
        <v>93</v>
      </c>
      <c r="W274" t="s">
        <v>93</v>
      </c>
      <c r="X274" t="s">
        <v>94</v>
      </c>
      <c r="Y274" t="s">
        <v>69</v>
      </c>
      <c r="Z274" s="4">
        <v>2</v>
      </c>
      <c r="AA274" t="s">
        <v>77</v>
      </c>
      <c r="AB274" s="4">
        <v>116</v>
      </c>
      <c r="AC274" s="4">
        <v>90</v>
      </c>
      <c r="AD274" s="4">
        <v>48</v>
      </c>
      <c r="AE274" s="4">
        <v>170</v>
      </c>
      <c r="AF274" s="4">
        <v>70</v>
      </c>
      <c r="AG274" s="4">
        <v>88</v>
      </c>
      <c r="AH274" s="4">
        <v>88</v>
      </c>
      <c r="AI274" s="4">
        <v>72</v>
      </c>
      <c r="AJ274" s="4">
        <v>36</v>
      </c>
      <c r="AK274" t="s">
        <v>78</v>
      </c>
      <c r="AL274" t="s">
        <v>95</v>
      </c>
      <c r="AM274" t="s">
        <v>108</v>
      </c>
      <c r="AN274" t="s">
        <v>81</v>
      </c>
      <c r="AO274" t="s">
        <v>82</v>
      </c>
      <c r="AP274" t="s">
        <v>83</v>
      </c>
      <c r="AQ274" t="s">
        <v>83</v>
      </c>
      <c r="AR274" t="s">
        <v>83</v>
      </c>
      <c r="AS274" t="s">
        <v>84</v>
      </c>
      <c r="AT274" t="s">
        <v>85</v>
      </c>
      <c r="AU274" t="s">
        <v>85</v>
      </c>
      <c r="AV274" t="s">
        <v>85</v>
      </c>
      <c r="AW274" s="4">
        <v>2</v>
      </c>
      <c r="AX274" s="4">
        <v>1</v>
      </c>
      <c r="AY274" s="4">
        <v>1</v>
      </c>
      <c r="AZ274" s="3">
        <v>1.7</v>
      </c>
      <c r="BA274" s="3">
        <v>2.8899999999999997</v>
      </c>
      <c r="BB274" s="3">
        <v>16.60899653979239</v>
      </c>
      <c r="BC274" t="s">
        <v>100</v>
      </c>
      <c r="BD274" t="s">
        <v>86</v>
      </c>
      <c r="BE274" s="4">
        <v>2</v>
      </c>
      <c r="BF274" t="s">
        <v>87</v>
      </c>
      <c r="BG274" s="4">
        <v>0</v>
      </c>
      <c r="BH274" s="1" t="e">
        <v>#NULL!</v>
      </c>
      <c r="BI274" t="s">
        <v>85</v>
      </c>
      <c r="BJ274" s="4">
        <v>2</v>
      </c>
      <c r="BK274" t="s">
        <v>88</v>
      </c>
    </row>
    <row r="275" spans="1:63" x14ac:dyDescent="0.35">
      <c r="A275" s="4">
        <v>276</v>
      </c>
      <c r="B275" s="4">
        <v>41</v>
      </c>
      <c r="C275" t="s">
        <v>119</v>
      </c>
      <c r="D275" t="s">
        <v>89</v>
      </c>
      <c r="E275" t="s">
        <v>104</v>
      </c>
      <c r="F275" t="s">
        <v>115</v>
      </c>
      <c r="G275" t="s">
        <v>67</v>
      </c>
      <c r="H275" s="2">
        <v>300</v>
      </c>
      <c r="I275" t="s">
        <v>68</v>
      </c>
      <c r="J275" t="s">
        <v>69</v>
      </c>
      <c r="K275" t="s">
        <v>69</v>
      </c>
      <c r="L275" t="s">
        <v>69</v>
      </c>
      <c r="M275" s="4">
        <v>3</v>
      </c>
      <c r="N275" t="s">
        <v>91</v>
      </c>
      <c r="O275" s="4">
        <v>3</v>
      </c>
      <c r="P275" t="s">
        <v>91</v>
      </c>
      <c r="Q275" s="4">
        <v>7</v>
      </c>
      <c r="R275" t="s">
        <v>72</v>
      </c>
      <c r="S275" s="4">
        <v>7</v>
      </c>
      <c r="T275" t="s">
        <v>72</v>
      </c>
      <c r="U275" t="s">
        <v>92</v>
      </c>
      <c r="V275" t="s">
        <v>74</v>
      </c>
      <c r="W275" t="s">
        <v>74</v>
      </c>
      <c r="X275" t="s">
        <v>76</v>
      </c>
      <c r="Y275" t="s">
        <v>69</v>
      </c>
      <c r="Z275" s="4">
        <v>1</v>
      </c>
      <c r="AA275" t="s">
        <v>77</v>
      </c>
      <c r="AB275" s="4">
        <v>116</v>
      </c>
      <c r="AC275" s="4">
        <v>80</v>
      </c>
      <c r="AD275" s="4">
        <v>94</v>
      </c>
      <c r="AE275" s="4">
        <v>167</v>
      </c>
      <c r="AF275" s="4">
        <v>119</v>
      </c>
      <c r="AG275" s="4">
        <v>125</v>
      </c>
      <c r="AH275" s="4">
        <v>105</v>
      </c>
      <c r="AI275" s="4">
        <v>129</v>
      </c>
      <c r="AJ275" s="4">
        <v>40</v>
      </c>
      <c r="AK275" t="s">
        <v>78</v>
      </c>
      <c r="AL275" t="s">
        <v>95</v>
      </c>
      <c r="AM275" t="s">
        <v>80</v>
      </c>
      <c r="AN275" t="s">
        <v>96</v>
      </c>
      <c r="AO275" t="s">
        <v>97</v>
      </c>
      <c r="AP275" t="s">
        <v>83</v>
      </c>
      <c r="AQ275" t="s">
        <v>85</v>
      </c>
      <c r="AR275" t="s">
        <v>83</v>
      </c>
      <c r="AS275" t="s">
        <v>102</v>
      </c>
      <c r="AT275" t="s">
        <v>83</v>
      </c>
      <c r="AU275" t="s">
        <v>83</v>
      </c>
      <c r="AV275" t="s">
        <v>83</v>
      </c>
      <c r="AW275" s="4">
        <v>2</v>
      </c>
      <c r="AX275" s="4">
        <v>1</v>
      </c>
      <c r="AY275" s="4">
        <v>2</v>
      </c>
      <c r="AZ275" s="3">
        <v>1.67</v>
      </c>
      <c r="BA275" s="3">
        <v>2.7888999999999999</v>
      </c>
      <c r="BB275" s="3">
        <v>33.705044999820721</v>
      </c>
      <c r="BC275" t="s">
        <v>110</v>
      </c>
      <c r="BD275" t="s">
        <v>99</v>
      </c>
      <c r="BE275" s="4">
        <v>3</v>
      </c>
      <c r="BF275" t="s">
        <v>111</v>
      </c>
      <c r="BG275" s="1" t="e">
        <v>#NULL!</v>
      </c>
      <c r="BH275" s="4">
        <v>1</v>
      </c>
      <c r="BI275" t="s">
        <v>83</v>
      </c>
      <c r="BJ275" s="4">
        <v>3</v>
      </c>
      <c r="BK275" t="s">
        <v>112</v>
      </c>
    </row>
    <row r="276" spans="1:63" x14ac:dyDescent="0.35">
      <c r="A276" s="4">
        <v>331</v>
      </c>
      <c r="B276" s="4">
        <v>41</v>
      </c>
      <c r="C276" t="s">
        <v>119</v>
      </c>
      <c r="D276" t="s">
        <v>89</v>
      </c>
      <c r="E276" t="s">
        <v>104</v>
      </c>
      <c r="F276" t="s">
        <v>115</v>
      </c>
      <c r="G276" t="s">
        <v>67</v>
      </c>
      <c r="H276" s="2">
        <v>300</v>
      </c>
      <c r="I276" t="s">
        <v>68</v>
      </c>
      <c r="J276" t="s">
        <v>69</v>
      </c>
      <c r="K276" t="s">
        <v>69</v>
      </c>
      <c r="L276" t="s">
        <v>69</v>
      </c>
      <c r="M276" s="4">
        <v>2</v>
      </c>
      <c r="N276" t="s">
        <v>71</v>
      </c>
      <c r="O276" s="4">
        <v>2</v>
      </c>
      <c r="P276" t="s">
        <v>71</v>
      </c>
      <c r="Q276" s="4">
        <v>3</v>
      </c>
      <c r="R276" t="s">
        <v>91</v>
      </c>
      <c r="S276" s="4">
        <v>1</v>
      </c>
      <c r="T276" t="s">
        <v>71</v>
      </c>
      <c r="U276" t="s">
        <v>73</v>
      </c>
      <c r="V276" t="s">
        <v>93</v>
      </c>
      <c r="W276" t="s">
        <v>93</v>
      </c>
      <c r="X276" t="s">
        <v>94</v>
      </c>
      <c r="Y276" t="s">
        <v>69</v>
      </c>
      <c r="Z276" s="4">
        <v>5</v>
      </c>
      <c r="AA276" t="s">
        <v>77</v>
      </c>
      <c r="AB276" s="4">
        <v>120</v>
      </c>
      <c r="AC276" s="4">
        <v>69</v>
      </c>
      <c r="AD276" s="4">
        <v>65</v>
      </c>
      <c r="AE276" s="4">
        <v>164</v>
      </c>
      <c r="AF276" s="4">
        <v>77</v>
      </c>
      <c r="AG276" s="4">
        <v>98</v>
      </c>
      <c r="AH276" s="4">
        <v>86</v>
      </c>
      <c r="AI276" s="4">
        <v>114</v>
      </c>
      <c r="AJ276" s="4">
        <v>52</v>
      </c>
      <c r="AK276" t="s">
        <v>78</v>
      </c>
      <c r="AL276" t="s">
        <v>95</v>
      </c>
      <c r="AM276" t="s">
        <v>80</v>
      </c>
      <c r="AN276" t="s">
        <v>96</v>
      </c>
      <c r="AO276" t="s">
        <v>97</v>
      </c>
      <c r="AP276" t="s">
        <v>85</v>
      </c>
      <c r="AQ276" t="s">
        <v>85</v>
      </c>
      <c r="AR276" t="s">
        <v>85</v>
      </c>
      <c r="AS276" t="s">
        <v>84</v>
      </c>
      <c r="AT276" t="s">
        <v>85</v>
      </c>
      <c r="AU276" t="s">
        <v>85</v>
      </c>
      <c r="AV276" t="s">
        <v>85</v>
      </c>
      <c r="AW276" s="4">
        <v>0</v>
      </c>
      <c r="AX276" s="4">
        <v>0</v>
      </c>
      <c r="AY276" s="4">
        <v>0</v>
      </c>
      <c r="AZ276" s="3">
        <v>1.64</v>
      </c>
      <c r="BA276" s="3">
        <v>2.6895999999999995</v>
      </c>
      <c r="BB276" s="3">
        <v>24.167162403331353</v>
      </c>
      <c r="BC276" t="s">
        <v>85</v>
      </c>
      <c r="BD276" t="s">
        <v>86</v>
      </c>
      <c r="BE276" s="4">
        <v>0</v>
      </c>
      <c r="BF276" t="s">
        <v>87</v>
      </c>
      <c r="BG276" s="1" t="e">
        <v>#NULL!</v>
      </c>
      <c r="BH276" s="4">
        <v>0</v>
      </c>
      <c r="BI276" t="s">
        <v>85</v>
      </c>
      <c r="BJ276" s="4">
        <v>0</v>
      </c>
      <c r="BK276" t="s">
        <v>88</v>
      </c>
    </row>
    <row r="277" spans="1:63" x14ac:dyDescent="0.35">
      <c r="A277" s="4">
        <v>346</v>
      </c>
      <c r="B277" s="4">
        <v>41</v>
      </c>
      <c r="C277" t="s">
        <v>119</v>
      </c>
      <c r="D277" t="s">
        <v>64</v>
      </c>
      <c r="E277" t="s">
        <v>104</v>
      </c>
      <c r="F277" t="s">
        <v>101</v>
      </c>
      <c r="G277" t="s">
        <v>67</v>
      </c>
      <c r="H277" s="2">
        <v>880</v>
      </c>
      <c r="I277" t="s">
        <v>105</v>
      </c>
      <c r="J277" t="s">
        <v>69</v>
      </c>
      <c r="K277" t="s">
        <v>69</v>
      </c>
      <c r="L277" t="s">
        <v>69</v>
      </c>
      <c r="M277" s="4">
        <v>1</v>
      </c>
      <c r="N277" t="s">
        <v>71</v>
      </c>
      <c r="O277" s="4">
        <v>2</v>
      </c>
      <c r="P277" t="s">
        <v>71</v>
      </c>
      <c r="Q277" s="4">
        <v>1</v>
      </c>
      <c r="R277" t="s">
        <v>71</v>
      </c>
      <c r="S277" s="4">
        <v>1</v>
      </c>
      <c r="T277" t="s">
        <v>71</v>
      </c>
      <c r="U277" t="s">
        <v>92</v>
      </c>
      <c r="V277" t="s">
        <v>93</v>
      </c>
      <c r="W277" t="s">
        <v>93</v>
      </c>
      <c r="X277" t="s">
        <v>94</v>
      </c>
      <c r="Y277" t="s">
        <v>69</v>
      </c>
      <c r="Z277" s="4">
        <v>3</v>
      </c>
      <c r="AA277" t="s">
        <v>77</v>
      </c>
      <c r="AB277" s="4">
        <v>100</v>
      </c>
      <c r="AC277" s="4">
        <v>70</v>
      </c>
      <c r="AD277" s="4">
        <v>68</v>
      </c>
      <c r="AE277" s="4">
        <v>172</v>
      </c>
      <c r="AF277" s="4">
        <v>78</v>
      </c>
      <c r="AG277" s="4">
        <v>88</v>
      </c>
      <c r="AH277" s="4">
        <v>82</v>
      </c>
      <c r="AI277" s="4">
        <v>128</v>
      </c>
      <c r="AJ277" s="4">
        <v>70</v>
      </c>
      <c r="AK277" t="s">
        <v>78</v>
      </c>
      <c r="AL277" t="s">
        <v>95</v>
      </c>
      <c r="AM277" t="s">
        <v>80</v>
      </c>
      <c r="AN277" t="s">
        <v>96</v>
      </c>
      <c r="AO277" t="s">
        <v>97</v>
      </c>
      <c r="AP277" t="s">
        <v>85</v>
      </c>
      <c r="AQ277" t="s">
        <v>85</v>
      </c>
      <c r="AR277" t="s">
        <v>85</v>
      </c>
      <c r="AS277" t="s">
        <v>84</v>
      </c>
      <c r="AT277" t="s">
        <v>85</v>
      </c>
      <c r="AU277" t="s">
        <v>85</v>
      </c>
      <c r="AV277" t="s">
        <v>85</v>
      </c>
      <c r="AW277" s="4">
        <v>0</v>
      </c>
      <c r="AX277" s="4">
        <v>0</v>
      </c>
      <c r="AY277" s="4">
        <v>0</v>
      </c>
      <c r="AZ277" s="3">
        <v>1.72</v>
      </c>
      <c r="BA277" s="3">
        <v>2.9583999999999997</v>
      </c>
      <c r="BB277" s="3">
        <v>22.985397512168742</v>
      </c>
      <c r="BC277" t="s">
        <v>85</v>
      </c>
      <c r="BD277" t="s">
        <v>86</v>
      </c>
      <c r="BE277" s="4">
        <v>0</v>
      </c>
      <c r="BF277" t="s">
        <v>87</v>
      </c>
      <c r="BG277" s="4">
        <v>0</v>
      </c>
      <c r="BH277" s="1" t="e">
        <v>#NULL!</v>
      </c>
      <c r="BI277" t="s">
        <v>85</v>
      </c>
      <c r="BJ277" s="4">
        <v>0</v>
      </c>
      <c r="BK277" t="s">
        <v>88</v>
      </c>
    </row>
    <row r="278" spans="1:63" x14ac:dyDescent="0.35">
      <c r="A278" s="4">
        <v>362</v>
      </c>
      <c r="B278" s="4">
        <v>41</v>
      </c>
      <c r="C278" t="s">
        <v>119</v>
      </c>
      <c r="D278" t="s">
        <v>89</v>
      </c>
      <c r="E278" t="s">
        <v>104</v>
      </c>
      <c r="F278" t="s">
        <v>90</v>
      </c>
      <c r="G278" t="s">
        <v>67</v>
      </c>
      <c r="H278" s="2">
        <v>300</v>
      </c>
      <c r="I278" t="s">
        <v>68</v>
      </c>
      <c r="J278" t="s">
        <v>69</v>
      </c>
      <c r="K278" t="s">
        <v>69</v>
      </c>
      <c r="L278" t="s">
        <v>69</v>
      </c>
      <c r="M278" s="4">
        <v>2</v>
      </c>
      <c r="N278" t="s">
        <v>71</v>
      </c>
      <c r="O278" s="4">
        <v>4</v>
      </c>
      <c r="P278" t="s">
        <v>91</v>
      </c>
      <c r="Q278" s="4">
        <v>2</v>
      </c>
      <c r="R278" t="s">
        <v>71</v>
      </c>
      <c r="S278" s="4">
        <v>2</v>
      </c>
      <c r="T278" t="s">
        <v>71</v>
      </c>
      <c r="U278" t="s">
        <v>92</v>
      </c>
      <c r="V278" t="s">
        <v>93</v>
      </c>
      <c r="W278" t="s">
        <v>93</v>
      </c>
      <c r="X278" t="s">
        <v>94</v>
      </c>
      <c r="Y278" t="s">
        <v>69</v>
      </c>
      <c r="Z278" s="4">
        <v>8</v>
      </c>
      <c r="AA278" t="s">
        <v>117</v>
      </c>
      <c r="AB278" s="4">
        <v>142</v>
      </c>
      <c r="AC278" s="4">
        <v>87</v>
      </c>
      <c r="AD278" s="4">
        <v>74</v>
      </c>
      <c r="AE278" s="4">
        <v>169</v>
      </c>
      <c r="AF278" s="4">
        <v>103</v>
      </c>
      <c r="AG278" s="4">
        <v>110</v>
      </c>
      <c r="AH278" s="4">
        <v>131</v>
      </c>
      <c r="AI278" s="4">
        <v>201</v>
      </c>
      <c r="AJ278" s="4">
        <v>22</v>
      </c>
      <c r="AK278" t="s">
        <v>107</v>
      </c>
      <c r="AL278" t="s">
        <v>79</v>
      </c>
      <c r="AM278" t="s">
        <v>108</v>
      </c>
      <c r="AN278" t="s">
        <v>109</v>
      </c>
      <c r="AO278" t="s">
        <v>82</v>
      </c>
      <c r="AP278" t="s">
        <v>83</v>
      </c>
      <c r="AQ278" t="s">
        <v>83</v>
      </c>
      <c r="AR278" t="s">
        <v>83</v>
      </c>
      <c r="AS278" t="s">
        <v>102</v>
      </c>
      <c r="AT278" t="s">
        <v>83</v>
      </c>
      <c r="AU278" t="s">
        <v>83</v>
      </c>
      <c r="AV278" t="s">
        <v>83</v>
      </c>
      <c r="AW278" s="4">
        <v>4</v>
      </c>
      <c r="AX278" s="4">
        <v>1</v>
      </c>
      <c r="AY278" s="4">
        <v>2</v>
      </c>
      <c r="AZ278" s="3">
        <v>1.69</v>
      </c>
      <c r="BA278" s="3">
        <v>2.8560999999999996</v>
      </c>
      <c r="BB278" s="3">
        <v>25.909456951787405</v>
      </c>
      <c r="BC278" t="s">
        <v>98</v>
      </c>
      <c r="BD278" t="s">
        <v>99</v>
      </c>
      <c r="BE278" s="4">
        <v>5</v>
      </c>
      <c r="BF278" t="s">
        <v>111</v>
      </c>
      <c r="BG278" s="1" t="e">
        <v>#NULL!</v>
      </c>
      <c r="BH278" s="4">
        <v>1</v>
      </c>
      <c r="BI278" t="s">
        <v>83</v>
      </c>
      <c r="BJ278" s="4">
        <v>5</v>
      </c>
      <c r="BK278" t="s">
        <v>112</v>
      </c>
    </row>
    <row r="279" spans="1:63" x14ac:dyDescent="0.35">
      <c r="A279" s="4">
        <v>363</v>
      </c>
      <c r="B279" s="4">
        <v>41</v>
      </c>
      <c r="C279" t="s">
        <v>119</v>
      </c>
      <c r="D279" t="s">
        <v>89</v>
      </c>
      <c r="E279" t="s">
        <v>104</v>
      </c>
      <c r="F279" t="s">
        <v>115</v>
      </c>
      <c r="G279" t="s">
        <v>67</v>
      </c>
      <c r="H279" s="2">
        <v>700</v>
      </c>
      <c r="I279" t="s">
        <v>105</v>
      </c>
      <c r="J279" t="s">
        <v>69</v>
      </c>
      <c r="K279" t="s">
        <v>69</v>
      </c>
      <c r="L279" t="s">
        <v>69</v>
      </c>
      <c r="M279" s="4">
        <v>1</v>
      </c>
      <c r="N279" t="s">
        <v>71</v>
      </c>
      <c r="O279" s="4">
        <v>4</v>
      </c>
      <c r="P279" t="s">
        <v>91</v>
      </c>
      <c r="Q279" s="4">
        <v>1</v>
      </c>
      <c r="R279" t="s">
        <v>71</v>
      </c>
      <c r="S279" s="4">
        <v>2</v>
      </c>
      <c r="T279" t="s">
        <v>71</v>
      </c>
      <c r="U279" t="s">
        <v>92</v>
      </c>
      <c r="V279" t="s">
        <v>93</v>
      </c>
      <c r="W279" t="s">
        <v>93</v>
      </c>
      <c r="X279" t="s">
        <v>94</v>
      </c>
      <c r="Y279" t="s">
        <v>69</v>
      </c>
      <c r="Z279" s="4">
        <v>4</v>
      </c>
      <c r="AA279" t="s">
        <v>77</v>
      </c>
      <c r="AB279" s="4">
        <v>144</v>
      </c>
      <c r="AC279" s="4">
        <v>74</v>
      </c>
      <c r="AD279" s="4">
        <v>40</v>
      </c>
      <c r="AE279" s="4">
        <v>155</v>
      </c>
      <c r="AF279" s="4">
        <v>66</v>
      </c>
      <c r="AG279" s="4">
        <v>83</v>
      </c>
      <c r="AH279" s="4">
        <v>111</v>
      </c>
      <c r="AI279" s="4">
        <v>35</v>
      </c>
      <c r="AJ279" s="4">
        <v>73</v>
      </c>
      <c r="AK279" t="s">
        <v>78</v>
      </c>
      <c r="AL279" t="s">
        <v>79</v>
      </c>
      <c r="AM279" t="s">
        <v>80</v>
      </c>
      <c r="AN279" t="s">
        <v>81</v>
      </c>
      <c r="AO279" t="s">
        <v>82</v>
      </c>
      <c r="AP279" t="s">
        <v>85</v>
      </c>
      <c r="AQ279" t="s">
        <v>85</v>
      </c>
      <c r="AR279" t="s">
        <v>85</v>
      </c>
      <c r="AS279" t="s">
        <v>102</v>
      </c>
      <c r="AT279" t="s">
        <v>85</v>
      </c>
      <c r="AU279" t="s">
        <v>85</v>
      </c>
      <c r="AV279" t="s">
        <v>85</v>
      </c>
      <c r="AW279" s="4">
        <v>2</v>
      </c>
      <c r="AX279" s="4">
        <v>1</v>
      </c>
      <c r="AY279" s="4">
        <v>1</v>
      </c>
      <c r="AZ279" s="3">
        <v>1.55</v>
      </c>
      <c r="BA279" s="3">
        <v>2.4025000000000003</v>
      </c>
      <c r="BB279" s="3">
        <v>16.649323621227886</v>
      </c>
      <c r="BC279" t="s">
        <v>100</v>
      </c>
      <c r="BD279" t="s">
        <v>86</v>
      </c>
      <c r="BE279" s="4">
        <v>2</v>
      </c>
      <c r="BF279" t="s">
        <v>87</v>
      </c>
      <c r="BG279" s="1" t="e">
        <v>#NULL!</v>
      </c>
      <c r="BH279" s="4">
        <v>0</v>
      </c>
      <c r="BI279" t="s">
        <v>85</v>
      </c>
      <c r="BJ279" s="4">
        <v>2</v>
      </c>
      <c r="BK279" t="s">
        <v>88</v>
      </c>
    </row>
    <row r="280" spans="1:63" x14ac:dyDescent="0.35">
      <c r="A280" s="4">
        <v>418</v>
      </c>
      <c r="B280" s="4">
        <v>41</v>
      </c>
      <c r="C280" t="s">
        <v>119</v>
      </c>
      <c r="D280" t="s">
        <v>64</v>
      </c>
      <c r="E280" t="s">
        <v>104</v>
      </c>
      <c r="F280" t="s">
        <v>101</v>
      </c>
      <c r="G280" t="s">
        <v>67</v>
      </c>
      <c r="H280" s="2">
        <v>600</v>
      </c>
      <c r="I280" t="s">
        <v>105</v>
      </c>
      <c r="J280" t="s">
        <v>70</v>
      </c>
      <c r="K280" t="s">
        <v>69</v>
      </c>
      <c r="L280" t="s">
        <v>69</v>
      </c>
      <c r="M280" s="4">
        <v>5</v>
      </c>
      <c r="N280" t="s">
        <v>72</v>
      </c>
      <c r="O280" s="4">
        <v>3</v>
      </c>
      <c r="P280" t="s">
        <v>91</v>
      </c>
      <c r="Q280" s="4">
        <v>4</v>
      </c>
      <c r="R280" t="s">
        <v>91</v>
      </c>
      <c r="S280" s="4">
        <v>1</v>
      </c>
      <c r="T280" t="s">
        <v>71</v>
      </c>
      <c r="U280" t="s">
        <v>92</v>
      </c>
      <c r="V280" t="s">
        <v>93</v>
      </c>
      <c r="W280" t="s">
        <v>93</v>
      </c>
      <c r="X280" t="s">
        <v>94</v>
      </c>
      <c r="Y280" t="s">
        <v>69</v>
      </c>
      <c r="Z280" s="4">
        <v>8</v>
      </c>
      <c r="AA280" t="s">
        <v>117</v>
      </c>
      <c r="AB280" s="4">
        <v>140</v>
      </c>
      <c r="AC280" s="4">
        <v>87</v>
      </c>
      <c r="AD280" s="4">
        <v>89</v>
      </c>
      <c r="AE280" s="4">
        <v>176</v>
      </c>
      <c r="AF280" s="4">
        <v>96</v>
      </c>
      <c r="AG280" s="4">
        <v>118</v>
      </c>
      <c r="AH280" s="4">
        <v>116</v>
      </c>
      <c r="AI280" s="4">
        <v>148</v>
      </c>
      <c r="AJ280" s="4">
        <v>65</v>
      </c>
      <c r="AK280" t="s">
        <v>78</v>
      </c>
      <c r="AL280" t="s">
        <v>79</v>
      </c>
      <c r="AM280" t="s">
        <v>108</v>
      </c>
      <c r="AN280" t="s">
        <v>109</v>
      </c>
      <c r="AO280" t="s">
        <v>82</v>
      </c>
      <c r="AP280" t="s">
        <v>85</v>
      </c>
      <c r="AQ280" t="s">
        <v>85</v>
      </c>
      <c r="AR280" t="s">
        <v>85</v>
      </c>
      <c r="AS280" t="s">
        <v>102</v>
      </c>
      <c r="AT280" t="s">
        <v>83</v>
      </c>
      <c r="AU280" t="s">
        <v>83</v>
      </c>
      <c r="AV280" t="s">
        <v>83</v>
      </c>
      <c r="AW280" s="4">
        <v>2</v>
      </c>
      <c r="AX280" s="4">
        <v>1</v>
      </c>
      <c r="AY280" s="4">
        <v>2</v>
      </c>
      <c r="AZ280" s="3">
        <v>1.76</v>
      </c>
      <c r="BA280" s="3">
        <v>3.0975999999999999</v>
      </c>
      <c r="BB280" s="3">
        <v>28.731921487603305</v>
      </c>
      <c r="BC280" t="s">
        <v>98</v>
      </c>
      <c r="BD280" t="s">
        <v>99</v>
      </c>
      <c r="BE280" s="4">
        <v>3</v>
      </c>
      <c r="BF280" t="s">
        <v>111</v>
      </c>
      <c r="BG280" s="4">
        <v>0</v>
      </c>
      <c r="BH280" s="1" t="e">
        <v>#NULL!</v>
      </c>
      <c r="BI280" t="s">
        <v>85</v>
      </c>
      <c r="BJ280" s="4">
        <v>2</v>
      </c>
      <c r="BK280" t="s">
        <v>88</v>
      </c>
    </row>
    <row r="281" spans="1:63" x14ac:dyDescent="0.35">
      <c r="A281" s="4">
        <v>495</v>
      </c>
      <c r="B281" s="4">
        <v>41</v>
      </c>
      <c r="C281" t="s">
        <v>119</v>
      </c>
      <c r="D281" t="s">
        <v>64</v>
      </c>
      <c r="E281" t="s">
        <v>104</v>
      </c>
      <c r="F281" t="s">
        <v>101</v>
      </c>
      <c r="G281" t="s">
        <v>67</v>
      </c>
      <c r="H281" s="2">
        <v>600</v>
      </c>
      <c r="I281" t="s">
        <v>105</v>
      </c>
      <c r="J281" t="s">
        <v>70</v>
      </c>
      <c r="K281" t="s">
        <v>69</v>
      </c>
      <c r="L281" t="s">
        <v>69</v>
      </c>
      <c r="M281" s="4">
        <v>5</v>
      </c>
      <c r="N281" t="s">
        <v>72</v>
      </c>
      <c r="O281" s="4">
        <v>3</v>
      </c>
      <c r="P281" t="s">
        <v>91</v>
      </c>
      <c r="Q281" s="4">
        <v>4</v>
      </c>
      <c r="R281" t="s">
        <v>91</v>
      </c>
      <c r="S281" s="4">
        <v>1</v>
      </c>
      <c r="T281" t="s">
        <v>71</v>
      </c>
      <c r="U281" t="s">
        <v>92</v>
      </c>
      <c r="V281" t="s">
        <v>93</v>
      </c>
      <c r="W281" t="s">
        <v>93</v>
      </c>
      <c r="X281" t="s">
        <v>94</v>
      </c>
      <c r="Y281" t="s">
        <v>69</v>
      </c>
      <c r="Z281" s="4">
        <v>8</v>
      </c>
      <c r="AA281" t="s">
        <v>117</v>
      </c>
      <c r="AB281" s="4">
        <v>140</v>
      </c>
      <c r="AC281" s="4">
        <v>87</v>
      </c>
      <c r="AD281" s="4">
        <v>89</v>
      </c>
      <c r="AE281" s="4">
        <v>176</v>
      </c>
      <c r="AF281" s="4">
        <v>97</v>
      </c>
      <c r="AG281" s="4">
        <v>118</v>
      </c>
      <c r="AH281" s="4">
        <v>116</v>
      </c>
      <c r="AI281" s="4">
        <v>148</v>
      </c>
      <c r="AJ281" s="4">
        <v>65</v>
      </c>
      <c r="AK281" t="s">
        <v>78</v>
      </c>
      <c r="AL281" t="s">
        <v>79</v>
      </c>
      <c r="AM281" t="s">
        <v>108</v>
      </c>
      <c r="AN281" t="s">
        <v>109</v>
      </c>
      <c r="AO281" t="s">
        <v>82</v>
      </c>
      <c r="AP281" t="s">
        <v>85</v>
      </c>
      <c r="AQ281" t="s">
        <v>85</v>
      </c>
      <c r="AR281" t="s">
        <v>85</v>
      </c>
      <c r="AS281" t="s">
        <v>102</v>
      </c>
      <c r="AT281" t="s">
        <v>83</v>
      </c>
      <c r="AU281" t="s">
        <v>83</v>
      </c>
      <c r="AV281" t="s">
        <v>83</v>
      </c>
      <c r="AW281" s="4">
        <v>2</v>
      </c>
      <c r="AX281" s="4">
        <v>1</v>
      </c>
      <c r="AY281" s="4">
        <v>2</v>
      </c>
      <c r="AZ281" s="3">
        <v>1.76</v>
      </c>
      <c r="BA281" s="3">
        <v>3.0975999999999999</v>
      </c>
      <c r="BB281" s="3">
        <v>28.731921487603305</v>
      </c>
      <c r="BC281" t="s">
        <v>98</v>
      </c>
      <c r="BD281" t="s">
        <v>99</v>
      </c>
      <c r="BE281" s="4">
        <v>3</v>
      </c>
      <c r="BF281" t="s">
        <v>111</v>
      </c>
      <c r="BG281" s="4">
        <v>0</v>
      </c>
      <c r="BH281" s="1" t="e">
        <v>#NULL!</v>
      </c>
      <c r="BI281" t="s">
        <v>85</v>
      </c>
      <c r="BJ281" s="4">
        <v>2</v>
      </c>
      <c r="BK281" t="s">
        <v>88</v>
      </c>
    </row>
    <row r="282" spans="1:63" x14ac:dyDescent="0.35">
      <c r="A282" s="4">
        <v>303</v>
      </c>
      <c r="B282" s="4">
        <v>41</v>
      </c>
      <c r="C282" t="s">
        <v>119</v>
      </c>
      <c r="D282" t="s">
        <v>89</v>
      </c>
      <c r="E282" t="s">
        <v>113</v>
      </c>
      <c r="F282" t="s">
        <v>66</v>
      </c>
      <c r="G282" t="s">
        <v>67</v>
      </c>
      <c r="H282" s="2">
        <v>300</v>
      </c>
      <c r="I282" t="s">
        <v>68</v>
      </c>
      <c r="J282" t="s">
        <v>69</v>
      </c>
      <c r="K282" t="s">
        <v>69</v>
      </c>
      <c r="L282" t="s">
        <v>69</v>
      </c>
      <c r="M282" s="4">
        <v>2</v>
      </c>
      <c r="N282" t="s">
        <v>71</v>
      </c>
      <c r="O282" s="4">
        <v>2</v>
      </c>
      <c r="P282" t="s">
        <v>71</v>
      </c>
      <c r="Q282" s="4">
        <v>3</v>
      </c>
      <c r="R282" t="s">
        <v>91</v>
      </c>
      <c r="S282" s="4">
        <v>1</v>
      </c>
      <c r="T282" t="s">
        <v>71</v>
      </c>
      <c r="U282" t="s">
        <v>92</v>
      </c>
      <c r="V282" t="s">
        <v>93</v>
      </c>
      <c r="W282" t="s">
        <v>93</v>
      </c>
      <c r="X282" t="s">
        <v>94</v>
      </c>
      <c r="Y282" t="s">
        <v>69</v>
      </c>
      <c r="Z282" s="4">
        <v>4</v>
      </c>
      <c r="AA282" t="s">
        <v>77</v>
      </c>
      <c r="AB282" s="4">
        <v>134</v>
      </c>
      <c r="AC282" s="4">
        <v>87</v>
      </c>
      <c r="AD282" s="4">
        <v>84</v>
      </c>
      <c r="AE282" s="4">
        <v>173</v>
      </c>
      <c r="AF282" s="4">
        <v>88</v>
      </c>
      <c r="AG282" s="4">
        <v>101</v>
      </c>
      <c r="AH282" s="4">
        <v>126</v>
      </c>
      <c r="AI282" s="4">
        <v>132</v>
      </c>
      <c r="AJ282" s="4">
        <v>53</v>
      </c>
      <c r="AK282" t="s">
        <v>78</v>
      </c>
      <c r="AL282" t="s">
        <v>79</v>
      </c>
      <c r="AM282" t="s">
        <v>108</v>
      </c>
      <c r="AN282" t="s">
        <v>109</v>
      </c>
      <c r="AO282" t="s">
        <v>82</v>
      </c>
      <c r="AP282" t="s">
        <v>85</v>
      </c>
      <c r="AQ282" t="s">
        <v>85</v>
      </c>
      <c r="AR282" t="s">
        <v>85</v>
      </c>
      <c r="AS282" t="s">
        <v>102</v>
      </c>
      <c r="AT282" t="s">
        <v>85</v>
      </c>
      <c r="AU282" t="s">
        <v>83</v>
      </c>
      <c r="AV282" t="s">
        <v>83</v>
      </c>
      <c r="AW282" s="4">
        <v>2</v>
      </c>
      <c r="AX282" s="4">
        <v>1</v>
      </c>
      <c r="AY282" s="4">
        <v>2</v>
      </c>
      <c r="AZ282" s="3">
        <v>1.73</v>
      </c>
      <c r="BA282" s="3">
        <v>2.9929000000000001</v>
      </c>
      <c r="BB282" s="3">
        <v>28.06642386982525</v>
      </c>
      <c r="BC282" t="s">
        <v>98</v>
      </c>
      <c r="BD282" t="s">
        <v>99</v>
      </c>
      <c r="BE282" s="4">
        <v>3</v>
      </c>
      <c r="BF282" t="s">
        <v>111</v>
      </c>
      <c r="BG282" s="1" t="e">
        <v>#NULL!</v>
      </c>
      <c r="BH282" s="4">
        <v>1</v>
      </c>
      <c r="BI282" t="s">
        <v>83</v>
      </c>
      <c r="BJ282" s="4">
        <v>3</v>
      </c>
      <c r="BK282" t="s">
        <v>112</v>
      </c>
    </row>
    <row r="283" spans="1:63" x14ac:dyDescent="0.35">
      <c r="A283" s="4">
        <v>29</v>
      </c>
      <c r="B283" s="4">
        <v>42</v>
      </c>
      <c r="C283" t="s">
        <v>119</v>
      </c>
      <c r="D283" t="s">
        <v>89</v>
      </c>
      <c r="E283" t="s">
        <v>104</v>
      </c>
      <c r="F283" t="s">
        <v>115</v>
      </c>
      <c r="G283" t="s">
        <v>67</v>
      </c>
      <c r="H283" s="2">
        <v>110</v>
      </c>
      <c r="I283" t="s">
        <v>68</v>
      </c>
      <c r="J283" t="s">
        <v>69</v>
      </c>
      <c r="K283" t="s">
        <v>69</v>
      </c>
      <c r="L283" t="s">
        <v>69</v>
      </c>
      <c r="M283" s="4">
        <v>0</v>
      </c>
      <c r="N283" t="s">
        <v>71</v>
      </c>
      <c r="O283" s="4">
        <v>1</v>
      </c>
      <c r="P283" t="s">
        <v>71</v>
      </c>
      <c r="Q283" s="4">
        <v>3</v>
      </c>
      <c r="R283" t="s">
        <v>91</v>
      </c>
      <c r="S283" s="4">
        <v>3</v>
      </c>
      <c r="T283" t="s">
        <v>91</v>
      </c>
      <c r="U283" t="s">
        <v>92</v>
      </c>
      <c r="V283" t="s">
        <v>93</v>
      </c>
      <c r="W283" t="s">
        <v>74</v>
      </c>
      <c r="X283" t="s">
        <v>76</v>
      </c>
      <c r="Y283" t="s">
        <v>69</v>
      </c>
      <c r="Z283" s="4">
        <v>1</v>
      </c>
      <c r="AA283" t="s">
        <v>77</v>
      </c>
      <c r="AB283" s="4">
        <v>123</v>
      </c>
      <c r="AC283" s="4">
        <v>79</v>
      </c>
      <c r="AD283" s="4">
        <v>76</v>
      </c>
      <c r="AE283" s="4">
        <v>169</v>
      </c>
      <c r="AF283" s="4">
        <v>79</v>
      </c>
      <c r="AG283" s="4">
        <v>93</v>
      </c>
      <c r="AH283" s="4">
        <v>95</v>
      </c>
      <c r="AI283" s="4">
        <v>167</v>
      </c>
      <c r="AJ283" s="4">
        <v>51</v>
      </c>
      <c r="AK283" t="s">
        <v>107</v>
      </c>
      <c r="AL283" t="s">
        <v>95</v>
      </c>
      <c r="AM283" t="s">
        <v>80</v>
      </c>
      <c r="AN283" t="s">
        <v>96</v>
      </c>
      <c r="AO283" t="s">
        <v>97</v>
      </c>
      <c r="AP283" t="s">
        <v>85</v>
      </c>
      <c r="AQ283" t="s">
        <v>85</v>
      </c>
      <c r="AR283" t="s">
        <v>85</v>
      </c>
      <c r="AS283" t="s">
        <v>84</v>
      </c>
      <c r="AT283" t="s">
        <v>85</v>
      </c>
      <c r="AU283" t="s">
        <v>85</v>
      </c>
      <c r="AV283" t="s">
        <v>85</v>
      </c>
      <c r="AW283" s="4">
        <v>1</v>
      </c>
      <c r="AX283" s="4">
        <v>0</v>
      </c>
      <c r="AY283" s="4">
        <v>0</v>
      </c>
      <c r="AZ283" s="3">
        <v>1.69</v>
      </c>
      <c r="BA283" s="3">
        <v>2.8560999999999996</v>
      </c>
      <c r="BB283" s="3">
        <v>26.609712545078956</v>
      </c>
      <c r="BC283" t="s">
        <v>98</v>
      </c>
      <c r="BD283" t="s">
        <v>99</v>
      </c>
      <c r="BE283" s="4">
        <v>1</v>
      </c>
      <c r="BF283" t="s">
        <v>87</v>
      </c>
      <c r="BG283" s="1" t="e">
        <v>#NULL!</v>
      </c>
      <c r="BH283" s="4">
        <v>0</v>
      </c>
      <c r="BI283" t="s">
        <v>85</v>
      </c>
      <c r="BJ283" s="4">
        <v>1</v>
      </c>
      <c r="BK283" t="s">
        <v>88</v>
      </c>
    </row>
    <row r="284" spans="1:63" x14ac:dyDescent="0.35">
      <c r="A284" s="4">
        <v>195</v>
      </c>
      <c r="B284" s="4">
        <v>42</v>
      </c>
      <c r="C284" t="s">
        <v>119</v>
      </c>
      <c r="D284" t="s">
        <v>64</v>
      </c>
      <c r="E284" t="s">
        <v>104</v>
      </c>
      <c r="F284" t="s">
        <v>101</v>
      </c>
      <c r="G284" t="s">
        <v>67</v>
      </c>
      <c r="H284" s="2">
        <v>600</v>
      </c>
      <c r="I284" t="s">
        <v>105</v>
      </c>
      <c r="J284" t="s">
        <v>70</v>
      </c>
      <c r="K284" t="s">
        <v>70</v>
      </c>
      <c r="L284" t="s">
        <v>69</v>
      </c>
      <c r="M284" s="4">
        <v>5</v>
      </c>
      <c r="N284" t="s">
        <v>72</v>
      </c>
      <c r="O284" s="4">
        <v>3</v>
      </c>
      <c r="P284" t="s">
        <v>91</v>
      </c>
      <c r="Q284" s="4">
        <v>4</v>
      </c>
      <c r="R284" t="s">
        <v>91</v>
      </c>
      <c r="S284" s="4">
        <v>1</v>
      </c>
      <c r="T284" t="s">
        <v>71</v>
      </c>
      <c r="U284" t="s">
        <v>92</v>
      </c>
      <c r="V284" t="s">
        <v>93</v>
      </c>
      <c r="W284" t="s">
        <v>93</v>
      </c>
      <c r="X284" t="s">
        <v>94</v>
      </c>
      <c r="Y284" t="s">
        <v>69</v>
      </c>
      <c r="Z284" s="4">
        <v>8</v>
      </c>
      <c r="AA284" t="s">
        <v>117</v>
      </c>
      <c r="AB284" s="4">
        <v>140</v>
      </c>
      <c r="AC284" s="4">
        <v>87</v>
      </c>
      <c r="AD284" s="4">
        <v>89</v>
      </c>
      <c r="AE284" s="4">
        <v>176</v>
      </c>
      <c r="AF284" s="4">
        <v>96</v>
      </c>
      <c r="AG284" s="4">
        <v>118</v>
      </c>
      <c r="AH284" s="4">
        <v>116</v>
      </c>
      <c r="AI284" s="4">
        <v>148</v>
      </c>
      <c r="AJ284" s="4">
        <v>65</v>
      </c>
      <c r="AK284" t="s">
        <v>78</v>
      </c>
      <c r="AL284" t="s">
        <v>79</v>
      </c>
      <c r="AM284" t="s">
        <v>108</v>
      </c>
      <c r="AN284" t="s">
        <v>109</v>
      </c>
      <c r="AO284" t="s">
        <v>82</v>
      </c>
      <c r="AP284" t="s">
        <v>85</v>
      </c>
      <c r="AQ284" t="s">
        <v>85</v>
      </c>
      <c r="AR284" t="s">
        <v>85</v>
      </c>
      <c r="AS284" t="s">
        <v>102</v>
      </c>
      <c r="AT284" t="s">
        <v>83</v>
      </c>
      <c r="AU284" t="s">
        <v>83</v>
      </c>
      <c r="AV284" t="s">
        <v>83</v>
      </c>
      <c r="AW284" s="4">
        <v>2</v>
      </c>
      <c r="AX284" s="4">
        <v>1</v>
      </c>
      <c r="AY284" s="4">
        <v>2</v>
      </c>
      <c r="AZ284" s="3">
        <v>1.76</v>
      </c>
      <c r="BA284" s="3">
        <v>3.0975999999999999</v>
      </c>
      <c r="BB284" s="3">
        <v>28.731921487603305</v>
      </c>
      <c r="BC284" t="s">
        <v>98</v>
      </c>
      <c r="BD284" t="s">
        <v>99</v>
      </c>
      <c r="BE284" s="4">
        <v>3</v>
      </c>
      <c r="BF284" t="s">
        <v>111</v>
      </c>
      <c r="BG284" s="4">
        <v>0</v>
      </c>
      <c r="BH284" s="1" t="e">
        <v>#NULL!</v>
      </c>
      <c r="BI284" t="s">
        <v>85</v>
      </c>
      <c r="BJ284" s="4">
        <v>2</v>
      </c>
      <c r="BK284" t="s">
        <v>88</v>
      </c>
    </row>
    <row r="285" spans="1:63" x14ac:dyDescent="0.35">
      <c r="A285" s="4">
        <v>240</v>
      </c>
      <c r="B285" s="4">
        <v>42</v>
      </c>
      <c r="C285" t="s">
        <v>119</v>
      </c>
      <c r="D285" t="s">
        <v>64</v>
      </c>
      <c r="E285" t="s">
        <v>104</v>
      </c>
      <c r="F285" t="s">
        <v>90</v>
      </c>
      <c r="G285" t="s">
        <v>67</v>
      </c>
      <c r="H285" s="2">
        <v>700</v>
      </c>
      <c r="I285" t="s">
        <v>105</v>
      </c>
      <c r="J285" t="s">
        <v>69</v>
      </c>
      <c r="K285" t="s">
        <v>69</v>
      </c>
      <c r="L285" t="s">
        <v>69</v>
      </c>
      <c r="M285" s="4">
        <v>3</v>
      </c>
      <c r="N285" t="s">
        <v>91</v>
      </c>
      <c r="O285" s="4">
        <v>4</v>
      </c>
      <c r="P285" t="s">
        <v>91</v>
      </c>
      <c r="Q285" s="4">
        <v>3</v>
      </c>
      <c r="R285" t="s">
        <v>91</v>
      </c>
      <c r="S285" s="4">
        <v>2</v>
      </c>
      <c r="T285" t="s">
        <v>71</v>
      </c>
      <c r="U285" t="s">
        <v>92</v>
      </c>
      <c r="V285" t="s">
        <v>93</v>
      </c>
      <c r="W285" t="s">
        <v>93</v>
      </c>
      <c r="X285" t="s">
        <v>94</v>
      </c>
      <c r="Y285" t="s">
        <v>69</v>
      </c>
      <c r="Z285" s="4">
        <v>3</v>
      </c>
      <c r="AA285" t="s">
        <v>77</v>
      </c>
      <c r="AB285" s="4">
        <v>108</v>
      </c>
      <c r="AC285" s="4">
        <v>78</v>
      </c>
      <c r="AD285" s="4">
        <v>74</v>
      </c>
      <c r="AE285" s="4">
        <v>182</v>
      </c>
      <c r="AF285" s="4">
        <v>82</v>
      </c>
      <c r="AG285" s="4">
        <v>94</v>
      </c>
      <c r="AH285" s="4">
        <v>86</v>
      </c>
      <c r="AI285" s="4">
        <v>140</v>
      </c>
      <c r="AJ285" s="4">
        <v>70</v>
      </c>
      <c r="AK285" t="s">
        <v>78</v>
      </c>
      <c r="AL285" t="s">
        <v>95</v>
      </c>
      <c r="AM285" t="s">
        <v>80</v>
      </c>
      <c r="AN285" t="s">
        <v>96</v>
      </c>
      <c r="AO285" t="s">
        <v>97</v>
      </c>
      <c r="AP285" t="s">
        <v>85</v>
      </c>
      <c r="AQ285" t="s">
        <v>85</v>
      </c>
      <c r="AR285" t="s">
        <v>85</v>
      </c>
      <c r="AS285" t="s">
        <v>84</v>
      </c>
      <c r="AT285" t="s">
        <v>85</v>
      </c>
      <c r="AU285" t="s">
        <v>83</v>
      </c>
      <c r="AV285" t="s">
        <v>85</v>
      </c>
      <c r="AW285" s="4">
        <v>0</v>
      </c>
      <c r="AX285" s="4">
        <v>0</v>
      </c>
      <c r="AY285" s="4">
        <v>0</v>
      </c>
      <c r="AZ285" s="3">
        <v>1.82</v>
      </c>
      <c r="BA285" s="3">
        <v>3.3124000000000002</v>
      </c>
      <c r="BB285" s="3">
        <v>22.340297065571789</v>
      </c>
      <c r="BC285" t="s">
        <v>85</v>
      </c>
      <c r="BD285" t="s">
        <v>86</v>
      </c>
      <c r="BE285" s="4">
        <v>0</v>
      </c>
      <c r="BF285" t="s">
        <v>87</v>
      </c>
      <c r="BG285" s="4">
        <v>0</v>
      </c>
      <c r="BH285" s="1" t="e">
        <v>#NULL!</v>
      </c>
      <c r="BI285" t="s">
        <v>85</v>
      </c>
      <c r="BJ285" s="4">
        <v>0</v>
      </c>
      <c r="BK285" t="s">
        <v>88</v>
      </c>
    </row>
    <row r="286" spans="1:63" x14ac:dyDescent="0.35">
      <c r="A286" s="4">
        <v>248</v>
      </c>
      <c r="B286" s="4">
        <v>42</v>
      </c>
      <c r="C286" t="s">
        <v>119</v>
      </c>
      <c r="D286" t="s">
        <v>89</v>
      </c>
      <c r="E286" t="s">
        <v>104</v>
      </c>
      <c r="F286" t="s">
        <v>90</v>
      </c>
      <c r="G286" t="s">
        <v>67</v>
      </c>
      <c r="H286" s="2">
        <v>500</v>
      </c>
      <c r="I286" t="s">
        <v>68</v>
      </c>
      <c r="J286" t="s">
        <v>69</v>
      </c>
      <c r="K286" t="s">
        <v>69</v>
      </c>
      <c r="L286" t="s">
        <v>69</v>
      </c>
      <c r="M286" s="4">
        <v>4</v>
      </c>
      <c r="N286" t="s">
        <v>91</v>
      </c>
      <c r="O286" s="4">
        <v>4</v>
      </c>
      <c r="P286" t="s">
        <v>91</v>
      </c>
      <c r="Q286" s="4">
        <v>6</v>
      </c>
      <c r="R286" t="s">
        <v>72</v>
      </c>
      <c r="S286" s="4">
        <v>4</v>
      </c>
      <c r="T286" t="s">
        <v>91</v>
      </c>
      <c r="U286" t="s">
        <v>92</v>
      </c>
      <c r="V286" t="s">
        <v>93</v>
      </c>
      <c r="W286" t="s">
        <v>93</v>
      </c>
      <c r="X286" t="s">
        <v>94</v>
      </c>
      <c r="Y286" t="s">
        <v>69</v>
      </c>
      <c r="Z286" s="4">
        <v>3</v>
      </c>
      <c r="AA286" t="s">
        <v>77</v>
      </c>
      <c r="AB286" s="4">
        <v>118</v>
      </c>
      <c r="AC286" s="4">
        <v>81</v>
      </c>
      <c r="AD286" s="4">
        <v>67</v>
      </c>
      <c r="AE286" s="4">
        <v>162</v>
      </c>
      <c r="AF286" s="4">
        <v>94</v>
      </c>
      <c r="AG286" s="4">
        <v>106</v>
      </c>
      <c r="AH286" s="4">
        <v>92</v>
      </c>
      <c r="AI286" s="4">
        <v>126</v>
      </c>
      <c r="AJ286" s="4">
        <v>53</v>
      </c>
      <c r="AK286" t="s">
        <v>78</v>
      </c>
      <c r="AL286" t="s">
        <v>95</v>
      </c>
      <c r="AM286" t="s">
        <v>80</v>
      </c>
      <c r="AN286" t="s">
        <v>96</v>
      </c>
      <c r="AO286" t="s">
        <v>97</v>
      </c>
      <c r="AP286" t="s">
        <v>85</v>
      </c>
      <c r="AQ286" t="s">
        <v>85</v>
      </c>
      <c r="AR286" t="s">
        <v>85</v>
      </c>
      <c r="AS286" t="s">
        <v>84</v>
      </c>
      <c r="AT286" t="s">
        <v>83</v>
      </c>
      <c r="AU286" t="s">
        <v>83</v>
      </c>
      <c r="AV286" t="s">
        <v>83</v>
      </c>
      <c r="AW286" s="4">
        <v>0</v>
      </c>
      <c r="AX286" s="4">
        <v>0</v>
      </c>
      <c r="AY286" s="4">
        <v>1</v>
      </c>
      <c r="AZ286" s="3">
        <v>1.62</v>
      </c>
      <c r="BA286" s="3">
        <v>2.6244000000000005</v>
      </c>
      <c r="BB286" s="3">
        <v>25.529644871208653</v>
      </c>
      <c r="BC286" t="s">
        <v>98</v>
      </c>
      <c r="BD286" t="s">
        <v>99</v>
      </c>
      <c r="BE286" s="4">
        <v>1</v>
      </c>
      <c r="BF286" t="s">
        <v>87</v>
      </c>
      <c r="BG286" s="1" t="e">
        <v>#NULL!</v>
      </c>
      <c r="BH286" s="4">
        <v>1</v>
      </c>
      <c r="BI286" t="s">
        <v>83</v>
      </c>
      <c r="BJ286" s="4">
        <v>1</v>
      </c>
      <c r="BK286" t="s">
        <v>88</v>
      </c>
    </row>
    <row r="287" spans="1:63" x14ac:dyDescent="0.35">
      <c r="A287" s="4">
        <v>394</v>
      </c>
      <c r="B287" s="4">
        <v>42</v>
      </c>
      <c r="C287" t="s">
        <v>119</v>
      </c>
      <c r="D287" t="s">
        <v>64</v>
      </c>
      <c r="E287" t="s">
        <v>104</v>
      </c>
      <c r="F287" t="s">
        <v>101</v>
      </c>
      <c r="G287" t="s">
        <v>67</v>
      </c>
      <c r="H287" s="2">
        <v>600</v>
      </c>
      <c r="I287" t="s">
        <v>105</v>
      </c>
      <c r="J287" t="s">
        <v>69</v>
      </c>
      <c r="K287" t="s">
        <v>69</v>
      </c>
      <c r="L287" t="s">
        <v>69</v>
      </c>
      <c r="M287" s="4">
        <v>4</v>
      </c>
      <c r="N287" t="s">
        <v>91</v>
      </c>
      <c r="O287" s="4">
        <v>5</v>
      </c>
      <c r="P287" t="s">
        <v>72</v>
      </c>
      <c r="Q287" s="4">
        <v>4</v>
      </c>
      <c r="R287" t="s">
        <v>91</v>
      </c>
      <c r="S287" s="4">
        <v>5</v>
      </c>
      <c r="T287" t="s">
        <v>72</v>
      </c>
      <c r="U287" t="s">
        <v>103</v>
      </c>
      <c r="V287" t="s">
        <v>93</v>
      </c>
      <c r="W287" t="s">
        <v>93</v>
      </c>
      <c r="X287" t="s">
        <v>94</v>
      </c>
      <c r="Y287" t="s">
        <v>69</v>
      </c>
      <c r="Z287" s="4">
        <v>3</v>
      </c>
      <c r="AA287" t="s">
        <v>77</v>
      </c>
      <c r="AB287" s="4">
        <v>100</v>
      </c>
      <c r="AC287" s="4">
        <v>72</v>
      </c>
      <c r="AD287" s="4">
        <v>68</v>
      </c>
      <c r="AE287" s="4">
        <v>174</v>
      </c>
      <c r="AF287" s="4">
        <v>90</v>
      </c>
      <c r="AG287" s="4">
        <v>99</v>
      </c>
      <c r="AH287" s="4">
        <v>96</v>
      </c>
      <c r="AI287" s="4">
        <v>173</v>
      </c>
      <c r="AJ287" s="4">
        <v>55</v>
      </c>
      <c r="AK287" t="s">
        <v>107</v>
      </c>
      <c r="AL287" t="s">
        <v>95</v>
      </c>
      <c r="AM287" t="s">
        <v>80</v>
      </c>
      <c r="AN287" t="s">
        <v>96</v>
      </c>
      <c r="AO287" t="s">
        <v>97</v>
      </c>
      <c r="AP287" t="s">
        <v>85</v>
      </c>
      <c r="AQ287" t="s">
        <v>85</v>
      </c>
      <c r="AR287" t="s">
        <v>85</v>
      </c>
      <c r="AS287" t="s">
        <v>84</v>
      </c>
      <c r="AT287" t="s">
        <v>85</v>
      </c>
      <c r="AU287" t="s">
        <v>83</v>
      </c>
      <c r="AV287" t="s">
        <v>85</v>
      </c>
      <c r="AW287" s="4">
        <v>1</v>
      </c>
      <c r="AX287" s="4">
        <v>0</v>
      </c>
      <c r="AY287" s="4">
        <v>0</v>
      </c>
      <c r="AZ287" s="3">
        <v>1.74</v>
      </c>
      <c r="BA287" s="3">
        <v>3.0276000000000001</v>
      </c>
      <c r="BB287" s="3">
        <v>22.460034350640772</v>
      </c>
      <c r="BC287" t="s">
        <v>85</v>
      </c>
      <c r="BD287" t="s">
        <v>86</v>
      </c>
      <c r="BE287" s="4">
        <v>1</v>
      </c>
      <c r="BF287" t="s">
        <v>87</v>
      </c>
      <c r="BG287" s="4">
        <v>0</v>
      </c>
      <c r="BH287" s="1" t="e">
        <v>#NULL!</v>
      </c>
      <c r="BI287" t="s">
        <v>85</v>
      </c>
      <c r="BJ287" s="4">
        <v>1</v>
      </c>
      <c r="BK287" t="s">
        <v>88</v>
      </c>
    </row>
    <row r="288" spans="1:63" x14ac:dyDescent="0.35">
      <c r="A288" s="4">
        <v>277</v>
      </c>
      <c r="B288" s="4">
        <v>42</v>
      </c>
      <c r="C288" t="s">
        <v>119</v>
      </c>
      <c r="D288" t="s">
        <v>89</v>
      </c>
      <c r="E288" t="s">
        <v>113</v>
      </c>
      <c r="F288" t="s">
        <v>66</v>
      </c>
      <c r="G288" t="s">
        <v>67</v>
      </c>
      <c r="H288" s="2">
        <v>200</v>
      </c>
      <c r="I288" t="s">
        <v>68</v>
      </c>
      <c r="J288" t="s">
        <v>69</v>
      </c>
      <c r="K288" t="s">
        <v>69</v>
      </c>
      <c r="L288" t="s">
        <v>69</v>
      </c>
      <c r="M288" s="4">
        <v>1</v>
      </c>
      <c r="N288" t="s">
        <v>71</v>
      </c>
      <c r="O288" s="4">
        <v>2</v>
      </c>
      <c r="P288" t="s">
        <v>71</v>
      </c>
      <c r="Q288" s="4">
        <v>2</v>
      </c>
      <c r="R288" t="s">
        <v>71</v>
      </c>
      <c r="S288" s="4">
        <v>2</v>
      </c>
      <c r="T288" t="s">
        <v>71</v>
      </c>
      <c r="U288" t="s">
        <v>92</v>
      </c>
      <c r="V288" t="s">
        <v>93</v>
      </c>
      <c r="W288" t="s">
        <v>93</v>
      </c>
      <c r="X288" t="s">
        <v>94</v>
      </c>
      <c r="Y288" t="s">
        <v>69</v>
      </c>
      <c r="Z288" s="4">
        <v>3</v>
      </c>
      <c r="AA288" t="s">
        <v>77</v>
      </c>
      <c r="AB288" s="4">
        <v>131</v>
      </c>
      <c r="AC288" s="4">
        <v>76</v>
      </c>
      <c r="AD288" s="4">
        <v>60</v>
      </c>
      <c r="AE288" s="4">
        <v>161</v>
      </c>
      <c r="AF288" s="4">
        <v>78</v>
      </c>
      <c r="AG288" s="4">
        <v>105</v>
      </c>
      <c r="AH288" s="4">
        <v>98</v>
      </c>
      <c r="AI288" s="4">
        <v>58</v>
      </c>
      <c r="AJ288" s="4">
        <v>32</v>
      </c>
      <c r="AK288" t="s">
        <v>78</v>
      </c>
      <c r="AL288" t="s">
        <v>79</v>
      </c>
      <c r="AM288" t="s">
        <v>80</v>
      </c>
      <c r="AN288" t="s">
        <v>81</v>
      </c>
      <c r="AO288" t="s">
        <v>82</v>
      </c>
      <c r="AP288" t="s">
        <v>83</v>
      </c>
      <c r="AQ288" t="s">
        <v>83</v>
      </c>
      <c r="AR288" t="s">
        <v>83</v>
      </c>
      <c r="AS288" t="s">
        <v>84</v>
      </c>
      <c r="AT288" t="s">
        <v>85</v>
      </c>
      <c r="AU288" t="s">
        <v>85</v>
      </c>
      <c r="AV288" t="s">
        <v>85</v>
      </c>
      <c r="AW288" s="4">
        <v>2</v>
      </c>
      <c r="AX288" s="4">
        <v>1</v>
      </c>
      <c r="AY288" s="4">
        <v>1</v>
      </c>
      <c r="AZ288" s="3">
        <v>1.61</v>
      </c>
      <c r="BA288" s="3">
        <v>2.5921000000000003</v>
      </c>
      <c r="BB288" s="3">
        <v>23.147255121330193</v>
      </c>
      <c r="BC288" t="s">
        <v>85</v>
      </c>
      <c r="BD288" t="s">
        <v>86</v>
      </c>
      <c r="BE288" s="4">
        <v>2</v>
      </c>
      <c r="BF288" t="s">
        <v>87</v>
      </c>
      <c r="BG288" s="1" t="e">
        <v>#NULL!</v>
      </c>
      <c r="BH288" s="4">
        <v>0</v>
      </c>
      <c r="BI288" t="s">
        <v>85</v>
      </c>
      <c r="BJ288" s="4">
        <v>2</v>
      </c>
      <c r="BK288" t="s">
        <v>88</v>
      </c>
    </row>
    <row r="289" spans="1:63" x14ac:dyDescent="0.35">
      <c r="A289" s="4">
        <v>206</v>
      </c>
      <c r="B289" s="4">
        <v>43</v>
      </c>
      <c r="C289" t="s">
        <v>119</v>
      </c>
      <c r="D289" t="s">
        <v>64</v>
      </c>
      <c r="E289" t="s">
        <v>104</v>
      </c>
      <c r="F289" t="s">
        <v>101</v>
      </c>
      <c r="G289" t="s">
        <v>67</v>
      </c>
      <c r="H289" s="2">
        <v>600</v>
      </c>
      <c r="I289" t="s">
        <v>105</v>
      </c>
      <c r="J289" t="s">
        <v>69</v>
      </c>
      <c r="K289" t="s">
        <v>69</v>
      </c>
      <c r="L289" t="s">
        <v>69</v>
      </c>
      <c r="M289" s="4">
        <v>4</v>
      </c>
      <c r="N289" t="s">
        <v>91</v>
      </c>
      <c r="O289" s="4">
        <v>5</v>
      </c>
      <c r="P289" t="s">
        <v>72</v>
      </c>
      <c r="Q289" s="4">
        <v>4</v>
      </c>
      <c r="R289" t="s">
        <v>91</v>
      </c>
      <c r="S289" s="4">
        <v>5</v>
      </c>
      <c r="T289" t="s">
        <v>72</v>
      </c>
      <c r="U289" t="s">
        <v>103</v>
      </c>
      <c r="V289" t="s">
        <v>93</v>
      </c>
      <c r="W289" t="s">
        <v>93</v>
      </c>
      <c r="X289" t="s">
        <v>94</v>
      </c>
      <c r="Y289" t="s">
        <v>69</v>
      </c>
      <c r="Z289" s="4">
        <v>3</v>
      </c>
      <c r="AA289" t="s">
        <v>77</v>
      </c>
      <c r="AB289" s="4">
        <v>100</v>
      </c>
      <c r="AC289" s="4">
        <v>72</v>
      </c>
      <c r="AD289" s="4">
        <v>68</v>
      </c>
      <c r="AE289" s="4">
        <v>174</v>
      </c>
      <c r="AF289" s="4">
        <v>90</v>
      </c>
      <c r="AG289" s="4">
        <v>99</v>
      </c>
      <c r="AH289" s="4">
        <v>96</v>
      </c>
      <c r="AI289" s="4">
        <v>173</v>
      </c>
      <c r="AJ289" s="4">
        <v>55</v>
      </c>
      <c r="AK289" t="s">
        <v>107</v>
      </c>
      <c r="AL289" t="s">
        <v>95</v>
      </c>
      <c r="AM289" t="s">
        <v>80</v>
      </c>
      <c r="AN289" t="s">
        <v>96</v>
      </c>
      <c r="AO289" t="s">
        <v>97</v>
      </c>
      <c r="AP289" t="s">
        <v>85</v>
      </c>
      <c r="AQ289" t="s">
        <v>85</v>
      </c>
      <c r="AR289" t="s">
        <v>85</v>
      </c>
      <c r="AS289" t="s">
        <v>84</v>
      </c>
      <c r="AT289" t="s">
        <v>85</v>
      </c>
      <c r="AU289" t="s">
        <v>83</v>
      </c>
      <c r="AV289" t="s">
        <v>85</v>
      </c>
      <c r="AW289" s="4">
        <v>1</v>
      </c>
      <c r="AX289" s="4">
        <v>0</v>
      </c>
      <c r="AY289" s="4">
        <v>0</v>
      </c>
      <c r="AZ289" s="3">
        <v>1.74</v>
      </c>
      <c r="BA289" s="3">
        <v>3.0276000000000001</v>
      </c>
      <c r="BB289" s="3">
        <v>22.460034350640772</v>
      </c>
      <c r="BC289" t="s">
        <v>85</v>
      </c>
      <c r="BD289" t="s">
        <v>86</v>
      </c>
      <c r="BE289" s="4">
        <v>1</v>
      </c>
      <c r="BF289" t="s">
        <v>87</v>
      </c>
      <c r="BG289" s="4">
        <v>0</v>
      </c>
      <c r="BH289" s="1" t="e">
        <v>#NULL!</v>
      </c>
      <c r="BI289" t="s">
        <v>85</v>
      </c>
      <c r="BJ289" s="4">
        <v>1</v>
      </c>
      <c r="BK289" t="s">
        <v>88</v>
      </c>
    </row>
    <row r="290" spans="1:63" x14ac:dyDescent="0.35">
      <c r="A290" s="4">
        <v>211</v>
      </c>
      <c r="B290" s="4">
        <v>43</v>
      </c>
      <c r="C290" t="s">
        <v>119</v>
      </c>
      <c r="D290" t="s">
        <v>64</v>
      </c>
      <c r="E290" t="s">
        <v>104</v>
      </c>
      <c r="F290" t="s">
        <v>101</v>
      </c>
      <c r="G290" t="s">
        <v>67</v>
      </c>
      <c r="H290" s="2">
        <v>700</v>
      </c>
      <c r="I290" t="s">
        <v>105</v>
      </c>
      <c r="J290" t="s">
        <v>69</v>
      </c>
      <c r="K290" t="s">
        <v>69</v>
      </c>
      <c r="L290" t="s">
        <v>69</v>
      </c>
      <c r="M290" s="4">
        <v>3</v>
      </c>
      <c r="N290" t="s">
        <v>91</v>
      </c>
      <c r="O290" s="4">
        <v>4</v>
      </c>
      <c r="P290" t="s">
        <v>91</v>
      </c>
      <c r="Q290" s="4">
        <v>3</v>
      </c>
      <c r="R290" t="s">
        <v>91</v>
      </c>
      <c r="S290" s="4">
        <v>3</v>
      </c>
      <c r="T290" t="s">
        <v>91</v>
      </c>
      <c r="U290" t="s">
        <v>92</v>
      </c>
      <c r="V290" t="s">
        <v>93</v>
      </c>
      <c r="W290" t="s">
        <v>74</v>
      </c>
      <c r="X290" t="s">
        <v>76</v>
      </c>
      <c r="Y290" t="s">
        <v>69</v>
      </c>
      <c r="Z290" s="4">
        <v>4</v>
      </c>
      <c r="AA290" t="s">
        <v>77</v>
      </c>
      <c r="AB290" s="4">
        <v>120</v>
      </c>
      <c r="AC290" s="4">
        <v>80</v>
      </c>
      <c r="AD290" s="4">
        <v>76</v>
      </c>
      <c r="AE290" s="4">
        <v>180</v>
      </c>
      <c r="AF290" s="4">
        <v>92</v>
      </c>
      <c r="AG290" s="4">
        <v>101</v>
      </c>
      <c r="AH290" s="4">
        <v>92</v>
      </c>
      <c r="AI290" s="4">
        <v>132</v>
      </c>
      <c r="AJ290" s="4">
        <v>35</v>
      </c>
      <c r="AK290" t="s">
        <v>78</v>
      </c>
      <c r="AL290" t="s">
        <v>95</v>
      </c>
      <c r="AM290" t="s">
        <v>80</v>
      </c>
      <c r="AN290" t="s">
        <v>96</v>
      </c>
      <c r="AO290" t="s">
        <v>97</v>
      </c>
      <c r="AP290" t="s">
        <v>83</v>
      </c>
      <c r="AQ290" t="s">
        <v>83</v>
      </c>
      <c r="AR290" t="s">
        <v>83</v>
      </c>
      <c r="AS290" t="s">
        <v>84</v>
      </c>
      <c r="AT290" t="s">
        <v>85</v>
      </c>
      <c r="AU290" t="s">
        <v>83</v>
      </c>
      <c r="AV290" t="s">
        <v>85</v>
      </c>
      <c r="AW290" s="4">
        <v>1</v>
      </c>
      <c r="AX290" s="4">
        <v>0</v>
      </c>
      <c r="AY290" s="4">
        <v>0</v>
      </c>
      <c r="AZ290" s="3">
        <v>1.8</v>
      </c>
      <c r="BA290" s="3">
        <v>3.24</v>
      </c>
      <c r="BB290" s="3">
        <v>23.456790123456788</v>
      </c>
      <c r="BC290" t="s">
        <v>85</v>
      </c>
      <c r="BD290" t="s">
        <v>86</v>
      </c>
      <c r="BE290" s="4">
        <v>1</v>
      </c>
      <c r="BF290" t="s">
        <v>87</v>
      </c>
      <c r="BG290" s="4">
        <v>0</v>
      </c>
      <c r="BH290" s="1" t="e">
        <v>#NULL!</v>
      </c>
      <c r="BI290" t="s">
        <v>85</v>
      </c>
      <c r="BJ290" s="4">
        <v>1</v>
      </c>
      <c r="BK290" t="s">
        <v>88</v>
      </c>
    </row>
    <row r="291" spans="1:63" x14ac:dyDescent="0.35">
      <c r="A291" s="4">
        <v>224</v>
      </c>
      <c r="B291" s="4">
        <v>43</v>
      </c>
      <c r="C291" t="s">
        <v>119</v>
      </c>
      <c r="D291" t="s">
        <v>64</v>
      </c>
      <c r="E291" t="s">
        <v>104</v>
      </c>
      <c r="F291" t="s">
        <v>101</v>
      </c>
      <c r="G291" t="s">
        <v>67</v>
      </c>
      <c r="H291" s="2">
        <v>500</v>
      </c>
      <c r="I291" t="s">
        <v>68</v>
      </c>
      <c r="J291" t="s">
        <v>70</v>
      </c>
      <c r="K291" t="s">
        <v>69</v>
      </c>
      <c r="L291" t="s">
        <v>69</v>
      </c>
      <c r="M291" s="4">
        <v>3</v>
      </c>
      <c r="N291" t="s">
        <v>91</v>
      </c>
      <c r="O291" s="4">
        <v>3</v>
      </c>
      <c r="P291" t="s">
        <v>91</v>
      </c>
      <c r="Q291" s="4">
        <v>2</v>
      </c>
      <c r="R291" t="s">
        <v>71</v>
      </c>
      <c r="S291" s="4">
        <v>1</v>
      </c>
      <c r="T291" t="s">
        <v>71</v>
      </c>
      <c r="U291" t="s">
        <v>92</v>
      </c>
      <c r="V291" t="s">
        <v>93</v>
      </c>
      <c r="W291" t="s">
        <v>93</v>
      </c>
      <c r="X291" t="s">
        <v>94</v>
      </c>
      <c r="Y291" t="s">
        <v>69</v>
      </c>
      <c r="Z291" s="4">
        <v>3</v>
      </c>
      <c r="AA291" t="s">
        <v>77</v>
      </c>
      <c r="AB291" s="4">
        <v>112</v>
      </c>
      <c r="AC291" s="4">
        <v>70</v>
      </c>
      <c r="AD291" s="4">
        <v>80</v>
      </c>
      <c r="AE291" s="4">
        <v>180</v>
      </c>
      <c r="AF291" s="4">
        <v>86</v>
      </c>
      <c r="AG291" s="4">
        <v>94</v>
      </c>
      <c r="AH291" s="4">
        <v>96</v>
      </c>
      <c r="AI291" s="4">
        <v>132</v>
      </c>
      <c r="AJ291" s="4">
        <v>62</v>
      </c>
      <c r="AK291" t="s">
        <v>78</v>
      </c>
      <c r="AL291" t="s">
        <v>95</v>
      </c>
      <c r="AM291" t="s">
        <v>80</v>
      </c>
      <c r="AN291" t="s">
        <v>96</v>
      </c>
      <c r="AO291" t="s">
        <v>97</v>
      </c>
      <c r="AP291" t="s">
        <v>85</v>
      </c>
      <c r="AQ291" t="s">
        <v>85</v>
      </c>
      <c r="AR291" t="s">
        <v>85</v>
      </c>
      <c r="AS291" t="s">
        <v>84</v>
      </c>
      <c r="AT291" t="s">
        <v>85</v>
      </c>
      <c r="AU291" t="s">
        <v>83</v>
      </c>
      <c r="AV291" t="s">
        <v>85</v>
      </c>
      <c r="AW291" s="4">
        <v>0</v>
      </c>
      <c r="AX291" s="4">
        <v>0</v>
      </c>
      <c r="AY291" s="4">
        <v>0</v>
      </c>
      <c r="AZ291" s="3">
        <v>1.8</v>
      </c>
      <c r="BA291" s="3">
        <v>3.24</v>
      </c>
      <c r="BB291" s="3">
        <v>24.691358024691358</v>
      </c>
      <c r="BC291" t="s">
        <v>85</v>
      </c>
      <c r="BD291" t="s">
        <v>86</v>
      </c>
      <c r="BE291" s="4">
        <v>0</v>
      </c>
      <c r="BF291" t="s">
        <v>87</v>
      </c>
      <c r="BG291" s="4">
        <v>0</v>
      </c>
      <c r="BH291" s="1" t="e">
        <v>#NULL!</v>
      </c>
      <c r="BI291" t="s">
        <v>85</v>
      </c>
      <c r="BJ291" s="4">
        <v>0</v>
      </c>
      <c r="BK291" t="s">
        <v>88</v>
      </c>
    </row>
    <row r="292" spans="1:63" x14ac:dyDescent="0.35">
      <c r="A292" s="4">
        <v>273</v>
      </c>
      <c r="B292" s="4">
        <v>43</v>
      </c>
      <c r="C292" t="s">
        <v>119</v>
      </c>
      <c r="D292" t="s">
        <v>64</v>
      </c>
      <c r="E292" t="s">
        <v>104</v>
      </c>
      <c r="F292" t="s">
        <v>90</v>
      </c>
      <c r="G292" t="s">
        <v>67</v>
      </c>
      <c r="H292" s="2">
        <v>700</v>
      </c>
      <c r="I292" t="s">
        <v>105</v>
      </c>
      <c r="J292" t="s">
        <v>69</v>
      </c>
      <c r="K292" t="s">
        <v>70</v>
      </c>
      <c r="L292" t="s">
        <v>69</v>
      </c>
      <c r="M292" s="4">
        <v>3</v>
      </c>
      <c r="N292" t="s">
        <v>91</v>
      </c>
      <c r="O292" s="4">
        <v>4</v>
      </c>
      <c r="P292" t="s">
        <v>91</v>
      </c>
      <c r="Q292" s="4">
        <v>3</v>
      </c>
      <c r="R292" t="s">
        <v>91</v>
      </c>
      <c r="S292" s="4">
        <v>2</v>
      </c>
      <c r="T292" t="s">
        <v>71</v>
      </c>
      <c r="U292" t="s">
        <v>92</v>
      </c>
      <c r="V292" t="s">
        <v>93</v>
      </c>
      <c r="W292" t="s">
        <v>93</v>
      </c>
      <c r="X292" t="s">
        <v>94</v>
      </c>
      <c r="Y292" t="s">
        <v>69</v>
      </c>
      <c r="Z292" s="4">
        <v>3</v>
      </c>
      <c r="AA292" t="s">
        <v>77</v>
      </c>
      <c r="AB292" s="4">
        <v>108</v>
      </c>
      <c r="AC292" s="4">
        <v>78</v>
      </c>
      <c r="AD292" s="4">
        <v>74</v>
      </c>
      <c r="AE292" s="4">
        <v>182</v>
      </c>
      <c r="AF292" s="4">
        <v>82</v>
      </c>
      <c r="AG292" s="4">
        <v>94</v>
      </c>
      <c r="AH292" s="4">
        <v>86</v>
      </c>
      <c r="AI292" s="4">
        <v>140</v>
      </c>
      <c r="AJ292" s="4">
        <v>70</v>
      </c>
      <c r="AK292" t="s">
        <v>78</v>
      </c>
      <c r="AL292" t="s">
        <v>95</v>
      </c>
      <c r="AM292" t="s">
        <v>80</v>
      </c>
      <c r="AN292" t="s">
        <v>96</v>
      </c>
      <c r="AO292" t="s">
        <v>97</v>
      </c>
      <c r="AP292" t="s">
        <v>85</v>
      </c>
      <c r="AQ292" t="s">
        <v>85</v>
      </c>
      <c r="AR292" t="s">
        <v>85</v>
      </c>
      <c r="AS292" t="s">
        <v>84</v>
      </c>
      <c r="AT292" t="s">
        <v>85</v>
      </c>
      <c r="AU292" t="s">
        <v>83</v>
      </c>
      <c r="AV292" t="s">
        <v>85</v>
      </c>
      <c r="AW292" s="4">
        <v>0</v>
      </c>
      <c r="AX292" s="4">
        <v>0</v>
      </c>
      <c r="AY292" s="4">
        <v>0</v>
      </c>
      <c r="AZ292" s="3">
        <v>1.82</v>
      </c>
      <c r="BA292" s="3">
        <v>3.3124000000000002</v>
      </c>
      <c r="BB292" s="3">
        <v>22.340297065571789</v>
      </c>
      <c r="BC292" t="s">
        <v>85</v>
      </c>
      <c r="BD292" t="s">
        <v>86</v>
      </c>
      <c r="BE292" s="4">
        <v>0</v>
      </c>
      <c r="BF292" t="s">
        <v>87</v>
      </c>
      <c r="BG292" s="4">
        <v>0</v>
      </c>
      <c r="BH292" s="1" t="e">
        <v>#NULL!</v>
      </c>
      <c r="BI292" t="s">
        <v>85</v>
      </c>
      <c r="BJ292" s="4">
        <v>0</v>
      </c>
      <c r="BK292" t="s">
        <v>88</v>
      </c>
    </row>
    <row r="293" spans="1:63" x14ac:dyDescent="0.35">
      <c r="A293" s="4">
        <v>470</v>
      </c>
      <c r="B293" s="4">
        <v>43</v>
      </c>
      <c r="C293" t="s">
        <v>119</v>
      </c>
      <c r="D293" t="s">
        <v>89</v>
      </c>
      <c r="E293" t="s">
        <v>104</v>
      </c>
      <c r="F293" t="s">
        <v>115</v>
      </c>
      <c r="G293" t="s">
        <v>67</v>
      </c>
      <c r="H293" s="2">
        <v>200</v>
      </c>
      <c r="I293" t="s">
        <v>68</v>
      </c>
      <c r="J293" t="s">
        <v>69</v>
      </c>
      <c r="K293" t="s">
        <v>69</v>
      </c>
      <c r="L293" t="s">
        <v>69</v>
      </c>
      <c r="M293" s="4">
        <v>1</v>
      </c>
      <c r="N293" t="s">
        <v>71</v>
      </c>
      <c r="O293" s="4">
        <v>2</v>
      </c>
      <c r="P293" t="s">
        <v>71</v>
      </c>
      <c r="Q293" s="4">
        <v>2</v>
      </c>
      <c r="R293" t="s">
        <v>71</v>
      </c>
      <c r="S293" s="4">
        <v>1</v>
      </c>
      <c r="T293" t="s">
        <v>71</v>
      </c>
      <c r="U293" t="s">
        <v>103</v>
      </c>
      <c r="V293" t="s">
        <v>93</v>
      </c>
      <c r="W293" t="s">
        <v>93</v>
      </c>
      <c r="X293" t="s">
        <v>94</v>
      </c>
      <c r="Y293" t="s">
        <v>69</v>
      </c>
      <c r="Z293" s="4">
        <v>6</v>
      </c>
      <c r="AA293" t="s">
        <v>77</v>
      </c>
      <c r="AB293" s="4">
        <v>117</v>
      </c>
      <c r="AC293" s="4">
        <v>98</v>
      </c>
      <c r="AD293" s="4">
        <v>68</v>
      </c>
      <c r="AE293" s="4">
        <v>170</v>
      </c>
      <c r="AF293" s="4">
        <v>76</v>
      </c>
      <c r="AG293" s="4">
        <v>99</v>
      </c>
      <c r="AH293" s="4">
        <v>103</v>
      </c>
      <c r="AI293" s="4">
        <v>77</v>
      </c>
      <c r="AJ293" s="4">
        <v>35</v>
      </c>
      <c r="AK293" t="s">
        <v>78</v>
      </c>
      <c r="AL293" t="s">
        <v>95</v>
      </c>
      <c r="AM293" t="s">
        <v>108</v>
      </c>
      <c r="AN293" t="s">
        <v>81</v>
      </c>
      <c r="AO293" t="s">
        <v>82</v>
      </c>
      <c r="AP293" t="s">
        <v>83</v>
      </c>
      <c r="AQ293" t="s">
        <v>83</v>
      </c>
      <c r="AR293" t="s">
        <v>83</v>
      </c>
      <c r="AS293" t="s">
        <v>102</v>
      </c>
      <c r="AT293" t="s">
        <v>85</v>
      </c>
      <c r="AU293" t="s">
        <v>85</v>
      </c>
      <c r="AV293" t="s">
        <v>85</v>
      </c>
      <c r="AW293" s="4">
        <v>3</v>
      </c>
      <c r="AX293" s="4">
        <v>1</v>
      </c>
      <c r="AY293" s="4">
        <v>1</v>
      </c>
      <c r="AZ293" s="3">
        <v>1.7</v>
      </c>
      <c r="BA293" s="3">
        <v>2.8899999999999997</v>
      </c>
      <c r="BB293" s="3">
        <v>23.529411764705884</v>
      </c>
      <c r="BC293" t="s">
        <v>85</v>
      </c>
      <c r="BD293" t="s">
        <v>86</v>
      </c>
      <c r="BE293" s="4">
        <v>3</v>
      </c>
      <c r="BF293" t="s">
        <v>87</v>
      </c>
      <c r="BG293" s="1" t="e">
        <v>#NULL!</v>
      </c>
      <c r="BH293" s="4">
        <v>0</v>
      </c>
      <c r="BI293" t="s">
        <v>85</v>
      </c>
      <c r="BJ293" s="4">
        <v>3</v>
      </c>
      <c r="BK293" t="s">
        <v>112</v>
      </c>
    </row>
    <row r="294" spans="1:63" x14ac:dyDescent="0.35">
      <c r="A294" s="4">
        <v>295</v>
      </c>
      <c r="B294" s="4">
        <v>44</v>
      </c>
      <c r="C294" t="s">
        <v>119</v>
      </c>
      <c r="D294" t="s">
        <v>64</v>
      </c>
      <c r="E294" t="s">
        <v>104</v>
      </c>
      <c r="F294" t="s">
        <v>101</v>
      </c>
      <c r="G294" t="s">
        <v>67</v>
      </c>
      <c r="H294" s="2">
        <v>700</v>
      </c>
      <c r="I294" t="s">
        <v>105</v>
      </c>
      <c r="J294" t="s">
        <v>69</v>
      </c>
      <c r="K294" t="s">
        <v>69</v>
      </c>
      <c r="L294" t="s">
        <v>69</v>
      </c>
      <c r="M294" s="4">
        <v>3</v>
      </c>
      <c r="N294" t="s">
        <v>91</v>
      </c>
      <c r="O294" s="4">
        <v>4</v>
      </c>
      <c r="P294" t="s">
        <v>91</v>
      </c>
      <c r="Q294" s="4">
        <v>3</v>
      </c>
      <c r="R294" t="s">
        <v>91</v>
      </c>
      <c r="S294" s="4">
        <v>3</v>
      </c>
      <c r="T294" t="s">
        <v>91</v>
      </c>
      <c r="U294" t="s">
        <v>92</v>
      </c>
      <c r="V294" t="s">
        <v>93</v>
      </c>
      <c r="W294" t="s">
        <v>74</v>
      </c>
      <c r="X294" t="s">
        <v>76</v>
      </c>
      <c r="Y294" t="s">
        <v>69</v>
      </c>
      <c r="Z294" s="4">
        <v>4</v>
      </c>
      <c r="AA294" t="s">
        <v>77</v>
      </c>
      <c r="AB294" s="4">
        <v>120</v>
      </c>
      <c r="AC294" s="4">
        <v>80</v>
      </c>
      <c r="AD294" s="4">
        <v>76</v>
      </c>
      <c r="AE294" s="4">
        <v>180</v>
      </c>
      <c r="AF294" s="4">
        <v>92</v>
      </c>
      <c r="AG294" s="4">
        <v>101</v>
      </c>
      <c r="AH294" s="4">
        <v>92</v>
      </c>
      <c r="AI294" s="4">
        <v>132</v>
      </c>
      <c r="AJ294" s="4">
        <v>35</v>
      </c>
      <c r="AK294" t="s">
        <v>78</v>
      </c>
      <c r="AL294" t="s">
        <v>95</v>
      </c>
      <c r="AM294" t="s">
        <v>80</v>
      </c>
      <c r="AN294" t="s">
        <v>96</v>
      </c>
      <c r="AO294" t="s">
        <v>97</v>
      </c>
      <c r="AP294" t="s">
        <v>83</v>
      </c>
      <c r="AQ294" t="s">
        <v>83</v>
      </c>
      <c r="AR294" t="s">
        <v>83</v>
      </c>
      <c r="AS294" t="s">
        <v>84</v>
      </c>
      <c r="AT294" t="s">
        <v>85</v>
      </c>
      <c r="AU294" t="s">
        <v>83</v>
      </c>
      <c r="AV294" t="s">
        <v>85</v>
      </c>
      <c r="AW294" s="4">
        <v>1</v>
      </c>
      <c r="AX294" s="4">
        <v>0</v>
      </c>
      <c r="AY294" s="4">
        <v>0</v>
      </c>
      <c r="AZ294" s="3">
        <v>1.8</v>
      </c>
      <c r="BA294" s="3">
        <v>3.24</v>
      </c>
      <c r="BB294" s="3">
        <v>23.456790123456788</v>
      </c>
      <c r="BC294" t="s">
        <v>85</v>
      </c>
      <c r="BD294" t="s">
        <v>86</v>
      </c>
      <c r="BE294" s="4">
        <v>1</v>
      </c>
      <c r="BF294" t="s">
        <v>87</v>
      </c>
      <c r="BG294" s="4">
        <v>0</v>
      </c>
      <c r="BH294" s="1" t="e">
        <v>#NULL!</v>
      </c>
      <c r="BI294" t="s">
        <v>85</v>
      </c>
      <c r="BJ294" s="4">
        <v>1</v>
      </c>
      <c r="BK294" t="s">
        <v>88</v>
      </c>
    </row>
    <row r="295" spans="1:63" x14ac:dyDescent="0.35">
      <c r="A295" s="4">
        <v>371</v>
      </c>
      <c r="B295" s="4">
        <v>44</v>
      </c>
      <c r="C295" t="s">
        <v>119</v>
      </c>
      <c r="D295" t="s">
        <v>64</v>
      </c>
      <c r="E295" t="s">
        <v>104</v>
      </c>
      <c r="F295" t="s">
        <v>101</v>
      </c>
      <c r="G295" t="s">
        <v>67</v>
      </c>
      <c r="H295" s="2">
        <v>500</v>
      </c>
      <c r="I295" t="s">
        <v>68</v>
      </c>
      <c r="J295" t="s">
        <v>70</v>
      </c>
      <c r="K295" t="s">
        <v>70</v>
      </c>
      <c r="L295" t="s">
        <v>69</v>
      </c>
      <c r="M295" s="4">
        <v>3</v>
      </c>
      <c r="N295" t="s">
        <v>91</v>
      </c>
      <c r="O295" s="4">
        <v>3</v>
      </c>
      <c r="P295" t="s">
        <v>91</v>
      </c>
      <c r="Q295" s="4">
        <v>2</v>
      </c>
      <c r="R295" t="s">
        <v>71</v>
      </c>
      <c r="S295" s="4">
        <v>1</v>
      </c>
      <c r="T295" t="s">
        <v>71</v>
      </c>
      <c r="U295" t="s">
        <v>92</v>
      </c>
      <c r="V295" t="s">
        <v>93</v>
      </c>
      <c r="W295" t="s">
        <v>93</v>
      </c>
      <c r="X295" t="s">
        <v>94</v>
      </c>
      <c r="Y295" t="s">
        <v>69</v>
      </c>
      <c r="Z295" s="4">
        <v>3</v>
      </c>
      <c r="AA295" t="s">
        <v>77</v>
      </c>
      <c r="AB295" s="4">
        <v>112</v>
      </c>
      <c r="AC295" s="4">
        <v>70</v>
      </c>
      <c r="AD295" s="4">
        <v>80</v>
      </c>
      <c r="AE295" s="4">
        <v>180</v>
      </c>
      <c r="AF295" s="4">
        <v>86</v>
      </c>
      <c r="AG295" s="4">
        <v>94</v>
      </c>
      <c r="AH295" s="4">
        <v>97</v>
      </c>
      <c r="AI295" s="4">
        <v>132</v>
      </c>
      <c r="AJ295" s="4">
        <v>62</v>
      </c>
      <c r="AK295" t="s">
        <v>78</v>
      </c>
      <c r="AL295" t="s">
        <v>95</v>
      </c>
      <c r="AM295" t="s">
        <v>80</v>
      </c>
      <c r="AN295" t="s">
        <v>96</v>
      </c>
      <c r="AO295" t="s">
        <v>97</v>
      </c>
      <c r="AP295" t="s">
        <v>85</v>
      </c>
      <c r="AQ295" t="s">
        <v>85</v>
      </c>
      <c r="AR295" t="s">
        <v>85</v>
      </c>
      <c r="AS295" t="s">
        <v>84</v>
      </c>
      <c r="AT295" t="s">
        <v>85</v>
      </c>
      <c r="AU295" t="s">
        <v>83</v>
      </c>
      <c r="AV295" t="s">
        <v>85</v>
      </c>
      <c r="AW295" s="4">
        <v>0</v>
      </c>
      <c r="AX295" s="4">
        <v>0</v>
      </c>
      <c r="AY295" s="4">
        <v>0</v>
      </c>
      <c r="AZ295" s="3">
        <v>1.8</v>
      </c>
      <c r="BA295" s="3">
        <v>3.24</v>
      </c>
      <c r="BB295" s="3">
        <v>24.691358024691358</v>
      </c>
      <c r="BC295" t="s">
        <v>85</v>
      </c>
      <c r="BD295" t="s">
        <v>86</v>
      </c>
      <c r="BE295" s="4">
        <v>0</v>
      </c>
      <c r="BF295" t="s">
        <v>87</v>
      </c>
      <c r="BG295" s="4">
        <v>0</v>
      </c>
      <c r="BH295" s="1" t="e">
        <v>#NULL!</v>
      </c>
      <c r="BI295" t="s">
        <v>85</v>
      </c>
      <c r="BJ295" s="4">
        <v>0</v>
      </c>
      <c r="BK295" t="s">
        <v>88</v>
      </c>
    </row>
    <row r="296" spans="1:63" x14ac:dyDescent="0.35">
      <c r="A296" s="4">
        <v>430</v>
      </c>
      <c r="B296" s="4">
        <v>44</v>
      </c>
      <c r="C296" t="s">
        <v>119</v>
      </c>
      <c r="D296" t="s">
        <v>89</v>
      </c>
      <c r="E296" t="s">
        <v>104</v>
      </c>
      <c r="F296" t="s">
        <v>66</v>
      </c>
      <c r="G296" t="s">
        <v>67</v>
      </c>
      <c r="H296" s="2">
        <v>300</v>
      </c>
      <c r="I296" t="s">
        <v>68</v>
      </c>
      <c r="J296" t="s">
        <v>69</v>
      </c>
      <c r="K296" t="s">
        <v>69</v>
      </c>
      <c r="L296" t="s">
        <v>69</v>
      </c>
      <c r="M296" s="4">
        <v>3</v>
      </c>
      <c r="N296" t="s">
        <v>91</v>
      </c>
      <c r="O296" s="4">
        <v>3</v>
      </c>
      <c r="P296" t="s">
        <v>91</v>
      </c>
      <c r="Q296" s="4">
        <v>4</v>
      </c>
      <c r="R296" t="s">
        <v>91</v>
      </c>
      <c r="S296" s="4">
        <v>5</v>
      </c>
      <c r="T296" t="s">
        <v>72</v>
      </c>
      <c r="U296" t="s">
        <v>73</v>
      </c>
      <c r="V296" t="s">
        <v>93</v>
      </c>
      <c r="W296" t="s">
        <v>93</v>
      </c>
      <c r="X296" t="s">
        <v>94</v>
      </c>
      <c r="Y296" t="s">
        <v>69</v>
      </c>
      <c r="Z296" s="4">
        <v>3</v>
      </c>
      <c r="AA296" t="s">
        <v>77</v>
      </c>
      <c r="AB296" s="4">
        <v>151</v>
      </c>
      <c r="AC296" s="4">
        <v>84</v>
      </c>
      <c r="AD296" s="4">
        <v>104</v>
      </c>
      <c r="AE296" s="4">
        <v>173</v>
      </c>
      <c r="AF296" s="4">
        <v>109</v>
      </c>
      <c r="AG296" s="4">
        <v>135</v>
      </c>
      <c r="AH296" s="4">
        <v>157</v>
      </c>
      <c r="AI296" s="4">
        <v>88</v>
      </c>
      <c r="AJ296" s="4">
        <v>51</v>
      </c>
      <c r="AK296" t="s">
        <v>78</v>
      </c>
      <c r="AL296" t="s">
        <v>79</v>
      </c>
      <c r="AM296" t="s">
        <v>80</v>
      </c>
      <c r="AN296" t="s">
        <v>81</v>
      </c>
      <c r="AO296" t="s">
        <v>82</v>
      </c>
      <c r="AP296" t="s">
        <v>85</v>
      </c>
      <c r="AQ296" t="s">
        <v>85</v>
      </c>
      <c r="AR296" t="s">
        <v>85</v>
      </c>
      <c r="AS296" t="s">
        <v>102</v>
      </c>
      <c r="AT296" t="s">
        <v>83</v>
      </c>
      <c r="AU296" t="s">
        <v>83</v>
      </c>
      <c r="AV296" t="s">
        <v>83</v>
      </c>
      <c r="AW296" s="4">
        <v>2</v>
      </c>
      <c r="AX296" s="4">
        <v>1</v>
      </c>
      <c r="AY296" s="4">
        <v>2</v>
      </c>
      <c r="AZ296" s="3">
        <v>1.73</v>
      </c>
      <c r="BA296" s="3">
        <v>2.9929000000000001</v>
      </c>
      <c r="BB296" s="3">
        <v>34.74890574359317</v>
      </c>
      <c r="BC296" t="s">
        <v>110</v>
      </c>
      <c r="BD296" t="s">
        <v>99</v>
      </c>
      <c r="BE296" s="4">
        <v>3</v>
      </c>
      <c r="BF296" t="s">
        <v>111</v>
      </c>
      <c r="BG296" s="1" t="e">
        <v>#NULL!</v>
      </c>
      <c r="BH296" s="4">
        <v>1</v>
      </c>
      <c r="BI296" t="s">
        <v>83</v>
      </c>
      <c r="BJ296" s="4">
        <v>3</v>
      </c>
      <c r="BK296" t="s">
        <v>112</v>
      </c>
    </row>
    <row r="297" spans="1:63" x14ac:dyDescent="0.35">
      <c r="A297" s="4">
        <v>469</v>
      </c>
      <c r="B297" s="4">
        <v>44</v>
      </c>
      <c r="C297" t="s">
        <v>119</v>
      </c>
      <c r="D297" t="s">
        <v>89</v>
      </c>
      <c r="E297" t="s">
        <v>104</v>
      </c>
      <c r="F297" t="s">
        <v>115</v>
      </c>
      <c r="G297" t="s">
        <v>67</v>
      </c>
      <c r="H297" s="2">
        <v>600</v>
      </c>
      <c r="I297" t="s">
        <v>105</v>
      </c>
      <c r="J297" t="s">
        <v>69</v>
      </c>
      <c r="K297" t="s">
        <v>69</v>
      </c>
      <c r="L297" t="s">
        <v>69</v>
      </c>
      <c r="M297" s="4">
        <v>3</v>
      </c>
      <c r="N297" t="s">
        <v>91</v>
      </c>
      <c r="O297" s="4">
        <v>2</v>
      </c>
      <c r="P297" t="s">
        <v>71</v>
      </c>
      <c r="Q297" s="4">
        <v>2</v>
      </c>
      <c r="R297" t="s">
        <v>71</v>
      </c>
      <c r="S297" s="4">
        <v>2</v>
      </c>
      <c r="T297" t="s">
        <v>71</v>
      </c>
      <c r="U297" t="s">
        <v>103</v>
      </c>
      <c r="V297" t="s">
        <v>93</v>
      </c>
      <c r="W297" t="s">
        <v>93</v>
      </c>
      <c r="X297" t="s">
        <v>94</v>
      </c>
      <c r="Y297" t="s">
        <v>69</v>
      </c>
      <c r="Z297" s="4">
        <v>2</v>
      </c>
      <c r="AA297" t="s">
        <v>77</v>
      </c>
      <c r="AB297" s="4">
        <v>162</v>
      </c>
      <c r="AC297" s="4">
        <v>96</v>
      </c>
      <c r="AD297" s="4">
        <v>94</v>
      </c>
      <c r="AE297" s="4">
        <v>172</v>
      </c>
      <c r="AF297" s="4">
        <v>104</v>
      </c>
      <c r="AG297" s="4">
        <v>124</v>
      </c>
      <c r="AH297" s="4">
        <v>86</v>
      </c>
      <c r="AI297" s="4">
        <v>105</v>
      </c>
      <c r="AJ297" s="4">
        <v>57</v>
      </c>
      <c r="AK297" t="s">
        <v>78</v>
      </c>
      <c r="AL297" t="s">
        <v>79</v>
      </c>
      <c r="AM297" t="s">
        <v>108</v>
      </c>
      <c r="AN297" t="s">
        <v>109</v>
      </c>
      <c r="AO297" t="s">
        <v>82</v>
      </c>
      <c r="AP297" t="s">
        <v>85</v>
      </c>
      <c r="AQ297" t="s">
        <v>85</v>
      </c>
      <c r="AR297" t="s">
        <v>85</v>
      </c>
      <c r="AS297" t="s">
        <v>84</v>
      </c>
      <c r="AT297" t="s">
        <v>83</v>
      </c>
      <c r="AU297" t="s">
        <v>83</v>
      </c>
      <c r="AV297" t="s">
        <v>83</v>
      </c>
      <c r="AW297" s="4">
        <v>1</v>
      </c>
      <c r="AX297" s="4">
        <v>0</v>
      </c>
      <c r="AY297" s="4">
        <v>1</v>
      </c>
      <c r="AZ297" s="3">
        <v>1.72</v>
      </c>
      <c r="BA297" s="3">
        <v>2.9583999999999997</v>
      </c>
      <c r="BB297" s="3">
        <v>31.773931855056791</v>
      </c>
      <c r="BC297" t="s">
        <v>110</v>
      </c>
      <c r="BD297" t="s">
        <v>99</v>
      </c>
      <c r="BE297" s="4">
        <v>2</v>
      </c>
      <c r="BF297" t="s">
        <v>87</v>
      </c>
      <c r="BG297" s="1" t="e">
        <v>#NULL!</v>
      </c>
      <c r="BH297" s="4">
        <v>1</v>
      </c>
      <c r="BI297" t="s">
        <v>83</v>
      </c>
      <c r="BJ297" s="4">
        <v>2</v>
      </c>
      <c r="BK297" t="s">
        <v>88</v>
      </c>
    </row>
    <row r="298" spans="1:63" x14ac:dyDescent="0.35">
      <c r="A298" s="4">
        <v>41</v>
      </c>
      <c r="B298" s="4">
        <v>45</v>
      </c>
      <c r="C298" t="s">
        <v>120</v>
      </c>
      <c r="D298" t="s">
        <v>89</v>
      </c>
      <c r="E298" t="s">
        <v>104</v>
      </c>
      <c r="F298" t="s">
        <v>90</v>
      </c>
      <c r="G298" t="s">
        <v>67</v>
      </c>
      <c r="H298" s="2">
        <v>250</v>
      </c>
      <c r="I298" t="s">
        <v>68</v>
      </c>
      <c r="J298" t="s">
        <v>69</v>
      </c>
      <c r="K298" t="s">
        <v>69</v>
      </c>
      <c r="L298" t="s">
        <v>69</v>
      </c>
      <c r="M298" s="4">
        <v>1</v>
      </c>
      <c r="N298" t="s">
        <v>71</v>
      </c>
      <c r="O298" s="4">
        <v>2</v>
      </c>
      <c r="P298" t="s">
        <v>71</v>
      </c>
      <c r="Q298" s="4">
        <v>2</v>
      </c>
      <c r="R298" t="s">
        <v>71</v>
      </c>
      <c r="S298" s="4">
        <v>1</v>
      </c>
      <c r="T298" t="s">
        <v>71</v>
      </c>
      <c r="U298" t="s">
        <v>92</v>
      </c>
      <c r="V298" t="s">
        <v>93</v>
      </c>
      <c r="W298" t="s">
        <v>93</v>
      </c>
      <c r="X298" t="s">
        <v>94</v>
      </c>
      <c r="Y298" t="s">
        <v>69</v>
      </c>
      <c r="Z298" s="4">
        <v>8</v>
      </c>
      <c r="AA298" t="s">
        <v>117</v>
      </c>
      <c r="AB298" s="4">
        <v>154</v>
      </c>
      <c r="AC298" s="4">
        <v>78</v>
      </c>
      <c r="AD298" s="4">
        <v>90</v>
      </c>
      <c r="AE298" s="4">
        <v>171</v>
      </c>
      <c r="AF298" s="4">
        <v>96</v>
      </c>
      <c r="AG298" s="4">
        <v>118</v>
      </c>
      <c r="AH298" s="4">
        <v>161</v>
      </c>
      <c r="AI298" s="4">
        <v>157</v>
      </c>
      <c r="AJ298" s="4">
        <v>40</v>
      </c>
      <c r="AK298" t="s">
        <v>107</v>
      </c>
      <c r="AL298" t="s">
        <v>79</v>
      </c>
      <c r="AM298" t="s">
        <v>80</v>
      </c>
      <c r="AN298" t="s">
        <v>81</v>
      </c>
      <c r="AO298" t="s">
        <v>82</v>
      </c>
      <c r="AP298" t="s">
        <v>83</v>
      </c>
      <c r="AQ298" t="s">
        <v>85</v>
      </c>
      <c r="AR298" t="s">
        <v>83</v>
      </c>
      <c r="AS298" t="s">
        <v>102</v>
      </c>
      <c r="AT298" t="s">
        <v>83</v>
      </c>
      <c r="AU298" t="s">
        <v>83</v>
      </c>
      <c r="AV298" t="s">
        <v>83</v>
      </c>
      <c r="AW298" s="4">
        <v>4</v>
      </c>
      <c r="AX298" s="4">
        <v>1</v>
      </c>
      <c r="AY298" s="4">
        <v>2</v>
      </c>
      <c r="AZ298" s="3">
        <v>1.71</v>
      </c>
      <c r="BA298" s="3">
        <v>2.9240999999999997</v>
      </c>
      <c r="BB298" s="3">
        <v>30.778701138811947</v>
      </c>
      <c r="BC298" t="s">
        <v>110</v>
      </c>
      <c r="BD298" t="s">
        <v>99</v>
      </c>
      <c r="BE298" s="4">
        <v>5</v>
      </c>
      <c r="BF298" t="s">
        <v>111</v>
      </c>
      <c r="BG298" s="1" t="e">
        <v>#NULL!</v>
      </c>
      <c r="BH298" s="4">
        <v>1</v>
      </c>
      <c r="BI298" t="s">
        <v>83</v>
      </c>
      <c r="BJ298" s="4">
        <v>5</v>
      </c>
      <c r="BK298" t="s">
        <v>112</v>
      </c>
    </row>
    <row r="299" spans="1:63" x14ac:dyDescent="0.35">
      <c r="A299" s="4">
        <v>67</v>
      </c>
      <c r="B299" s="4">
        <v>45</v>
      </c>
      <c r="C299" t="s">
        <v>120</v>
      </c>
      <c r="D299" t="s">
        <v>89</v>
      </c>
      <c r="E299" t="s">
        <v>104</v>
      </c>
      <c r="F299" t="s">
        <v>66</v>
      </c>
      <c r="G299" t="s">
        <v>67</v>
      </c>
      <c r="H299" s="2">
        <v>300</v>
      </c>
      <c r="I299" t="s">
        <v>68</v>
      </c>
      <c r="J299" t="s">
        <v>69</v>
      </c>
      <c r="K299" t="s">
        <v>69</v>
      </c>
      <c r="L299" t="s">
        <v>69</v>
      </c>
      <c r="M299" s="4">
        <v>3</v>
      </c>
      <c r="N299" t="s">
        <v>91</v>
      </c>
      <c r="O299" s="4">
        <v>3</v>
      </c>
      <c r="P299" t="s">
        <v>91</v>
      </c>
      <c r="Q299" s="4">
        <v>4</v>
      </c>
      <c r="R299" t="s">
        <v>91</v>
      </c>
      <c r="S299" s="4">
        <v>4</v>
      </c>
      <c r="T299" t="s">
        <v>91</v>
      </c>
      <c r="U299" t="s">
        <v>73</v>
      </c>
      <c r="V299" t="s">
        <v>93</v>
      </c>
      <c r="W299" t="s">
        <v>93</v>
      </c>
      <c r="X299" t="s">
        <v>94</v>
      </c>
      <c r="Y299" t="s">
        <v>69</v>
      </c>
      <c r="Z299" s="4">
        <v>3</v>
      </c>
      <c r="AA299" t="s">
        <v>77</v>
      </c>
      <c r="AB299" s="4">
        <v>151</v>
      </c>
      <c r="AC299" s="4">
        <v>84</v>
      </c>
      <c r="AD299" s="4">
        <v>104</v>
      </c>
      <c r="AE299" s="4">
        <v>173</v>
      </c>
      <c r="AF299" s="4">
        <v>109</v>
      </c>
      <c r="AG299" s="4">
        <v>135</v>
      </c>
      <c r="AH299" s="4">
        <v>157</v>
      </c>
      <c r="AI299" s="4">
        <v>88</v>
      </c>
      <c r="AJ299" s="4">
        <v>51</v>
      </c>
      <c r="AK299" t="s">
        <v>78</v>
      </c>
      <c r="AL299" t="s">
        <v>79</v>
      </c>
      <c r="AM299" t="s">
        <v>80</v>
      </c>
      <c r="AN299" t="s">
        <v>81</v>
      </c>
      <c r="AO299" t="s">
        <v>82</v>
      </c>
      <c r="AP299" t="s">
        <v>85</v>
      </c>
      <c r="AQ299" t="s">
        <v>85</v>
      </c>
      <c r="AR299" t="s">
        <v>85</v>
      </c>
      <c r="AS299" t="s">
        <v>102</v>
      </c>
      <c r="AT299" t="s">
        <v>83</v>
      </c>
      <c r="AU299" t="s">
        <v>83</v>
      </c>
      <c r="AV299" t="s">
        <v>83</v>
      </c>
      <c r="AW299" s="4">
        <v>2</v>
      </c>
      <c r="AX299" s="4">
        <v>1</v>
      </c>
      <c r="AY299" s="4">
        <v>2</v>
      </c>
      <c r="AZ299" s="3">
        <v>1.73</v>
      </c>
      <c r="BA299" s="3">
        <v>2.9929000000000001</v>
      </c>
      <c r="BB299" s="3">
        <v>34.74890574359317</v>
      </c>
      <c r="BC299" t="s">
        <v>110</v>
      </c>
      <c r="BD299" t="s">
        <v>99</v>
      </c>
      <c r="BE299" s="4">
        <v>3</v>
      </c>
      <c r="BF299" t="s">
        <v>111</v>
      </c>
      <c r="BG299" s="1" t="e">
        <v>#NULL!</v>
      </c>
      <c r="BH299" s="4">
        <v>1</v>
      </c>
      <c r="BI299" t="s">
        <v>83</v>
      </c>
      <c r="BJ299" s="4">
        <v>3</v>
      </c>
      <c r="BK299" t="s">
        <v>112</v>
      </c>
    </row>
    <row r="300" spans="1:63" x14ac:dyDescent="0.35">
      <c r="A300" s="4">
        <v>68</v>
      </c>
      <c r="B300" s="4">
        <v>45</v>
      </c>
      <c r="C300" t="s">
        <v>120</v>
      </c>
      <c r="D300" t="s">
        <v>89</v>
      </c>
      <c r="E300" t="s">
        <v>104</v>
      </c>
      <c r="F300" t="s">
        <v>115</v>
      </c>
      <c r="G300" t="s">
        <v>67</v>
      </c>
      <c r="H300" s="2">
        <v>600</v>
      </c>
      <c r="I300" t="s">
        <v>105</v>
      </c>
      <c r="J300" t="s">
        <v>69</v>
      </c>
      <c r="K300" t="s">
        <v>69</v>
      </c>
      <c r="L300" t="s">
        <v>69</v>
      </c>
      <c r="M300" s="4">
        <v>3</v>
      </c>
      <c r="N300" t="s">
        <v>91</v>
      </c>
      <c r="O300" s="4">
        <v>2</v>
      </c>
      <c r="P300" t="s">
        <v>71</v>
      </c>
      <c r="Q300" s="4">
        <v>2</v>
      </c>
      <c r="R300" t="s">
        <v>71</v>
      </c>
      <c r="S300" s="4">
        <v>2</v>
      </c>
      <c r="T300" t="s">
        <v>71</v>
      </c>
      <c r="U300" t="s">
        <v>103</v>
      </c>
      <c r="V300" t="s">
        <v>93</v>
      </c>
      <c r="W300" t="s">
        <v>93</v>
      </c>
      <c r="X300" t="s">
        <v>94</v>
      </c>
      <c r="Y300" t="s">
        <v>69</v>
      </c>
      <c r="Z300" s="4">
        <v>2</v>
      </c>
      <c r="AA300" t="s">
        <v>77</v>
      </c>
      <c r="AB300" s="4">
        <v>162</v>
      </c>
      <c r="AC300" s="4">
        <v>96</v>
      </c>
      <c r="AD300" s="4">
        <v>94</v>
      </c>
      <c r="AE300" s="4">
        <v>172</v>
      </c>
      <c r="AF300" s="4">
        <v>104</v>
      </c>
      <c r="AG300" s="4">
        <v>124</v>
      </c>
      <c r="AH300" s="4">
        <v>86</v>
      </c>
      <c r="AI300" s="4">
        <v>105</v>
      </c>
      <c r="AJ300" s="4">
        <v>57</v>
      </c>
      <c r="AK300" t="s">
        <v>78</v>
      </c>
      <c r="AL300" t="s">
        <v>79</v>
      </c>
      <c r="AM300" t="s">
        <v>108</v>
      </c>
      <c r="AN300" t="s">
        <v>109</v>
      </c>
      <c r="AO300" t="s">
        <v>82</v>
      </c>
      <c r="AP300" t="s">
        <v>85</v>
      </c>
      <c r="AQ300" t="s">
        <v>85</v>
      </c>
      <c r="AR300" t="s">
        <v>85</v>
      </c>
      <c r="AS300" t="s">
        <v>84</v>
      </c>
      <c r="AT300" t="s">
        <v>83</v>
      </c>
      <c r="AU300" t="s">
        <v>83</v>
      </c>
      <c r="AV300" t="s">
        <v>83</v>
      </c>
      <c r="AW300" s="4">
        <v>1</v>
      </c>
      <c r="AX300" s="4">
        <v>0</v>
      </c>
      <c r="AY300" s="4">
        <v>1</v>
      </c>
      <c r="AZ300" s="3">
        <v>1.72</v>
      </c>
      <c r="BA300" s="3">
        <v>2.9583999999999997</v>
      </c>
      <c r="BB300" s="3">
        <v>31.773931855056791</v>
      </c>
      <c r="BC300" t="s">
        <v>110</v>
      </c>
      <c r="BD300" t="s">
        <v>99</v>
      </c>
      <c r="BE300" s="4">
        <v>2</v>
      </c>
      <c r="BF300" t="s">
        <v>87</v>
      </c>
      <c r="BG300" s="1" t="e">
        <v>#NULL!</v>
      </c>
      <c r="BH300" s="4">
        <v>1</v>
      </c>
      <c r="BI300" t="s">
        <v>83</v>
      </c>
      <c r="BJ300" s="4">
        <v>2</v>
      </c>
      <c r="BK300" t="s">
        <v>88</v>
      </c>
    </row>
    <row r="301" spans="1:63" x14ac:dyDescent="0.35">
      <c r="A301" s="4">
        <v>69</v>
      </c>
      <c r="B301" s="4">
        <v>45</v>
      </c>
      <c r="C301" t="s">
        <v>120</v>
      </c>
      <c r="D301" t="s">
        <v>89</v>
      </c>
      <c r="E301" t="s">
        <v>104</v>
      </c>
      <c r="F301" t="s">
        <v>115</v>
      </c>
      <c r="G301" t="s">
        <v>67</v>
      </c>
      <c r="H301" s="2">
        <v>200</v>
      </c>
      <c r="I301" t="s">
        <v>68</v>
      </c>
      <c r="J301" t="s">
        <v>69</v>
      </c>
      <c r="K301" t="s">
        <v>69</v>
      </c>
      <c r="L301" t="s">
        <v>69</v>
      </c>
      <c r="M301" s="4">
        <v>1</v>
      </c>
      <c r="N301" t="s">
        <v>71</v>
      </c>
      <c r="O301" s="4">
        <v>2</v>
      </c>
      <c r="P301" t="s">
        <v>71</v>
      </c>
      <c r="Q301" s="4">
        <v>2</v>
      </c>
      <c r="R301" t="s">
        <v>71</v>
      </c>
      <c r="S301" s="4">
        <v>1</v>
      </c>
      <c r="T301" t="s">
        <v>71</v>
      </c>
      <c r="U301" t="s">
        <v>103</v>
      </c>
      <c r="V301" t="s">
        <v>93</v>
      </c>
      <c r="W301" t="s">
        <v>93</v>
      </c>
      <c r="X301" t="s">
        <v>94</v>
      </c>
      <c r="Y301" t="s">
        <v>69</v>
      </c>
      <c r="Z301" s="4">
        <v>6</v>
      </c>
      <c r="AA301" t="s">
        <v>77</v>
      </c>
      <c r="AB301" s="4">
        <v>117</v>
      </c>
      <c r="AC301" s="4">
        <v>98</v>
      </c>
      <c r="AD301" s="4">
        <v>68</v>
      </c>
      <c r="AE301" s="4">
        <v>170</v>
      </c>
      <c r="AF301" s="4">
        <v>76</v>
      </c>
      <c r="AG301" s="4">
        <v>99</v>
      </c>
      <c r="AH301" s="4">
        <v>103</v>
      </c>
      <c r="AI301" s="4">
        <v>77</v>
      </c>
      <c r="AJ301" s="4">
        <v>35</v>
      </c>
      <c r="AK301" t="s">
        <v>78</v>
      </c>
      <c r="AL301" t="s">
        <v>95</v>
      </c>
      <c r="AM301" t="s">
        <v>108</v>
      </c>
      <c r="AN301" t="s">
        <v>81</v>
      </c>
      <c r="AO301" t="s">
        <v>82</v>
      </c>
      <c r="AP301" t="s">
        <v>83</v>
      </c>
      <c r="AQ301" t="s">
        <v>83</v>
      </c>
      <c r="AR301" t="s">
        <v>83</v>
      </c>
      <c r="AS301" t="s">
        <v>102</v>
      </c>
      <c r="AT301" t="s">
        <v>85</v>
      </c>
      <c r="AU301" t="s">
        <v>85</v>
      </c>
      <c r="AV301" t="s">
        <v>85</v>
      </c>
      <c r="AW301" s="4">
        <v>3</v>
      </c>
      <c r="AX301" s="4">
        <v>1</v>
      </c>
      <c r="AY301" s="4">
        <v>1</v>
      </c>
      <c r="AZ301" s="3">
        <v>1.7</v>
      </c>
      <c r="BA301" s="3">
        <v>2.8899999999999997</v>
      </c>
      <c r="BB301" s="3">
        <v>23.529411764705884</v>
      </c>
      <c r="BC301" t="s">
        <v>85</v>
      </c>
      <c r="BD301" t="s">
        <v>86</v>
      </c>
      <c r="BE301" s="4">
        <v>3</v>
      </c>
      <c r="BF301" t="s">
        <v>87</v>
      </c>
      <c r="BG301" s="1" t="e">
        <v>#NULL!</v>
      </c>
      <c r="BH301" s="4">
        <v>0</v>
      </c>
      <c r="BI301" t="s">
        <v>85</v>
      </c>
      <c r="BJ301" s="4">
        <v>3</v>
      </c>
      <c r="BK301" t="s">
        <v>112</v>
      </c>
    </row>
    <row r="302" spans="1:63" x14ac:dyDescent="0.35">
      <c r="A302" s="4">
        <v>83</v>
      </c>
      <c r="B302" s="4">
        <v>45</v>
      </c>
      <c r="C302" t="s">
        <v>120</v>
      </c>
      <c r="D302" t="s">
        <v>64</v>
      </c>
      <c r="E302" t="s">
        <v>104</v>
      </c>
      <c r="F302" t="s">
        <v>90</v>
      </c>
      <c r="G302" t="s">
        <v>67</v>
      </c>
      <c r="H302" s="2">
        <v>600</v>
      </c>
      <c r="I302" t="s">
        <v>105</v>
      </c>
      <c r="J302" t="s">
        <v>70</v>
      </c>
      <c r="K302" t="s">
        <v>70</v>
      </c>
      <c r="L302" t="s">
        <v>69</v>
      </c>
      <c r="M302" s="4">
        <v>2</v>
      </c>
      <c r="N302" t="s">
        <v>71</v>
      </c>
      <c r="O302" s="4">
        <v>2</v>
      </c>
      <c r="P302" t="s">
        <v>71</v>
      </c>
      <c r="Q302" s="4">
        <v>3</v>
      </c>
      <c r="R302" t="s">
        <v>91</v>
      </c>
      <c r="S302" s="4">
        <v>3</v>
      </c>
      <c r="T302" t="s">
        <v>91</v>
      </c>
      <c r="U302" t="s">
        <v>73</v>
      </c>
      <c r="V302" t="s">
        <v>74</v>
      </c>
      <c r="W302" t="s">
        <v>75</v>
      </c>
      <c r="X302" t="s">
        <v>76</v>
      </c>
      <c r="Y302" t="s">
        <v>69</v>
      </c>
      <c r="Z302" s="4">
        <v>4</v>
      </c>
      <c r="AA302" t="s">
        <v>77</v>
      </c>
      <c r="AB302" s="4">
        <v>126</v>
      </c>
      <c r="AC302" s="4">
        <v>81</v>
      </c>
      <c r="AD302" s="4">
        <v>63</v>
      </c>
      <c r="AE302" s="4">
        <v>175</v>
      </c>
      <c r="AF302" s="4">
        <v>73</v>
      </c>
      <c r="AG302" s="4">
        <v>90</v>
      </c>
      <c r="AH302" s="4">
        <v>235</v>
      </c>
      <c r="AI302" s="4">
        <v>97</v>
      </c>
      <c r="AJ302" s="4">
        <v>44</v>
      </c>
      <c r="AK302" t="s">
        <v>78</v>
      </c>
      <c r="AL302" t="s">
        <v>95</v>
      </c>
      <c r="AM302" t="s">
        <v>80</v>
      </c>
      <c r="AN302" t="s">
        <v>96</v>
      </c>
      <c r="AO302" t="s">
        <v>97</v>
      </c>
      <c r="AP302" t="s">
        <v>83</v>
      </c>
      <c r="AQ302" t="s">
        <v>85</v>
      </c>
      <c r="AR302" t="s">
        <v>85</v>
      </c>
      <c r="AS302" t="s">
        <v>102</v>
      </c>
      <c r="AT302" t="s">
        <v>85</v>
      </c>
      <c r="AU302" t="s">
        <v>85</v>
      </c>
      <c r="AV302" t="s">
        <v>85</v>
      </c>
      <c r="AW302" s="4">
        <v>1</v>
      </c>
      <c r="AX302" s="4">
        <v>0</v>
      </c>
      <c r="AY302" s="4">
        <v>0</v>
      </c>
      <c r="AZ302" s="3">
        <v>1.75</v>
      </c>
      <c r="BA302" s="3">
        <v>3.0625</v>
      </c>
      <c r="BB302" s="3">
        <v>20.571428571428573</v>
      </c>
      <c r="BC302" t="s">
        <v>85</v>
      </c>
      <c r="BD302" t="s">
        <v>86</v>
      </c>
      <c r="BE302" s="4">
        <v>1</v>
      </c>
      <c r="BF302" t="s">
        <v>87</v>
      </c>
      <c r="BG302" s="4">
        <v>0</v>
      </c>
      <c r="BH302" s="1" t="e">
        <v>#NULL!</v>
      </c>
      <c r="BI302" t="s">
        <v>85</v>
      </c>
      <c r="BJ302" s="4">
        <v>1</v>
      </c>
      <c r="BK302" t="s">
        <v>88</v>
      </c>
    </row>
    <row r="303" spans="1:63" x14ac:dyDescent="0.35">
      <c r="A303" s="4">
        <v>161</v>
      </c>
      <c r="B303" s="4">
        <v>45</v>
      </c>
      <c r="C303" t="s">
        <v>120</v>
      </c>
      <c r="D303" t="s">
        <v>89</v>
      </c>
      <c r="E303" t="s">
        <v>104</v>
      </c>
      <c r="F303" t="s">
        <v>115</v>
      </c>
      <c r="G303" t="s">
        <v>67</v>
      </c>
      <c r="H303" s="2">
        <v>700</v>
      </c>
      <c r="I303" t="s">
        <v>105</v>
      </c>
      <c r="J303" t="s">
        <v>69</v>
      </c>
      <c r="K303" t="s">
        <v>69</v>
      </c>
      <c r="L303" t="s">
        <v>69</v>
      </c>
      <c r="M303" s="4">
        <v>5</v>
      </c>
      <c r="N303" t="s">
        <v>72</v>
      </c>
      <c r="O303" s="4">
        <v>5</v>
      </c>
      <c r="P303" t="s">
        <v>72</v>
      </c>
      <c r="Q303" s="4">
        <v>5</v>
      </c>
      <c r="R303" t="s">
        <v>72</v>
      </c>
      <c r="S303" s="4">
        <v>5</v>
      </c>
      <c r="T303" t="s">
        <v>72</v>
      </c>
      <c r="U303" t="s">
        <v>73</v>
      </c>
      <c r="V303" t="s">
        <v>93</v>
      </c>
      <c r="W303" t="s">
        <v>93</v>
      </c>
      <c r="X303" t="s">
        <v>94</v>
      </c>
      <c r="Y303" t="s">
        <v>69</v>
      </c>
      <c r="Z303" s="4">
        <v>5</v>
      </c>
      <c r="AA303" t="s">
        <v>77</v>
      </c>
      <c r="AB303" s="4">
        <v>123</v>
      </c>
      <c r="AC303" s="4">
        <v>76</v>
      </c>
      <c r="AD303" s="4">
        <v>70</v>
      </c>
      <c r="AE303" s="4">
        <v>169</v>
      </c>
      <c r="AF303" s="4">
        <v>77</v>
      </c>
      <c r="AG303" s="4">
        <v>106</v>
      </c>
      <c r="AH303" s="4">
        <v>101</v>
      </c>
      <c r="AI303" s="4">
        <v>44</v>
      </c>
      <c r="AJ303" s="4">
        <v>56</v>
      </c>
      <c r="AK303" t="s">
        <v>78</v>
      </c>
      <c r="AL303" t="s">
        <v>95</v>
      </c>
      <c r="AM303" t="s">
        <v>80</v>
      </c>
      <c r="AN303" t="s">
        <v>96</v>
      </c>
      <c r="AO303" t="s">
        <v>97</v>
      </c>
      <c r="AP303" t="s">
        <v>85</v>
      </c>
      <c r="AQ303" t="s">
        <v>85</v>
      </c>
      <c r="AR303" t="s">
        <v>85</v>
      </c>
      <c r="AS303" t="s">
        <v>102</v>
      </c>
      <c r="AT303" t="s">
        <v>85</v>
      </c>
      <c r="AU303" t="s">
        <v>85</v>
      </c>
      <c r="AV303" t="s">
        <v>85</v>
      </c>
      <c r="AW303" s="4">
        <v>1</v>
      </c>
      <c r="AX303" s="4">
        <v>0</v>
      </c>
      <c r="AY303" s="4">
        <v>0</v>
      </c>
      <c r="AZ303" s="3">
        <v>1.69</v>
      </c>
      <c r="BA303" s="3">
        <v>2.8560999999999996</v>
      </c>
      <c r="BB303" s="3">
        <v>24.508945765204302</v>
      </c>
      <c r="BC303" t="s">
        <v>85</v>
      </c>
      <c r="BD303" t="s">
        <v>86</v>
      </c>
      <c r="BE303" s="4">
        <v>1</v>
      </c>
      <c r="BF303" t="s">
        <v>87</v>
      </c>
      <c r="BG303" s="1" t="e">
        <v>#NULL!</v>
      </c>
      <c r="BH303" s="4">
        <v>0</v>
      </c>
      <c r="BI303" t="s">
        <v>85</v>
      </c>
      <c r="BJ303" s="4">
        <v>1</v>
      </c>
      <c r="BK303" t="s">
        <v>88</v>
      </c>
    </row>
    <row r="304" spans="1:63" x14ac:dyDescent="0.35">
      <c r="A304" s="4">
        <v>221</v>
      </c>
      <c r="B304" s="4">
        <v>45</v>
      </c>
      <c r="C304" t="s">
        <v>120</v>
      </c>
      <c r="D304" t="s">
        <v>64</v>
      </c>
      <c r="E304" t="s">
        <v>104</v>
      </c>
      <c r="F304" t="s">
        <v>101</v>
      </c>
      <c r="G304" t="s">
        <v>67</v>
      </c>
      <c r="H304" s="2">
        <v>800</v>
      </c>
      <c r="I304" t="s">
        <v>105</v>
      </c>
      <c r="J304" t="s">
        <v>69</v>
      </c>
      <c r="K304" t="s">
        <v>69</v>
      </c>
      <c r="L304" t="s">
        <v>69</v>
      </c>
      <c r="M304" s="4">
        <v>1</v>
      </c>
      <c r="N304" t="s">
        <v>71</v>
      </c>
      <c r="O304" s="4">
        <v>4</v>
      </c>
      <c r="P304" t="s">
        <v>91</v>
      </c>
      <c r="Q304" s="4">
        <v>1</v>
      </c>
      <c r="R304" t="s">
        <v>71</v>
      </c>
      <c r="S304" s="4">
        <v>2</v>
      </c>
      <c r="T304" t="s">
        <v>71</v>
      </c>
      <c r="U304" t="s">
        <v>92</v>
      </c>
      <c r="V304" t="s">
        <v>93</v>
      </c>
      <c r="W304" t="s">
        <v>93</v>
      </c>
      <c r="X304" t="s">
        <v>94</v>
      </c>
      <c r="Y304" t="s">
        <v>69</v>
      </c>
      <c r="Z304" s="4">
        <v>4</v>
      </c>
      <c r="AA304" t="s">
        <v>77</v>
      </c>
      <c r="AB304" s="4">
        <v>100</v>
      </c>
      <c r="AC304" s="4">
        <v>68</v>
      </c>
      <c r="AD304" s="4">
        <v>80</v>
      </c>
      <c r="AE304" s="4">
        <v>174</v>
      </c>
      <c r="AF304" s="4">
        <v>88</v>
      </c>
      <c r="AG304" s="4">
        <v>96</v>
      </c>
      <c r="AH304" s="4">
        <v>98</v>
      </c>
      <c r="AI304" s="4">
        <v>140</v>
      </c>
      <c r="AJ304" s="4">
        <v>70</v>
      </c>
      <c r="AK304" t="s">
        <v>78</v>
      </c>
      <c r="AL304" t="s">
        <v>95</v>
      </c>
      <c r="AM304" t="s">
        <v>80</v>
      </c>
      <c r="AN304" t="s">
        <v>96</v>
      </c>
      <c r="AO304" t="s">
        <v>97</v>
      </c>
      <c r="AP304" t="s">
        <v>85</v>
      </c>
      <c r="AQ304" t="s">
        <v>85</v>
      </c>
      <c r="AR304" t="s">
        <v>85</v>
      </c>
      <c r="AS304" t="s">
        <v>84</v>
      </c>
      <c r="AT304" t="s">
        <v>85</v>
      </c>
      <c r="AU304" t="s">
        <v>83</v>
      </c>
      <c r="AV304" t="s">
        <v>85</v>
      </c>
      <c r="AW304" s="4">
        <v>0</v>
      </c>
      <c r="AX304" s="4">
        <v>0</v>
      </c>
      <c r="AY304" s="4">
        <v>0</v>
      </c>
      <c r="AZ304" s="3">
        <v>1.74</v>
      </c>
      <c r="BA304" s="3">
        <v>3.0276000000000001</v>
      </c>
      <c r="BB304" s="3">
        <v>26.423569824283259</v>
      </c>
      <c r="BC304" t="s">
        <v>98</v>
      </c>
      <c r="BD304" t="s">
        <v>99</v>
      </c>
      <c r="BE304" s="4">
        <v>0</v>
      </c>
      <c r="BF304" t="s">
        <v>87</v>
      </c>
      <c r="BG304" s="4">
        <v>0</v>
      </c>
      <c r="BH304" s="1" t="e">
        <v>#NULL!</v>
      </c>
      <c r="BI304" t="s">
        <v>85</v>
      </c>
      <c r="BJ304" s="4">
        <v>0</v>
      </c>
      <c r="BK304" t="s">
        <v>88</v>
      </c>
    </row>
    <row r="305" spans="1:63" x14ac:dyDescent="0.35">
      <c r="A305" s="4">
        <v>416</v>
      </c>
      <c r="B305" s="4">
        <v>45</v>
      </c>
      <c r="C305" t="s">
        <v>120</v>
      </c>
      <c r="D305" t="s">
        <v>89</v>
      </c>
      <c r="E305" t="s">
        <v>104</v>
      </c>
      <c r="F305" t="s">
        <v>66</v>
      </c>
      <c r="G305" t="s">
        <v>67</v>
      </c>
      <c r="H305" s="2">
        <v>500</v>
      </c>
      <c r="I305" t="s">
        <v>68</v>
      </c>
      <c r="J305" t="s">
        <v>69</v>
      </c>
      <c r="K305" t="s">
        <v>69</v>
      </c>
      <c r="L305" t="s">
        <v>69</v>
      </c>
      <c r="M305" s="4">
        <v>4</v>
      </c>
      <c r="N305" t="s">
        <v>91</v>
      </c>
      <c r="O305" s="4">
        <v>5</v>
      </c>
      <c r="P305" t="s">
        <v>72</v>
      </c>
      <c r="Q305" s="4">
        <v>4</v>
      </c>
      <c r="R305" t="s">
        <v>91</v>
      </c>
      <c r="S305" s="4">
        <v>3</v>
      </c>
      <c r="T305" t="s">
        <v>91</v>
      </c>
      <c r="U305" t="s">
        <v>103</v>
      </c>
      <c r="V305" t="s">
        <v>93</v>
      </c>
      <c r="W305" t="s">
        <v>93</v>
      </c>
      <c r="X305" t="s">
        <v>94</v>
      </c>
      <c r="Y305" t="s">
        <v>69</v>
      </c>
      <c r="Z305" s="4">
        <v>2</v>
      </c>
      <c r="AA305" t="s">
        <v>77</v>
      </c>
      <c r="AB305" s="4">
        <v>100</v>
      </c>
      <c r="AC305" s="4">
        <v>74</v>
      </c>
      <c r="AD305" s="4">
        <v>62</v>
      </c>
      <c r="AE305" s="4">
        <v>162</v>
      </c>
      <c r="AF305" s="4">
        <v>94</v>
      </c>
      <c r="AG305" s="4">
        <v>110</v>
      </c>
      <c r="AH305" s="4">
        <v>109</v>
      </c>
      <c r="AI305" s="4">
        <v>104</v>
      </c>
      <c r="AJ305" s="4">
        <v>51</v>
      </c>
      <c r="AK305" t="s">
        <v>78</v>
      </c>
      <c r="AL305" t="s">
        <v>95</v>
      </c>
      <c r="AM305" t="s">
        <v>80</v>
      </c>
      <c r="AN305" t="s">
        <v>96</v>
      </c>
      <c r="AO305" t="s">
        <v>97</v>
      </c>
      <c r="AP305" t="s">
        <v>85</v>
      </c>
      <c r="AQ305" t="s">
        <v>85</v>
      </c>
      <c r="AR305" t="s">
        <v>85</v>
      </c>
      <c r="AS305" t="s">
        <v>102</v>
      </c>
      <c r="AT305" t="s">
        <v>83</v>
      </c>
      <c r="AU305" t="s">
        <v>83</v>
      </c>
      <c r="AV305" t="s">
        <v>83</v>
      </c>
      <c r="AW305" s="4">
        <v>1</v>
      </c>
      <c r="AX305" s="4">
        <v>0</v>
      </c>
      <c r="AY305" s="4">
        <v>1</v>
      </c>
      <c r="AZ305" s="3">
        <v>1.62</v>
      </c>
      <c r="BA305" s="3">
        <v>2.6244000000000005</v>
      </c>
      <c r="BB305" s="3">
        <v>23.624447492760247</v>
      </c>
      <c r="BC305" t="s">
        <v>85</v>
      </c>
      <c r="BD305" t="s">
        <v>86</v>
      </c>
      <c r="BE305" s="4">
        <v>2</v>
      </c>
      <c r="BF305" t="s">
        <v>87</v>
      </c>
      <c r="BG305" s="1" t="e">
        <v>#NULL!</v>
      </c>
      <c r="BH305" s="4">
        <v>1</v>
      </c>
      <c r="BI305" t="s">
        <v>83</v>
      </c>
      <c r="BJ305" s="4">
        <v>2</v>
      </c>
      <c r="BK305" t="s">
        <v>88</v>
      </c>
    </row>
    <row r="306" spans="1:63" x14ac:dyDescent="0.35">
      <c r="A306" s="4">
        <v>451</v>
      </c>
      <c r="B306" s="4">
        <v>45</v>
      </c>
      <c r="C306" t="s">
        <v>120</v>
      </c>
      <c r="D306" t="s">
        <v>64</v>
      </c>
      <c r="E306" t="s">
        <v>104</v>
      </c>
      <c r="F306" t="s">
        <v>101</v>
      </c>
      <c r="G306" t="s">
        <v>67</v>
      </c>
      <c r="H306" s="2">
        <v>400</v>
      </c>
      <c r="I306" t="s">
        <v>68</v>
      </c>
      <c r="J306" t="s">
        <v>69</v>
      </c>
      <c r="K306" t="s">
        <v>69</v>
      </c>
      <c r="L306" t="s">
        <v>69</v>
      </c>
      <c r="M306" s="4">
        <v>2</v>
      </c>
      <c r="N306" t="s">
        <v>71</v>
      </c>
      <c r="O306" s="4">
        <v>2</v>
      </c>
      <c r="P306" t="s">
        <v>71</v>
      </c>
      <c r="Q306" s="4">
        <v>3</v>
      </c>
      <c r="R306" t="s">
        <v>91</v>
      </c>
      <c r="S306" s="4">
        <v>1</v>
      </c>
      <c r="T306" t="s">
        <v>71</v>
      </c>
      <c r="U306" t="s">
        <v>92</v>
      </c>
      <c r="V306" t="s">
        <v>93</v>
      </c>
      <c r="W306" t="s">
        <v>93</v>
      </c>
      <c r="X306" t="s">
        <v>94</v>
      </c>
      <c r="Y306" t="s">
        <v>69</v>
      </c>
      <c r="Z306" s="4">
        <v>1</v>
      </c>
      <c r="AA306" t="s">
        <v>77</v>
      </c>
      <c r="AB306" s="4">
        <v>120</v>
      </c>
      <c r="AC306" s="4">
        <v>82</v>
      </c>
      <c r="AD306" s="4">
        <v>75</v>
      </c>
      <c r="AE306" s="4">
        <v>178</v>
      </c>
      <c r="AF306" s="4">
        <v>87</v>
      </c>
      <c r="AG306" s="4">
        <v>106</v>
      </c>
      <c r="AH306" s="4">
        <v>71</v>
      </c>
      <c r="AI306" s="4">
        <v>55</v>
      </c>
      <c r="AJ306" s="4">
        <v>50</v>
      </c>
      <c r="AK306" t="s">
        <v>78</v>
      </c>
      <c r="AL306" t="s">
        <v>95</v>
      </c>
      <c r="AM306" t="s">
        <v>80</v>
      </c>
      <c r="AN306" t="s">
        <v>96</v>
      </c>
      <c r="AO306" t="s">
        <v>97</v>
      </c>
      <c r="AP306" t="s">
        <v>85</v>
      </c>
      <c r="AQ306" t="s">
        <v>85</v>
      </c>
      <c r="AR306" t="s">
        <v>85</v>
      </c>
      <c r="AS306" t="s">
        <v>84</v>
      </c>
      <c r="AT306" t="s">
        <v>85</v>
      </c>
      <c r="AU306" t="s">
        <v>83</v>
      </c>
      <c r="AV306" t="s">
        <v>85</v>
      </c>
      <c r="AW306" s="4">
        <v>0</v>
      </c>
      <c r="AX306" s="4">
        <v>0</v>
      </c>
      <c r="AY306" s="4">
        <v>0</v>
      </c>
      <c r="AZ306" s="3">
        <v>1.78</v>
      </c>
      <c r="BA306" s="3">
        <v>3.1684000000000001</v>
      </c>
      <c r="BB306" s="3">
        <v>23.671253629592222</v>
      </c>
      <c r="BC306" t="s">
        <v>85</v>
      </c>
      <c r="BD306" t="s">
        <v>86</v>
      </c>
      <c r="BE306" s="4">
        <v>0</v>
      </c>
      <c r="BF306" t="s">
        <v>87</v>
      </c>
      <c r="BG306" s="4">
        <v>0</v>
      </c>
      <c r="BH306" s="1" t="e">
        <v>#NULL!</v>
      </c>
      <c r="BI306" t="s">
        <v>85</v>
      </c>
      <c r="BJ306" s="4">
        <v>0</v>
      </c>
      <c r="BK306" t="s">
        <v>88</v>
      </c>
    </row>
    <row r="307" spans="1:63" x14ac:dyDescent="0.35">
      <c r="A307" s="4">
        <v>175</v>
      </c>
      <c r="B307" s="4">
        <v>46</v>
      </c>
      <c r="C307" t="s">
        <v>120</v>
      </c>
      <c r="D307" t="s">
        <v>89</v>
      </c>
      <c r="E307" t="s">
        <v>104</v>
      </c>
      <c r="F307" t="s">
        <v>66</v>
      </c>
      <c r="G307" t="s">
        <v>67</v>
      </c>
      <c r="H307" s="2">
        <v>500</v>
      </c>
      <c r="I307" t="s">
        <v>68</v>
      </c>
      <c r="J307" t="s">
        <v>69</v>
      </c>
      <c r="K307" t="s">
        <v>69</v>
      </c>
      <c r="L307" t="s">
        <v>69</v>
      </c>
      <c r="M307" s="4">
        <v>4</v>
      </c>
      <c r="N307" t="s">
        <v>91</v>
      </c>
      <c r="O307" s="4">
        <v>5</v>
      </c>
      <c r="P307" t="s">
        <v>72</v>
      </c>
      <c r="Q307" s="4">
        <v>4</v>
      </c>
      <c r="R307" t="s">
        <v>91</v>
      </c>
      <c r="S307" s="4">
        <v>3</v>
      </c>
      <c r="T307" t="s">
        <v>91</v>
      </c>
      <c r="U307" t="s">
        <v>103</v>
      </c>
      <c r="V307" t="s">
        <v>93</v>
      </c>
      <c r="W307" t="s">
        <v>93</v>
      </c>
      <c r="X307" t="s">
        <v>94</v>
      </c>
      <c r="Y307" t="s">
        <v>69</v>
      </c>
      <c r="Z307" s="4">
        <v>2</v>
      </c>
      <c r="AA307" t="s">
        <v>77</v>
      </c>
      <c r="AB307" s="4">
        <v>100</v>
      </c>
      <c r="AC307" s="4">
        <v>74</v>
      </c>
      <c r="AD307" s="4">
        <v>62</v>
      </c>
      <c r="AE307" s="4">
        <v>162</v>
      </c>
      <c r="AF307" s="4">
        <v>94</v>
      </c>
      <c r="AG307" s="4">
        <v>110</v>
      </c>
      <c r="AH307" s="4">
        <v>109</v>
      </c>
      <c r="AI307" s="4">
        <v>104</v>
      </c>
      <c r="AJ307" s="4">
        <v>51</v>
      </c>
      <c r="AK307" t="s">
        <v>78</v>
      </c>
      <c r="AL307" t="s">
        <v>95</v>
      </c>
      <c r="AM307" t="s">
        <v>80</v>
      </c>
      <c r="AN307" t="s">
        <v>96</v>
      </c>
      <c r="AO307" t="s">
        <v>97</v>
      </c>
      <c r="AP307" t="s">
        <v>85</v>
      </c>
      <c r="AQ307" t="s">
        <v>85</v>
      </c>
      <c r="AR307" t="s">
        <v>85</v>
      </c>
      <c r="AS307" t="s">
        <v>102</v>
      </c>
      <c r="AT307" t="s">
        <v>83</v>
      </c>
      <c r="AU307" t="s">
        <v>83</v>
      </c>
      <c r="AV307" t="s">
        <v>83</v>
      </c>
      <c r="AW307" s="4">
        <v>1</v>
      </c>
      <c r="AX307" s="4">
        <v>0</v>
      </c>
      <c r="AY307" s="4">
        <v>1</v>
      </c>
      <c r="AZ307" s="3">
        <v>1.62</v>
      </c>
      <c r="BA307" s="3">
        <v>2.6244000000000005</v>
      </c>
      <c r="BB307" s="3">
        <v>23.624447492760247</v>
      </c>
      <c r="BC307" t="s">
        <v>85</v>
      </c>
      <c r="BD307" t="s">
        <v>86</v>
      </c>
      <c r="BE307" s="4">
        <v>2</v>
      </c>
      <c r="BF307" t="s">
        <v>87</v>
      </c>
      <c r="BG307" s="1" t="e">
        <v>#NULL!</v>
      </c>
      <c r="BH307" s="4">
        <v>1</v>
      </c>
      <c r="BI307" t="s">
        <v>83</v>
      </c>
      <c r="BJ307" s="4">
        <v>2</v>
      </c>
      <c r="BK307" t="s">
        <v>88</v>
      </c>
    </row>
    <row r="308" spans="1:63" x14ac:dyDescent="0.35">
      <c r="A308" s="4">
        <v>198</v>
      </c>
      <c r="B308" s="4">
        <v>46</v>
      </c>
      <c r="C308" t="s">
        <v>120</v>
      </c>
      <c r="D308" t="s">
        <v>64</v>
      </c>
      <c r="E308" t="s">
        <v>104</v>
      </c>
      <c r="F308" t="s">
        <v>101</v>
      </c>
      <c r="G308" t="s">
        <v>67</v>
      </c>
      <c r="H308" s="2">
        <v>400</v>
      </c>
      <c r="I308" t="s">
        <v>68</v>
      </c>
      <c r="J308" t="s">
        <v>69</v>
      </c>
      <c r="K308" t="s">
        <v>70</v>
      </c>
      <c r="L308" t="s">
        <v>69</v>
      </c>
      <c r="M308" s="4">
        <v>2</v>
      </c>
      <c r="N308" t="s">
        <v>71</v>
      </c>
      <c r="O308" s="4">
        <v>2</v>
      </c>
      <c r="P308" t="s">
        <v>71</v>
      </c>
      <c r="Q308" s="4">
        <v>3</v>
      </c>
      <c r="R308" t="s">
        <v>91</v>
      </c>
      <c r="S308" s="4">
        <v>1</v>
      </c>
      <c r="T308" t="s">
        <v>71</v>
      </c>
      <c r="U308" t="s">
        <v>92</v>
      </c>
      <c r="V308" t="s">
        <v>93</v>
      </c>
      <c r="W308" t="s">
        <v>93</v>
      </c>
      <c r="X308" t="s">
        <v>94</v>
      </c>
      <c r="Y308" t="s">
        <v>69</v>
      </c>
      <c r="Z308" s="4">
        <v>1</v>
      </c>
      <c r="AA308" t="s">
        <v>77</v>
      </c>
      <c r="AB308" s="4">
        <v>120</v>
      </c>
      <c r="AC308" s="4">
        <v>82</v>
      </c>
      <c r="AD308" s="4">
        <v>75</v>
      </c>
      <c r="AE308" s="4">
        <v>178</v>
      </c>
      <c r="AF308" s="4">
        <v>87</v>
      </c>
      <c r="AG308" s="4">
        <v>106</v>
      </c>
      <c r="AH308" s="4">
        <v>71</v>
      </c>
      <c r="AI308" s="4">
        <v>55</v>
      </c>
      <c r="AJ308" s="4">
        <v>50</v>
      </c>
      <c r="AK308" t="s">
        <v>78</v>
      </c>
      <c r="AL308" t="s">
        <v>95</v>
      </c>
      <c r="AM308" t="s">
        <v>80</v>
      </c>
      <c r="AN308" t="s">
        <v>96</v>
      </c>
      <c r="AO308" t="s">
        <v>97</v>
      </c>
      <c r="AP308" t="s">
        <v>85</v>
      </c>
      <c r="AQ308" t="s">
        <v>85</v>
      </c>
      <c r="AR308" t="s">
        <v>85</v>
      </c>
      <c r="AS308" t="s">
        <v>84</v>
      </c>
      <c r="AT308" t="s">
        <v>85</v>
      </c>
      <c r="AU308" t="s">
        <v>83</v>
      </c>
      <c r="AV308" t="s">
        <v>85</v>
      </c>
      <c r="AW308" s="4">
        <v>0</v>
      </c>
      <c r="AX308" s="4">
        <v>0</v>
      </c>
      <c r="AY308" s="4">
        <v>0</v>
      </c>
      <c r="AZ308" s="3">
        <v>1.78</v>
      </c>
      <c r="BA308" s="3">
        <v>3.1684000000000001</v>
      </c>
      <c r="BB308" s="3">
        <v>23.671253629592222</v>
      </c>
      <c r="BC308" t="s">
        <v>85</v>
      </c>
      <c r="BD308" t="s">
        <v>86</v>
      </c>
      <c r="BE308" s="4">
        <v>0</v>
      </c>
      <c r="BF308" t="s">
        <v>87</v>
      </c>
      <c r="BG308" s="4">
        <v>0</v>
      </c>
      <c r="BH308" s="1" t="e">
        <v>#NULL!</v>
      </c>
      <c r="BI308" t="s">
        <v>85</v>
      </c>
      <c r="BJ308" s="4">
        <v>0</v>
      </c>
      <c r="BK308" t="s">
        <v>88</v>
      </c>
    </row>
    <row r="309" spans="1:63" x14ac:dyDescent="0.35">
      <c r="A309" s="4">
        <v>212</v>
      </c>
      <c r="B309" s="4">
        <v>46</v>
      </c>
      <c r="C309" t="s">
        <v>120</v>
      </c>
      <c r="D309" t="s">
        <v>64</v>
      </c>
      <c r="E309" t="s">
        <v>104</v>
      </c>
      <c r="F309" t="s">
        <v>90</v>
      </c>
      <c r="G309" t="s">
        <v>67</v>
      </c>
      <c r="H309" s="2">
        <v>800</v>
      </c>
      <c r="I309" t="s">
        <v>105</v>
      </c>
      <c r="J309" t="s">
        <v>69</v>
      </c>
      <c r="K309" t="s">
        <v>69</v>
      </c>
      <c r="L309" t="s">
        <v>69</v>
      </c>
      <c r="M309" s="4">
        <v>3</v>
      </c>
      <c r="N309" t="s">
        <v>91</v>
      </c>
      <c r="O309" s="4">
        <v>3</v>
      </c>
      <c r="P309" t="s">
        <v>91</v>
      </c>
      <c r="Q309" s="4">
        <v>3</v>
      </c>
      <c r="R309" t="s">
        <v>91</v>
      </c>
      <c r="S309" s="4">
        <v>3</v>
      </c>
      <c r="T309" t="s">
        <v>91</v>
      </c>
      <c r="U309" t="s">
        <v>92</v>
      </c>
      <c r="V309" t="s">
        <v>93</v>
      </c>
      <c r="W309" t="s">
        <v>93</v>
      </c>
      <c r="X309" t="s">
        <v>94</v>
      </c>
      <c r="Y309" t="s">
        <v>69</v>
      </c>
      <c r="Z309" s="4">
        <v>3</v>
      </c>
      <c r="AA309" t="s">
        <v>77</v>
      </c>
      <c r="AB309" s="4">
        <v>100</v>
      </c>
      <c r="AC309" s="4">
        <v>72</v>
      </c>
      <c r="AD309" s="4">
        <v>80</v>
      </c>
      <c r="AE309" s="4">
        <v>171</v>
      </c>
      <c r="AF309" s="4">
        <v>92</v>
      </c>
      <c r="AG309" s="4">
        <v>103</v>
      </c>
      <c r="AH309" s="4">
        <v>92</v>
      </c>
      <c r="AI309" s="4">
        <v>140</v>
      </c>
      <c r="AJ309" s="4">
        <v>38</v>
      </c>
      <c r="AK309" t="s">
        <v>78</v>
      </c>
      <c r="AL309" t="s">
        <v>95</v>
      </c>
      <c r="AM309" t="s">
        <v>80</v>
      </c>
      <c r="AN309" t="s">
        <v>96</v>
      </c>
      <c r="AO309" t="s">
        <v>97</v>
      </c>
      <c r="AP309" t="s">
        <v>83</v>
      </c>
      <c r="AQ309" t="s">
        <v>83</v>
      </c>
      <c r="AR309" t="s">
        <v>83</v>
      </c>
      <c r="AS309" t="s">
        <v>84</v>
      </c>
      <c r="AT309" t="s">
        <v>85</v>
      </c>
      <c r="AU309" t="s">
        <v>83</v>
      </c>
      <c r="AV309" t="s">
        <v>85</v>
      </c>
      <c r="AW309" s="4">
        <v>1</v>
      </c>
      <c r="AX309" s="4">
        <v>0</v>
      </c>
      <c r="AY309" s="4">
        <v>0</v>
      </c>
      <c r="AZ309" s="3">
        <v>1.71</v>
      </c>
      <c r="BA309" s="3">
        <v>2.9240999999999997</v>
      </c>
      <c r="BB309" s="3">
        <v>27.358845456721728</v>
      </c>
      <c r="BC309" t="s">
        <v>98</v>
      </c>
      <c r="BD309" t="s">
        <v>99</v>
      </c>
      <c r="BE309" s="4">
        <v>1</v>
      </c>
      <c r="BF309" t="s">
        <v>87</v>
      </c>
      <c r="BG309" s="4">
        <v>0</v>
      </c>
      <c r="BH309" s="1" t="e">
        <v>#NULL!</v>
      </c>
      <c r="BI309" t="s">
        <v>85</v>
      </c>
      <c r="BJ309" s="4">
        <v>1</v>
      </c>
      <c r="BK309" t="s">
        <v>88</v>
      </c>
    </row>
    <row r="310" spans="1:63" x14ac:dyDescent="0.35">
      <c r="A310" s="4">
        <v>278</v>
      </c>
      <c r="B310" s="4">
        <v>46</v>
      </c>
      <c r="C310" t="s">
        <v>120</v>
      </c>
      <c r="D310" t="s">
        <v>89</v>
      </c>
      <c r="E310" t="s">
        <v>104</v>
      </c>
      <c r="F310" t="s">
        <v>90</v>
      </c>
      <c r="G310" t="s">
        <v>67</v>
      </c>
      <c r="H310" s="2">
        <v>250</v>
      </c>
      <c r="I310" t="s">
        <v>68</v>
      </c>
      <c r="J310" t="s">
        <v>69</v>
      </c>
      <c r="K310" t="s">
        <v>69</v>
      </c>
      <c r="L310" t="s">
        <v>69</v>
      </c>
      <c r="M310" s="4">
        <v>1</v>
      </c>
      <c r="N310" t="s">
        <v>71</v>
      </c>
      <c r="O310" s="4">
        <v>2</v>
      </c>
      <c r="P310" t="s">
        <v>71</v>
      </c>
      <c r="Q310" s="4">
        <v>2</v>
      </c>
      <c r="R310" t="s">
        <v>71</v>
      </c>
      <c r="S310" s="4">
        <v>1</v>
      </c>
      <c r="T310" t="s">
        <v>71</v>
      </c>
      <c r="U310" t="s">
        <v>92</v>
      </c>
      <c r="V310" t="s">
        <v>93</v>
      </c>
      <c r="W310" t="s">
        <v>93</v>
      </c>
      <c r="X310" t="s">
        <v>94</v>
      </c>
      <c r="Y310" t="s">
        <v>69</v>
      </c>
      <c r="Z310" s="4">
        <v>8</v>
      </c>
      <c r="AA310" t="s">
        <v>117</v>
      </c>
      <c r="AB310" s="4">
        <v>154</v>
      </c>
      <c r="AC310" s="4">
        <v>78</v>
      </c>
      <c r="AD310" s="4">
        <v>90</v>
      </c>
      <c r="AE310" s="4">
        <v>171</v>
      </c>
      <c r="AF310" s="4">
        <v>96</v>
      </c>
      <c r="AG310" s="4">
        <v>118</v>
      </c>
      <c r="AH310" s="4">
        <v>161</v>
      </c>
      <c r="AI310" s="4">
        <v>157</v>
      </c>
      <c r="AJ310" s="4">
        <v>40</v>
      </c>
      <c r="AK310" t="s">
        <v>107</v>
      </c>
      <c r="AL310" t="s">
        <v>79</v>
      </c>
      <c r="AM310" t="s">
        <v>80</v>
      </c>
      <c r="AN310" t="s">
        <v>81</v>
      </c>
      <c r="AO310" t="s">
        <v>82</v>
      </c>
      <c r="AP310" t="s">
        <v>83</v>
      </c>
      <c r="AQ310" t="s">
        <v>85</v>
      </c>
      <c r="AR310" t="s">
        <v>83</v>
      </c>
      <c r="AS310" t="s">
        <v>102</v>
      </c>
      <c r="AT310" t="s">
        <v>83</v>
      </c>
      <c r="AU310" t="s">
        <v>83</v>
      </c>
      <c r="AV310" t="s">
        <v>83</v>
      </c>
      <c r="AW310" s="4">
        <v>4</v>
      </c>
      <c r="AX310" s="4">
        <v>1</v>
      </c>
      <c r="AY310" s="4">
        <v>2</v>
      </c>
      <c r="AZ310" s="3">
        <v>1.71</v>
      </c>
      <c r="BA310" s="3">
        <v>2.9240999999999997</v>
      </c>
      <c r="BB310" s="3">
        <v>30.778701138811947</v>
      </c>
      <c r="BC310" t="s">
        <v>110</v>
      </c>
      <c r="BD310" t="s">
        <v>99</v>
      </c>
      <c r="BE310" s="4">
        <v>5</v>
      </c>
      <c r="BF310" t="s">
        <v>111</v>
      </c>
      <c r="BG310" s="1" t="e">
        <v>#NULL!</v>
      </c>
      <c r="BH310" s="4">
        <v>1</v>
      </c>
      <c r="BI310" t="s">
        <v>83</v>
      </c>
      <c r="BJ310" s="4">
        <v>5</v>
      </c>
      <c r="BK310" t="s">
        <v>112</v>
      </c>
    </row>
    <row r="311" spans="1:63" x14ac:dyDescent="0.35">
      <c r="A311" s="4">
        <v>290</v>
      </c>
      <c r="B311" s="4">
        <v>46</v>
      </c>
      <c r="C311" t="s">
        <v>120</v>
      </c>
      <c r="D311" t="s">
        <v>89</v>
      </c>
      <c r="E311" t="s">
        <v>104</v>
      </c>
      <c r="F311" t="s">
        <v>115</v>
      </c>
      <c r="G311" t="s">
        <v>67</v>
      </c>
      <c r="H311" s="2">
        <v>700</v>
      </c>
      <c r="I311" t="s">
        <v>105</v>
      </c>
      <c r="J311" t="s">
        <v>69</v>
      </c>
      <c r="K311" t="s">
        <v>69</v>
      </c>
      <c r="L311" t="s">
        <v>69</v>
      </c>
      <c r="M311" s="4">
        <v>5</v>
      </c>
      <c r="N311" t="s">
        <v>72</v>
      </c>
      <c r="O311" s="4">
        <v>5</v>
      </c>
      <c r="P311" t="s">
        <v>72</v>
      </c>
      <c r="Q311" s="4">
        <v>5</v>
      </c>
      <c r="R311" t="s">
        <v>72</v>
      </c>
      <c r="S311" s="4">
        <v>5</v>
      </c>
      <c r="T311" t="s">
        <v>72</v>
      </c>
      <c r="U311" t="s">
        <v>73</v>
      </c>
      <c r="V311" t="s">
        <v>93</v>
      </c>
      <c r="W311" t="s">
        <v>93</v>
      </c>
      <c r="X311" t="s">
        <v>94</v>
      </c>
      <c r="Y311" t="s">
        <v>69</v>
      </c>
      <c r="Z311" s="4">
        <v>5</v>
      </c>
      <c r="AA311" t="s">
        <v>77</v>
      </c>
      <c r="AB311" s="4">
        <v>123</v>
      </c>
      <c r="AC311" s="4">
        <v>76</v>
      </c>
      <c r="AD311" s="4">
        <v>70</v>
      </c>
      <c r="AE311" s="4">
        <v>169</v>
      </c>
      <c r="AF311" s="4">
        <v>78</v>
      </c>
      <c r="AG311" s="4">
        <v>106</v>
      </c>
      <c r="AH311" s="4">
        <v>101</v>
      </c>
      <c r="AI311" s="4">
        <v>44</v>
      </c>
      <c r="AJ311" s="4">
        <v>56</v>
      </c>
      <c r="AK311" t="s">
        <v>78</v>
      </c>
      <c r="AL311" t="s">
        <v>95</v>
      </c>
      <c r="AM311" t="s">
        <v>80</v>
      </c>
      <c r="AN311" t="s">
        <v>96</v>
      </c>
      <c r="AO311" t="s">
        <v>97</v>
      </c>
      <c r="AP311" t="s">
        <v>85</v>
      </c>
      <c r="AQ311" t="s">
        <v>85</v>
      </c>
      <c r="AR311" t="s">
        <v>85</v>
      </c>
      <c r="AS311" t="s">
        <v>102</v>
      </c>
      <c r="AT311" t="s">
        <v>85</v>
      </c>
      <c r="AU311" t="s">
        <v>85</v>
      </c>
      <c r="AV311" t="s">
        <v>85</v>
      </c>
      <c r="AW311" s="4">
        <v>1</v>
      </c>
      <c r="AX311" s="4">
        <v>0</v>
      </c>
      <c r="AY311" s="4">
        <v>0</v>
      </c>
      <c r="AZ311" s="3">
        <v>1.69</v>
      </c>
      <c r="BA311" s="3">
        <v>2.8560999999999996</v>
      </c>
      <c r="BB311" s="3">
        <v>24.508945765204302</v>
      </c>
      <c r="BC311" t="s">
        <v>85</v>
      </c>
      <c r="BD311" t="s">
        <v>86</v>
      </c>
      <c r="BE311" s="4">
        <v>1</v>
      </c>
      <c r="BF311" t="s">
        <v>87</v>
      </c>
      <c r="BG311" s="1" t="e">
        <v>#NULL!</v>
      </c>
      <c r="BH311" s="4">
        <v>0</v>
      </c>
      <c r="BI311" t="s">
        <v>85</v>
      </c>
      <c r="BJ311" s="4">
        <v>1</v>
      </c>
      <c r="BK311" t="s">
        <v>88</v>
      </c>
    </row>
    <row r="312" spans="1:63" x14ac:dyDescent="0.35">
      <c r="A312" s="4">
        <v>296</v>
      </c>
      <c r="B312" s="4">
        <v>46</v>
      </c>
      <c r="C312" t="s">
        <v>120</v>
      </c>
      <c r="D312" t="s">
        <v>64</v>
      </c>
      <c r="E312" t="s">
        <v>104</v>
      </c>
      <c r="F312" t="s">
        <v>101</v>
      </c>
      <c r="G312" t="s">
        <v>67</v>
      </c>
      <c r="H312" s="2">
        <v>800</v>
      </c>
      <c r="I312" t="s">
        <v>105</v>
      </c>
      <c r="J312" t="s">
        <v>69</v>
      </c>
      <c r="K312" t="s">
        <v>70</v>
      </c>
      <c r="L312" t="s">
        <v>69</v>
      </c>
      <c r="M312" s="4">
        <v>1</v>
      </c>
      <c r="N312" t="s">
        <v>71</v>
      </c>
      <c r="O312" s="4">
        <v>4</v>
      </c>
      <c r="P312" t="s">
        <v>91</v>
      </c>
      <c r="Q312" s="4">
        <v>1</v>
      </c>
      <c r="R312" t="s">
        <v>71</v>
      </c>
      <c r="S312" s="4">
        <v>2</v>
      </c>
      <c r="T312" t="s">
        <v>71</v>
      </c>
      <c r="U312" t="s">
        <v>92</v>
      </c>
      <c r="V312" t="s">
        <v>93</v>
      </c>
      <c r="W312" t="s">
        <v>93</v>
      </c>
      <c r="X312" t="s">
        <v>94</v>
      </c>
      <c r="Y312" t="s">
        <v>69</v>
      </c>
      <c r="Z312" s="4">
        <v>4</v>
      </c>
      <c r="AA312" t="s">
        <v>77</v>
      </c>
      <c r="AB312" s="4">
        <v>100</v>
      </c>
      <c r="AC312" s="4">
        <v>68</v>
      </c>
      <c r="AD312" s="4">
        <v>80</v>
      </c>
      <c r="AE312" s="4">
        <v>174</v>
      </c>
      <c r="AF312" s="4">
        <v>88</v>
      </c>
      <c r="AG312" s="4">
        <v>96</v>
      </c>
      <c r="AH312" s="4">
        <v>98</v>
      </c>
      <c r="AI312" s="4">
        <v>140</v>
      </c>
      <c r="AJ312" s="4">
        <v>70</v>
      </c>
      <c r="AK312" t="s">
        <v>78</v>
      </c>
      <c r="AL312" t="s">
        <v>95</v>
      </c>
      <c r="AM312" t="s">
        <v>80</v>
      </c>
      <c r="AN312" t="s">
        <v>96</v>
      </c>
      <c r="AO312" t="s">
        <v>97</v>
      </c>
      <c r="AP312" t="s">
        <v>85</v>
      </c>
      <c r="AQ312" t="s">
        <v>85</v>
      </c>
      <c r="AR312" t="s">
        <v>85</v>
      </c>
      <c r="AS312" t="s">
        <v>84</v>
      </c>
      <c r="AT312" t="s">
        <v>85</v>
      </c>
      <c r="AU312" t="s">
        <v>83</v>
      </c>
      <c r="AV312" t="s">
        <v>85</v>
      </c>
      <c r="AW312" s="4">
        <v>0</v>
      </c>
      <c r="AX312" s="4">
        <v>0</v>
      </c>
      <c r="AY312" s="4">
        <v>0</v>
      </c>
      <c r="AZ312" s="3">
        <v>1.74</v>
      </c>
      <c r="BA312" s="3">
        <v>3.0276000000000001</v>
      </c>
      <c r="BB312" s="3">
        <v>26.423569824283259</v>
      </c>
      <c r="BC312" t="s">
        <v>98</v>
      </c>
      <c r="BD312" t="s">
        <v>99</v>
      </c>
      <c r="BE312" s="4">
        <v>0</v>
      </c>
      <c r="BF312" t="s">
        <v>87</v>
      </c>
      <c r="BG312" s="4">
        <v>0</v>
      </c>
      <c r="BH312" s="1" t="e">
        <v>#NULL!</v>
      </c>
      <c r="BI312" t="s">
        <v>85</v>
      </c>
      <c r="BJ312" s="4">
        <v>0</v>
      </c>
      <c r="BK312" t="s">
        <v>88</v>
      </c>
    </row>
    <row r="313" spans="1:63" x14ac:dyDescent="0.35">
      <c r="A313" s="4">
        <v>332</v>
      </c>
      <c r="B313" s="4">
        <v>46</v>
      </c>
      <c r="C313" t="s">
        <v>120</v>
      </c>
      <c r="D313" t="s">
        <v>64</v>
      </c>
      <c r="E313" t="s">
        <v>104</v>
      </c>
      <c r="F313" t="s">
        <v>90</v>
      </c>
      <c r="G313" t="s">
        <v>67</v>
      </c>
      <c r="H313" s="2">
        <v>600</v>
      </c>
      <c r="I313" t="s">
        <v>105</v>
      </c>
      <c r="J313" t="s">
        <v>70</v>
      </c>
      <c r="K313" t="s">
        <v>69</v>
      </c>
      <c r="L313" t="s">
        <v>69</v>
      </c>
      <c r="M313" s="4">
        <v>2</v>
      </c>
      <c r="N313" t="s">
        <v>71</v>
      </c>
      <c r="O313" s="4">
        <v>2</v>
      </c>
      <c r="P313" t="s">
        <v>71</v>
      </c>
      <c r="Q313" s="4">
        <v>3</v>
      </c>
      <c r="R313" t="s">
        <v>91</v>
      </c>
      <c r="S313" s="4">
        <v>2</v>
      </c>
      <c r="T313" t="s">
        <v>71</v>
      </c>
      <c r="U313" t="s">
        <v>73</v>
      </c>
      <c r="V313" t="s">
        <v>74</v>
      </c>
      <c r="W313" t="s">
        <v>75</v>
      </c>
      <c r="X313" t="s">
        <v>76</v>
      </c>
      <c r="Y313" t="s">
        <v>69</v>
      </c>
      <c r="Z313" s="4">
        <v>4</v>
      </c>
      <c r="AA313" t="s">
        <v>77</v>
      </c>
      <c r="AB313" s="4">
        <v>126</v>
      </c>
      <c r="AC313" s="4">
        <v>81</v>
      </c>
      <c r="AD313" s="4">
        <v>63</v>
      </c>
      <c r="AE313" s="4">
        <v>175</v>
      </c>
      <c r="AF313" s="4">
        <v>73</v>
      </c>
      <c r="AG313" s="4">
        <v>90</v>
      </c>
      <c r="AH313" s="4">
        <v>235</v>
      </c>
      <c r="AI313" s="4">
        <v>97</v>
      </c>
      <c r="AJ313" s="4">
        <v>44</v>
      </c>
      <c r="AK313" t="s">
        <v>78</v>
      </c>
      <c r="AL313" t="s">
        <v>95</v>
      </c>
      <c r="AM313" t="s">
        <v>80</v>
      </c>
      <c r="AN313" t="s">
        <v>96</v>
      </c>
      <c r="AO313" t="s">
        <v>97</v>
      </c>
      <c r="AP313" t="s">
        <v>83</v>
      </c>
      <c r="AQ313" t="s">
        <v>85</v>
      </c>
      <c r="AR313" t="s">
        <v>85</v>
      </c>
      <c r="AS313" t="s">
        <v>102</v>
      </c>
      <c r="AT313" t="s">
        <v>85</v>
      </c>
      <c r="AU313" t="s">
        <v>85</v>
      </c>
      <c r="AV313" t="s">
        <v>85</v>
      </c>
      <c r="AW313" s="4">
        <v>1</v>
      </c>
      <c r="AX313" s="4">
        <v>0</v>
      </c>
      <c r="AY313" s="4">
        <v>0</v>
      </c>
      <c r="AZ313" s="3">
        <v>1.75</v>
      </c>
      <c r="BA313" s="3">
        <v>3.0625</v>
      </c>
      <c r="BB313" s="3">
        <v>20.571428571428573</v>
      </c>
      <c r="BC313" t="s">
        <v>85</v>
      </c>
      <c r="BD313" t="s">
        <v>86</v>
      </c>
      <c r="BE313" s="4">
        <v>1</v>
      </c>
      <c r="BF313" t="s">
        <v>87</v>
      </c>
      <c r="BG313" s="4">
        <v>0</v>
      </c>
      <c r="BH313" s="1" t="e">
        <v>#NULL!</v>
      </c>
      <c r="BI313" t="s">
        <v>85</v>
      </c>
      <c r="BJ313" s="4">
        <v>1</v>
      </c>
      <c r="BK313" t="s">
        <v>88</v>
      </c>
    </row>
    <row r="314" spans="1:63" x14ac:dyDescent="0.35">
      <c r="A314" s="4">
        <v>450</v>
      </c>
      <c r="B314" s="4">
        <v>46</v>
      </c>
      <c r="C314" t="s">
        <v>120</v>
      </c>
      <c r="D314" t="s">
        <v>64</v>
      </c>
      <c r="E314" t="s">
        <v>104</v>
      </c>
      <c r="F314" t="s">
        <v>90</v>
      </c>
      <c r="G314" t="s">
        <v>67</v>
      </c>
      <c r="H314" s="2">
        <v>500</v>
      </c>
      <c r="I314" t="s">
        <v>68</v>
      </c>
      <c r="J314" t="s">
        <v>69</v>
      </c>
      <c r="K314" t="s">
        <v>70</v>
      </c>
      <c r="L314" t="s">
        <v>69</v>
      </c>
      <c r="M314" s="4">
        <v>3</v>
      </c>
      <c r="N314" t="s">
        <v>91</v>
      </c>
      <c r="O314" s="4">
        <v>4</v>
      </c>
      <c r="P314" t="s">
        <v>91</v>
      </c>
      <c r="Q314" s="4">
        <v>3</v>
      </c>
      <c r="R314" t="s">
        <v>91</v>
      </c>
      <c r="S314" s="4">
        <v>3</v>
      </c>
      <c r="T314" t="s">
        <v>91</v>
      </c>
      <c r="U314" t="s">
        <v>73</v>
      </c>
      <c r="V314" t="s">
        <v>93</v>
      </c>
      <c r="W314" t="s">
        <v>74</v>
      </c>
      <c r="X314" t="s">
        <v>76</v>
      </c>
      <c r="Y314" t="s">
        <v>69</v>
      </c>
      <c r="Z314" s="4">
        <v>1</v>
      </c>
      <c r="AA314" t="s">
        <v>77</v>
      </c>
      <c r="AB314" s="4">
        <v>99</v>
      </c>
      <c r="AC314" s="4">
        <v>72</v>
      </c>
      <c r="AD314" s="4">
        <v>64</v>
      </c>
      <c r="AE314" s="4">
        <v>170</v>
      </c>
      <c r="AF314" s="4">
        <v>79</v>
      </c>
      <c r="AG314" s="4">
        <v>90</v>
      </c>
      <c r="AH314" s="4">
        <v>228</v>
      </c>
      <c r="AI314" s="4">
        <v>121</v>
      </c>
      <c r="AJ314" s="4">
        <v>28</v>
      </c>
      <c r="AK314" t="s">
        <v>78</v>
      </c>
      <c r="AL314" t="s">
        <v>95</v>
      </c>
      <c r="AM314" t="s">
        <v>80</v>
      </c>
      <c r="AN314" t="s">
        <v>96</v>
      </c>
      <c r="AO314" t="s">
        <v>97</v>
      </c>
      <c r="AP314" t="s">
        <v>83</v>
      </c>
      <c r="AQ314" t="s">
        <v>83</v>
      </c>
      <c r="AR314" t="s">
        <v>83</v>
      </c>
      <c r="AS314" t="s">
        <v>102</v>
      </c>
      <c r="AT314" t="s">
        <v>85</v>
      </c>
      <c r="AU314" t="s">
        <v>85</v>
      </c>
      <c r="AV314" t="s">
        <v>85</v>
      </c>
      <c r="AW314" s="4">
        <v>2</v>
      </c>
      <c r="AX314" s="4">
        <v>1</v>
      </c>
      <c r="AY314" s="4">
        <v>1</v>
      </c>
      <c r="AZ314" s="3">
        <v>1.7</v>
      </c>
      <c r="BA314" s="3">
        <v>2.8899999999999997</v>
      </c>
      <c r="BB314" s="3">
        <v>22.145328719723185</v>
      </c>
      <c r="BC314" t="s">
        <v>85</v>
      </c>
      <c r="BD314" t="s">
        <v>86</v>
      </c>
      <c r="BE314" s="4">
        <v>2</v>
      </c>
      <c r="BF314" t="s">
        <v>87</v>
      </c>
      <c r="BG314" s="4">
        <v>0</v>
      </c>
      <c r="BH314" s="1" t="e">
        <v>#NULL!</v>
      </c>
      <c r="BI314" t="s">
        <v>85</v>
      </c>
      <c r="BJ314" s="4">
        <v>2</v>
      </c>
      <c r="BK314" t="s">
        <v>88</v>
      </c>
    </row>
    <row r="315" spans="1:63" x14ac:dyDescent="0.35">
      <c r="A315" s="4">
        <v>482</v>
      </c>
      <c r="B315" s="4">
        <v>46</v>
      </c>
      <c r="C315" t="s">
        <v>120</v>
      </c>
      <c r="D315" t="s">
        <v>64</v>
      </c>
      <c r="E315" t="s">
        <v>104</v>
      </c>
      <c r="F315" t="s">
        <v>66</v>
      </c>
      <c r="G315" t="s">
        <v>67</v>
      </c>
      <c r="H315" s="2">
        <v>300</v>
      </c>
      <c r="I315" t="s">
        <v>68</v>
      </c>
      <c r="J315" t="s">
        <v>70</v>
      </c>
      <c r="K315" t="s">
        <v>69</v>
      </c>
      <c r="L315" t="s">
        <v>69</v>
      </c>
      <c r="M315" s="4">
        <v>3</v>
      </c>
      <c r="N315" t="s">
        <v>91</v>
      </c>
      <c r="O315" s="4">
        <v>2</v>
      </c>
      <c r="P315" t="s">
        <v>71</v>
      </c>
      <c r="Q315" s="4">
        <v>2</v>
      </c>
      <c r="R315" t="s">
        <v>71</v>
      </c>
      <c r="S315" s="4">
        <v>1</v>
      </c>
      <c r="T315" t="s">
        <v>71</v>
      </c>
      <c r="U315" t="s">
        <v>73</v>
      </c>
      <c r="V315" t="s">
        <v>93</v>
      </c>
      <c r="W315" t="s">
        <v>93</v>
      </c>
      <c r="X315" t="s">
        <v>94</v>
      </c>
      <c r="Y315" t="s">
        <v>69</v>
      </c>
      <c r="Z315" s="4">
        <v>4</v>
      </c>
      <c r="AA315" t="s">
        <v>77</v>
      </c>
      <c r="AB315" s="4">
        <v>100</v>
      </c>
      <c r="AC315" s="4">
        <v>66</v>
      </c>
      <c r="AD315" s="4">
        <v>75</v>
      </c>
      <c r="AE315" s="4">
        <v>175</v>
      </c>
      <c r="AF315" s="4">
        <v>83</v>
      </c>
      <c r="AG315" s="4">
        <v>102</v>
      </c>
      <c r="AH315" s="4">
        <v>97</v>
      </c>
      <c r="AI315" s="4">
        <v>85</v>
      </c>
      <c r="AJ315" s="4">
        <v>51</v>
      </c>
      <c r="AK315" t="s">
        <v>78</v>
      </c>
      <c r="AL315" t="s">
        <v>95</v>
      </c>
      <c r="AM315" t="s">
        <v>80</v>
      </c>
      <c r="AN315" t="s">
        <v>96</v>
      </c>
      <c r="AO315" t="s">
        <v>97</v>
      </c>
      <c r="AP315" t="s">
        <v>85</v>
      </c>
      <c r="AQ315" t="s">
        <v>85</v>
      </c>
      <c r="AR315" t="s">
        <v>85</v>
      </c>
      <c r="AS315" t="s">
        <v>84</v>
      </c>
      <c r="AT315" t="s">
        <v>85</v>
      </c>
      <c r="AU315" t="s">
        <v>83</v>
      </c>
      <c r="AV315" t="s">
        <v>85</v>
      </c>
      <c r="AW315" s="4">
        <v>0</v>
      </c>
      <c r="AX315" s="4">
        <v>0</v>
      </c>
      <c r="AY315" s="4">
        <v>0</v>
      </c>
      <c r="AZ315" s="3">
        <v>1.75</v>
      </c>
      <c r="BA315" s="3">
        <v>3.0625</v>
      </c>
      <c r="BB315" s="3">
        <v>24.489795918367346</v>
      </c>
      <c r="BC315" t="s">
        <v>85</v>
      </c>
      <c r="BD315" t="s">
        <v>86</v>
      </c>
      <c r="BE315" s="4">
        <v>0</v>
      </c>
      <c r="BF315" t="s">
        <v>87</v>
      </c>
      <c r="BG315" s="4">
        <v>0</v>
      </c>
      <c r="BH315" s="1" t="e">
        <v>#NULL!</v>
      </c>
      <c r="BI315" t="s">
        <v>85</v>
      </c>
      <c r="BJ315" s="4">
        <v>0</v>
      </c>
      <c r="BK315" t="s">
        <v>88</v>
      </c>
    </row>
    <row r="316" spans="1:63" x14ac:dyDescent="0.35">
      <c r="A316" s="4">
        <v>11</v>
      </c>
      <c r="B316" s="4">
        <v>47</v>
      </c>
      <c r="C316" t="s">
        <v>120</v>
      </c>
      <c r="D316" t="s">
        <v>64</v>
      </c>
      <c r="E316" t="s">
        <v>104</v>
      </c>
      <c r="F316" t="s">
        <v>101</v>
      </c>
      <c r="G316" t="s">
        <v>67</v>
      </c>
      <c r="H316" s="2">
        <v>700</v>
      </c>
      <c r="I316" t="s">
        <v>105</v>
      </c>
      <c r="J316" t="s">
        <v>69</v>
      </c>
      <c r="K316" t="s">
        <v>69</v>
      </c>
      <c r="L316" t="s">
        <v>69</v>
      </c>
      <c r="M316" s="4">
        <v>1</v>
      </c>
      <c r="N316" t="s">
        <v>71</v>
      </c>
      <c r="O316" s="4">
        <v>2</v>
      </c>
      <c r="P316" t="s">
        <v>71</v>
      </c>
      <c r="Q316" s="4">
        <v>2</v>
      </c>
      <c r="R316" t="s">
        <v>71</v>
      </c>
      <c r="S316" s="4">
        <v>2</v>
      </c>
      <c r="T316" t="s">
        <v>71</v>
      </c>
      <c r="U316" t="s">
        <v>106</v>
      </c>
      <c r="V316" t="s">
        <v>74</v>
      </c>
      <c r="W316" t="s">
        <v>74</v>
      </c>
      <c r="X316" t="s">
        <v>76</v>
      </c>
      <c r="Y316" t="s">
        <v>70</v>
      </c>
      <c r="Z316" s="4">
        <v>4</v>
      </c>
      <c r="AA316" t="s">
        <v>77</v>
      </c>
      <c r="AB316" s="4">
        <v>151</v>
      </c>
      <c r="AC316" s="4">
        <v>83</v>
      </c>
      <c r="AD316" s="4">
        <v>82</v>
      </c>
      <c r="AE316" s="4">
        <v>178</v>
      </c>
      <c r="AF316" s="4">
        <v>99</v>
      </c>
      <c r="AG316" s="4">
        <v>112</v>
      </c>
      <c r="AH316" s="4">
        <v>102</v>
      </c>
      <c r="AI316" s="4">
        <v>128</v>
      </c>
      <c r="AJ316" s="4">
        <v>50</v>
      </c>
      <c r="AK316" t="s">
        <v>78</v>
      </c>
      <c r="AL316" t="s">
        <v>79</v>
      </c>
      <c r="AM316" t="s">
        <v>80</v>
      </c>
      <c r="AN316" t="s">
        <v>81</v>
      </c>
      <c r="AO316" t="s">
        <v>82</v>
      </c>
      <c r="AP316" t="s">
        <v>85</v>
      </c>
      <c r="AQ316" t="s">
        <v>85</v>
      </c>
      <c r="AR316" t="s">
        <v>85</v>
      </c>
      <c r="AS316" t="s">
        <v>102</v>
      </c>
      <c r="AT316" t="s">
        <v>83</v>
      </c>
      <c r="AU316" t="s">
        <v>83</v>
      </c>
      <c r="AV316" t="s">
        <v>83</v>
      </c>
      <c r="AW316" s="4">
        <v>2</v>
      </c>
      <c r="AX316" s="4">
        <v>1</v>
      </c>
      <c r="AY316" s="4">
        <v>2</v>
      </c>
      <c r="AZ316" s="3">
        <v>1.78</v>
      </c>
      <c r="BA316" s="3">
        <v>3.1684000000000001</v>
      </c>
      <c r="BB316" s="3">
        <v>25.880570635020831</v>
      </c>
      <c r="BC316" t="s">
        <v>98</v>
      </c>
      <c r="BD316" t="s">
        <v>99</v>
      </c>
      <c r="BE316" s="4">
        <v>3</v>
      </c>
      <c r="BF316" t="s">
        <v>111</v>
      </c>
      <c r="BG316" s="4">
        <v>0</v>
      </c>
      <c r="BH316" s="1" t="e">
        <v>#NULL!</v>
      </c>
      <c r="BI316" t="s">
        <v>85</v>
      </c>
      <c r="BJ316" s="4">
        <v>2</v>
      </c>
      <c r="BK316" t="s">
        <v>88</v>
      </c>
    </row>
    <row r="317" spans="1:63" x14ac:dyDescent="0.35">
      <c r="A317" s="4">
        <v>64</v>
      </c>
      <c r="B317" s="4">
        <v>47</v>
      </c>
      <c r="C317" t="s">
        <v>120</v>
      </c>
      <c r="D317" t="s">
        <v>64</v>
      </c>
      <c r="E317" t="s">
        <v>104</v>
      </c>
      <c r="F317" t="s">
        <v>66</v>
      </c>
      <c r="G317" t="s">
        <v>67</v>
      </c>
      <c r="H317" s="2">
        <v>300</v>
      </c>
      <c r="I317" t="s">
        <v>68</v>
      </c>
      <c r="J317" t="s">
        <v>70</v>
      </c>
      <c r="K317" t="s">
        <v>69</v>
      </c>
      <c r="L317" t="s">
        <v>69</v>
      </c>
      <c r="M317" s="4">
        <v>3</v>
      </c>
      <c r="N317" t="s">
        <v>91</v>
      </c>
      <c r="O317" s="4">
        <v>2</v>
      </c>
      <c r="P317" t="s">
        <v>71</v>
      </c>
      <c r="Q317" s="4">
        <v>2</v>
      </c>
      <c r="R317" t="s">
        <v>71</v>
      </c>
      <c r="S317" s="4">
        <v>1</v>
      </c>
      <c r="T317" t="s">
        <v>71</v>
      </c>
      <c r="U317" t="s">
        <v>73</v>
      </c>
      <c r="V317" t="s">
        <v>93</v>
      </c>
      <c r="W317" t="s">
        <v>93</v>
      </c>
      <c r="X317" t="s">
        <v>94</v>
      </c>
      <c r="Y317" t="s">
        <v>69</v>
      </c>
      <c r="Z317" s="4">
        <v>4</v>
      </c>
      <c r="AA317" t="s">
        <v>77</v>
      </c>
      <c r="AB317" s="4">
        <v>100</v>
      </c>
      <c r="AC317" s="4">
        <v>66</v>
      </c>
      <c r="AD317" s="4">
        <v>75</v>
      </c>
      <c r="AE317" s="4">
        <v>175</v>
      </c>
      <c r="AF317" s="4">
        <v>83</v>
      </c>
      <c r="AG317" s="4">
        <v>102</v>
      </c>
      <c r="AH317" s="4">
        <v>97</v>
      </c>
      <c r="AI317" s="4">
        <v>85</v>
      </c>
      <c r="AJ317" s="4">
        <v>51</v>
      </c>
      <c r="AK317" t="s">
        <v>78</v>
      </c>
      <c r="AL317" t="s">
        <v>95</v>
      </c>
      <c r="AM317" t="s">
        <v>80</v>
      </c>
      <c r="AN317" t="s">
        <v>96</v>
      </c>
      <c r="AO317" t="s">
        <v>97</v>
      </c>
      <c r="AP317" t="s">
        <v>85</v>
      </c>
      <c r="AQ317" t="s">
        <v>85</v>
      </c>
      <c r="AR317" t="s">
        <v>85</v>
      </c>
      <c r="AS317" t="s">
        <v>84</v>
      </c>
      <c r="AT317" t="s">
        <v>85</v>
      </c>
      <c r="AU317" t="s">
        <v>83</v>
      </c>
      <c r="AV317" t="s">
        <v>85</v>
      </c>
      <c r="AW317" s="4">
        <v>0</v>
      </c>
      <c r="AX317" s="4">
        <v>0</v>
      </c>
      <c r="AY317" s="4">
        <v>0</v>
      </c>
      <c r="AZ317" s="3">
        <v>1.75</v>
      </c>
      <c r="BA317" s="3">
        <v>3.0625</v>
      </c>
      <c r="BB317" s="3">
        <v>24.489795918367346</v>
      </c>
      <c r="BC317" t="s">
        <v>85</v>
      </c>
      <c r="BD317" t="s">
        <v>86</v>
      </c>
      <c r="BE317" s="4">
        <v>0</v>
      </c>
      <c r="BF317" t="s">
        <v>87</v>
      </c>
      <c r="BG317" s="4">
        <v>0</v>
      </c>
      <c r="BH317" s="1" t="e">
        <v>#NULL!</v>
      </c>
      <c r="BI317" t="s">
        <v>85</v>
      </c>
      <c r="BJ317" s="4">
        <v>0</v>
      </c>
      <c r="BK317" t="s">
        <v>88</v>
      </c>
    </row>
    <row r="318" spans="1:63" x14ac:dyDescent="0.35">
      <c r="A318" s="4">
        <v>128</v>
      </c>
      <c r="B318" s="4">
        <v>47</v>
      </c>
      <c r="C318" t="s">
        <v>120</v>
      </c>
      <c r="D318" t="s">
        <v>64</v>
      </c>
      <c r="E318" t="s">
        <v>104</v>
      </c>
      <c r="F318" t="s">
        <v>90</v>
      </c>
      <c r="G318" t="s">
        <v>67</v>
      </c>
      <c r="H318" s="2">
        <v>500</v>
      </c>
      <c r="I318" t="s">
        <v>68</v>
      </c>
      <c r="J318" t="s">
        <v>69</v>
      </c>
      <c r="K318" t="s">
        <v>69</v>
      </c>
      <c r="L318" t="s">
        <v>69</v>
      </c>
      <c r="M318" s="4">
        <v>3</v>
      </c>
      <c r="N318" t="s">
        <v>91</v>
      </c>
      <c r="O318" s="4">
        <v>4</v>
      </c>
      <c r="P318" t="s">
        <v>91</v>
      </c>
      <c r="Q318" s="4">
        <v>3</v>
      </c>
      <c r="R318" t="s">
        <v>91</v>
      </c>
      <c r="S318" s="4">
        <v>3</v>
      </c>
      <c r="T318" t="s">
        <v>91</v>
      </c>
      <c r="U318" t="s">
        <v>73</v>
      </c>
      <c r="V318" t="s">
        <v>93</v>
      </c>
      <c r="W318" t="s">
        <v>74</v>
      </c>
      <c r="X318" t="s">
        <v>76</v>
      </c>
      <c r="Y318" t="s">
        <v>69</v>
      </c>
      <c r="Z318" s="4">
        <v>1</v>
      </c>
      <c r="AA318" t="s">
        <v>77</v>
      </c>
      <c r="AB318" s="4">
        <v>99</v>
      </c>
      <c r="AC318" s="4">
        <v>72</v>
      </c>
      <c r="AD318" s="4">
        <v>64</v>
      </c>
      <c r="AE318" s="4">
        <v>170</v>
      </c>
      <c r="AF318" s="4">
        <v>79</v>
      </c>
      <c r="AG318" s="4">
        <v>90</v>
      </c>
      <c r="AH318" s="4">
        <v>228</v>
      </c>
      <c r="AI318" s="4">
        <v>121</v>
      </c>
      <c r="AJ318" s="4">
        <v>28</v>
      </c>
      <c r="AK318" t="s">
        <v>78</v>
      </c>
      <c r="AL318" t="s">
        <v>95</v>
      </c>
      <c r="AM318" t="s">
        <v>80</v>
      </c>
      <c r="AN318" t="s">
        <v>96</v>
      </c>
      <c r="AO318" t="s">
        <v>97</v>
      </c>
      <c r="AP318" t="s">
        <v>83</v>
      </c>
      <c r="AQ318" t="s">
        <v>83</v>
      </c>
      <c r="AR318" t="s">
        <v>83</v>
      </c>
      <c r="AS318" t="s">
        <v>102</v>
      </c>
      <c r="AT318" t="s">
        <v>85</v>
      </c>
      <c r="AU318" t="s">
        <v>85</v>
      </c>
      <c r="AV318" t="s">
        <v>85</v>
      </c>
      <c r="AW318" s="4">
        <v>2</v>
      </c>
      <c r="AX318" s="4">
        <v>1</v>
      </c>
      <c r="AY318" s="4">
        <v>1</v>
      </c>
      <c r="AZ318" s="3">
        <v>1.7</v>
      </c>
      <c r="BA318" s="3">
        <v>2.8899999999999997</v>
      </c>
      <c r="BB318" s="3">
        <v>22.145328719723185</v>
      </c>
      <c r="BC318" t="s">
        <v>85</v>
      </c>
      <c r="BD318" t="s">
        <v>86</v>
      </c>
      <c r="BE318" s="4">
        <v>2</v>
      </c>
      <c r="BF318" t="s">
        <v>87</v>
      </c>
      <c r="BG318" s="4">
        <v>0</v>
      </c>
      <c r="BH318" s="1" t="e">
        <v>#NULL!</v>
      </c>
      <c r="BI318" t="s">
        <v>85</v>
      </c>
      <c r="BJ318" s="4">
        <v>2</v>
      </c>
      <c r="BK318" t="s">
        <v>88</v>
      </c>
    </row>
    <row r="319" spans="1:63" x14ac:dyDescent="0.35">
      <c r="A319" s="4">
        <v>320</v>
      </c>
      <c r="B319" s="4">
        <v>47</v>
      </c>
      <c r="C319" t="s">
        <v>120</v>
      </c>
      <c r="D319" t="s">
        <v>64</v>
      </c>
      <c r="E319" t="s">
        <v>104</v>
      </c>
      <c r="F319" t="s">
        <v>90</v>
      </c>
      <c r="G319" t="s">
        <v>67</v>
      </c>
      <c r="H319" s="2">
        <v>800</v>
      </c>
      <c r="I319" t="s">
        <v>105</v>
      </c>
      <c r="J319" t="s">
        <v>69</v>
      </c>
      <c r="K319" t="s">
        <v>69</v>
      </c>
      <c r="L319" t="s">
        <v>69</v>
      </c>
      <c r="M319" s="4">
        <v>3</v>
      </c>
      <c r="N319" t="s">
        <v>91</v>
      </c>
      <c r="O319" s="4">
        <v>3</v>
      </c>
      <c r="P319" t="s">
        <v>91</v>
      </c>
      <c r="Q319" s="4">
        <v>3</v>
      </c>
      <c r="R319" t="s">
        <v>91</v>
      </c>
      <c r="S319" s="4">
        <v>3</v>
      </c>
      <c r="T319" t="s">
        <v>91</v>
      </c>
      <c r="U319" t="s">
        <v>92</v>
      </c>
      <c r="V319" t="s">
        <v>93</v>
      </c>
      <c r="W319" t="s">
        <v>93</v>
      </c>
      <c r="X319" t="s">
        <v>94</v>
      </c>
      <c r="Y319" t="s">
        <v>69</v>
      </c>
      <c r="Z319" s="4">
        <v>3</v>
      </c>
      <c r="AA319" t="s">
        <v>77</v>
      </c>
      <c r="AB319" s="4">
        <v>100</v>
      </c>
      <c r="AC319" s="4">
        <v>72</v>
      </c>
      <c r="AD319" s="4">
        <v>80</v>
      </c>
      <c r="AE319" s="4">
        <v>171</v>
      </c>
      <c r="AF319" s="4">
        <v>92</v>
      </c>
      <c r="AG319" s="4">
        <v>103</v>
      </c>
      <c r="AH319" s="4">
        <v>92</v>
      </c>
      <c r="AI319" s="4">
        <v>140</v>
      </c>
      <c r="AJ319" s="4">
        <v>38</v>
      </c>
      <c r="AK319" t="s">
        <v>78</v>
      </c>
      <c r="AL319" t="s">
        <v>95</v>
      </c>
      <c r="AM319" t="s">
        <v>80</v>
      </c>
      <c r="AN319" t="s">
        <v>96</v>
      </c>
      <c r="AO319" t="s">
        <v>97</v>
      </c>
      <c r="AP319" t="s">
        <v>83</v>
      </c>
      <c r="AQ319" t="s">
        <v>83</v>
      </c>
      <c r="AR319" t="s">
        <v>83</v>
      </c>
      <c r="AS319" t="s">
        <v>84</v>
      </c>
      <c r="AT319" t="s">
        <v>85</v>
      </c>
      <c r="AU319" t="s">
        <v>83</v>
      </c>
      <c r="AV319" t="s">
        <v>85</v>
      </c>
      <c r="AW319" s="4">
        <v>1</v>
      </c>
      <c r="AX319" s="4">
        <v>0</v>
      </c>
      <c r="AY319" s="4">
        <v>0</v>
      </c>
      <c r="AZ319" s="3">
        <v>1.71</v>
      </c>
      <c r="BA319" s="3">
        <v>2.9240999999999997</v>
      </c>
      <c r="BB319" s="3">
        <v>27.358845456721728</v>
      </c>
      <c r="BC319" t="s">
        <v>98</v>
      </c>
      <c r="BD319" t="s">
        <v>99</v>
      </c>
      <c r="BE319" s="4">
        <v>1</v>
      </c>
      <c r="BF319" t="s">
        <v>87</v>
      </c>
      <c r="BG319" s="4">
        <v>0</v>
      </c>
      <c r="BH319" s="1" t="e">
        <v>#NULL!</v>
      </c>
      <c r="BI319" t="s">
        <v>85</v>
      </c>
      <c r="BJ319" s="4">
        <v>1</v>
      </c>
      <c r="BK319" t="s">
        <v>88</v>
      </c>
    </row>
    <row r="320" spans="1:63" x14ac:dyDescent="0.35">
      <c r="A320" s="4">
        <v>422</v>
      </c>
      <c r="B320" s="4">
        <v>47</v>
      </c>
      <c r="C320" t="s">
        <v>120</v>
      </c>
      <c r="D320" t="s">
        <v>64</v>
      </c>
      <c r="E320" t="s">
        <v>104</v>
      </c>
      <c r="F320" t="s">
        <v>66</v>
      </c>
      <c r="G320" t="s">
        <v>67</v>
      </c>
      <c r="H320" s="2">
        <v>400</v>
      </c>
      <c r="I320" t="s">
        <v>68</v>
      </c>
      <c r="J320" t="s">
        <v>69</v>
      </c>
      <c r="K320" t="s">
        <v>70</v>
      </c>
      <c r="L320" t="s">
        <v>69</v>
      </c>
      <c r="M320" s="4">
        <v>3</v>
      </c>
      <c r="N320" t="s">
        <v>91</v>
      </c>
      <c r="O320" s="4">
        <v>2</v>
      </c>
      <c r="P320" t="s">
        <v>71</v>
      </c>
      <c r="Q320" s="4">
        <v>3</v>
      </c>
      <c r="R320" t="s">
        <v>91</v>
      </c>
      <c r="S320" s="4">
        <v>1</v>
      </c>
      <c r="T320" t="s">
        <v>71</v>
      </c>
      <c r="U320" t="s">
        <v>73</v>
      </c>
      <c r="V320" t="s">
        <v>93</v>
      </c>
      <c r="W320" t="s">
        <v>93</v>
      </c>
      <c r="X320" t="s">
        <v>94</v>
      </c>
      <c r="Y320" t="s">
        <v>69</v>
      </c>
      <c r="Z320" s="4">
        <v>3</v>
      </c>
      <c r="AA320" t="s">
        <v>77</v>
      </c>
      <c r="AB320" s="4">
        <v>110</v>
      </c>
      <c r="AC320" s="4">
        <v>76</v>
      </c>
      <c r="AD320" s="4">
        <v>78</v>
      </c>
      <c r="AE320" s="4">
        <v>168</v>
      </c>
      <c r="AF320" s="4">
        <v>86</v>
      </c>
      <c r="AG320" s="4">
        <v>100</v>
      </c>
      <c r="AH320" s="4">
        <v>88</v>
      </c>
      <c r="AI320" s="4">
        <v>140</v>
      </c>
      <c r="AJ320" s="4">
        <v>60</v>
      </c>
      <c r="AK320" t="s">
        <v>78</v>
      </c>
      <c r="AL320" t="s">
        <v>95</v>
      </c>
      <c r="AM320" t="s">
        <v>80</v>
      </c>
      <c r="AN320" t="s">
        <v>96</v>
      </c>
      <c r="AO320" t="s">
        <v>97</v>
      </c>
      <c r="AP320" t="s">
        <v>85</v>
      </c>
      <c r="AQ320" t="s">
        <v>85</v>
      </c>
      <c r="AR320" t="s">
        <v>85</v>
      </c>
      <c r="AS320" t="s">
        <v>84</v>
      </c>
      <c r="AT320" t="s">
        <v>85</v>
      </c>
      <c r="AU320" t="s">
        <v>83</v>
      </c>
      <c r="AV320" t="s">
        <v>85</v>
      </c>
      <c r="AW320" s="4">
        <v>0</v>
      </c>
      <c r="AX320" s="4">
        <v>0</v>
      </c>
      <c r="AY320" s="4">
        <v>0</v>
      </c>
      <c r="AZ320" s="3">
        <v>1.68</v>
      </c>
      <c r="BA320" s="3">
        <v>2.8223999999999996</v>
      </c>
      <c r="BB320" s="3">
        <v>27.636054421768712</v>
      </c>
      <c r="BC320" t="s">
        <v>98</v>
      </c>
      <c r="BD320" t="s">
        <v>99</v>
      </c>
      <c r="BE320" s="4">
        <v>0</v>
      </c>
      <c r="BF320" t="s">
        <v>87</v>
      </c>
      <c r="BG320" s="4">
        <v>0</v>
      </c>
      <c r="BH320" s="1" t="e">
        <v>#NULL!</v>
      </c>
      <c r="BI320" t="s">
        <v>85</v>
      </c>
      <c r="BJ320" s="4">
        <v>0</v>
      </c>
      <c r="BK320" t="s">
        <v>88</v>
      </c>
    </row>
    <row r="321" spans="1:63" x14ac:dyDescent="0.35">
      <c r="A321" s="4">
        <v>490</v>
      </c>
      <c r="B321" s="4">
        <v>47</v>
      </c>
      <c r="C321" t="s">
        <v>120</v>
      </c>
      <c r="D321" t="s">
        <v>64</v>
      </c>
      <c r="E321" t="s">
        <v>104</v>
      </c>
      <c r="F321" t="s">
        <v>101</v>
      </c>
      <c r="G321" t="s">
        <v>67</v>
      </c>
      <c r="H321" s="2">
        <v>300</v>
      </c>
      <c r="I321" t="s">
        <v>68</v>
      </c>
      <c r="J321" t="s">
        <v>69</v>
      </c>
      <c r="K321" t="s">
        <v>70</v>
      </c>
      <c r="L321" t="s">
        <v>69</v>
      </c>
      <c r="M321" s="4">
        <v>2</v>
      </c>
      <c r="N321" t="s">
        <v>71</v>
      </c>
      <c r="O321" s="4">
        <v>2</v>
      </c>
      <c r="P321" t="s">
        <v>71</v>
      </c>
      <c r="Q321" s="4">
        <v>1</v>
      </c>
      <c r="R321" t="s">
        <v>71</v>
      </c>
      <c r="S321" s="4">
        <v>1</v>
      </c>
      <c r="T321" t="s">
        <v>71</v>
      </c>
      <c r="U321" t="s">
        <v>92</v>
      </c>
      <c r="V321" t="s">
        <v>93</v>
      </c>
      <c r="W321" t="s">
        <v>93</v>
      </c>
      <c r="X321" t="s">
        <v>94</v>
      </c>
      <c r="Y321" t="s">
        <v>70</v>
      </c>
      <c r="Z321" s="4">
        <v>4</v>
      </c>
      <c r="AA321" t="s">
        <v>77</v>
      </c>
      <c r="AB321" s="4">
        <v>120</v>
      </c>
      <c r="AC321" s="4">
        <v>86</v>
      </c>
      <c r="AD321" s="4">
        <v>78</v>
      </c>
      <c r="AE321" s="4">
        <v>174</v>
      </c>
      <c r="AF321" s="4">
        <v>92</v>
      </c>
      <c r="AG321" s="4">
        <v>107</v>
      </c>
      <c r="AH321" s="4">
        <v>80</v>
      </c>
      <c r="AI321" s="4">
        <v>118</v>
      </c>
      <c r="AJ321" s="4">
        <v>31</v>
      </c>
      <c r="AK321" t="s">
        <v>78</v>
      </c>
      <c r="AL321" t="s">
        <v>95</v>
      </c>
      <c r="AM321" t="s">
        <v>108</v>
      </c>
      <c r="AN321" t="s">
        <v>81</v>
      </c>
      <c r="AO321" t="s">
        <v>82</v>
      </c>
      <c r="AP321" t="s">
        <v>83</v>
      </c>
      <c r="AQ321" t="s">
        <v>83</v>
      </c>
      <c r="AR321" t="s">
        <v>83</v>
      </c>
      <c r="AS321" t="s">
        <v>84</v>
      </c>
      <c r="AT321" t="s">
        <v>85</v>
      </c>
      <c r="AU321" t="s">
        <v>83</v>
      </c>
      <c r="AV321" t="s">
        <v>85</v>
      </c>
      <c r="AW321" s="4">
        <v>2</v>
      </c>
      <c r="AX321" s="4">
        <v>1</v>
      </c>
      <c r="AY321" s="4">
        <v>1</v>
      </c>
      <c r="AZ321" s="3">
        <v>1.74</v>
      </c>
      <c r="BA321" s="3">
        <v>3.0276000000000001</v>
      </c>
      <c r="BB321" s="3">
        <v>25.762980578676178</v>
      </c>
      <c r="BC321" t="s">
        <v>98</v>
      </c>
      <c r="BD321" t="s">
        <v>99</v>
      </c>
      <c r="BE321" s="4">
        <v>2</v>
      </c>
      <c r="BF321" t="s">
        <v>87</v>
      </c>
      <c r="BG321" s="4">
        <v>0</v>
      </c>
      <c r="BH321" s="1" t="e">
        <v>#NULL!</v>
      </c>
      <c r="BI321" t="s">
        <v>85</v>
      </c>
      <c r="BJ321" s="4">
        <v>2</v>
      </c>
      <c r="BK321" t="s">
        <v>88</v>
      </c>
    </row>
    <row r="322" spans="1:63" x14ac:dyDescent="0.35">
      <c r="A322" s="4">
        <v>425</v>
      </c>
      <c r="B322" s="4">
        <v>47</v>
      </c>
      <c r="C322" t="s">
        <v>120</v>
      </c>
      <c r="D322" t="s">
        <v>89</v>
      </c>
      <c r="E322" t="s">
        <v>113</v>
      </c>
      <c r="F322" t="s">
        <v>66</v>
      </c>
      <c r="G322" t="s">
        <v>67</v>
      </c>
      <c r="H322" s="2">
        <v>800</v>
      </c>
      <c r="I322" t="s">
        <v>105</v>
      </c>
      <c r="J322" t="s">
        <v>69</v>
      </c>
      <c r="K322" t="s">
        <v>69</v>
      </c>
      <c r="L322" t="s">
        <v>69</v>
      </c>
      <c r="M322" s="4">
        <v>1</v>
      </c>
      <c r="N322" t="s">
        <v>71</v>
      </c>
      <c r="O322" s="4">
        <v>4</v>
      </c>
      <c r="P322" t="s">
        <v>91</v>
      </c>
      <c r="Q322" s="4">
        <v>4</v>
      </c>
      <c r="R322" t="s">
        <v>91</v>
      </c>
      <c r="S322" s="4">
        <v>4</v>
      </c>
      <c r="T322" t="s">
        <v>91</v>
      </c>
      <c r="U322" t="s">
        <v>73</v>
      </c>
      <c r="V322" t="s">
        <v>93</v>
      </c>
      <c r="W322" t="s">
        <v>93</v>
      </c>
      <c r="X322" t="s">
        <v>94</v>
      </c>
      <c r="Y322" t="s">
        <v>69</v>
      </c>
      <c r="Z322" s="4">
        <v>8</v>
      </c>
      <c r="AA322" t="s">
        <v>117</v>
      </c>
      <c r="AB322" s="4">
        <v>146</v>
      </c>
      <c r="AC322" s="4">
        <v>87</v>
      </c>
      <c r="AD322" s="4">
        <v>44</v>
      </c>
      <c r="AE322" s="4">
        <v>161</v>
      </c>
      <c r="AF322" s="4">
        <v>67</v>
      </c>
      <c r="AG322" s="4">
        <v>89</v>
      </c>
      <c r="AH322" s="4">
        <v>298</v>
      </c>
      <c r="AI322" s="4">
        <v>194</v>
      </c>
      <c r="AJ322" s="4">
        <v>39</v>
      </c>
      <c r="AK322" t="s">
        <v>107</v>
      </c>
      <c r="AL322" t="s">
        <v>79</v>
      </c>
      <c r="AM322" t="s">
        <v>108</v>
      </c>
      <c r="AN322" t="s">
        <v>109</v>
      </c>
      <c r="AO322" t="s">
        <v>82</v>
      </c>
      <c r="AP322" t="s">
        <v>83</v>
      </c>
      <c r="AQ322" t="s">
        <v>83</v>
      </c>
      <c r="AR322" t="s">
        <v>83</v>
      </c>
      <c r="AS322" t="s">
        <v>102</v>
      </c>
      <c r="AT322" t="s">
        <v>85</v>
      </c>
      <c r="AU322" t="s">
        <v>85</v>
      </c>
      <c r="AV322" t="s">
        <v>85</v>
      </c>
      <c r="AW322" s="4">
        <v>4</v>
      </c>
      <c r="AX322" s="4">
        <v>1</v>
      </c>
      <c r="AY322" s="4">
        <v>1</v>
      </c>
      <c r="AZ322" s="3">
        <v>1.61</v>
      </c>
      <c r="BA322" s="3">
        <v>2.5921000000000003</v>
      </c>
      <c r="BB322" s="3">
        <v>16.974653755642141</v>
      </c>
      <c r="BC322" t="s">
        <v>100</v>
      </c>
      <c r="BD322" t="s">
        <v>86</v>
      </c>
      <c r="BE322" s="4">
        <v>4</v>
      </c>
      <c r="BF322" t="s">
        <v>87</v>
      </c>
      <c r="BG322" s="1" t="e">
        <v>#NULL!</v>
      </c>
      <c r="BH322" s="4">
        <v>0</v>
      </c>
      <c r="BI322" t="s">
        <v>85</v>
      </c>
      <c r="BJ322" s="4">
        <v>4</v>
      </c>
      <c r="BK322" t="s">
        <v>112</v>
      </c>
    </row>
    <row r="323" spans="1:63" x14ac:dyDescent="0.35">
      <c r="A323" s="4">
        <v>275</v>
      </c>
      <c r="B323" s="4">
        <v>48</v>
      </c>
      <c r="C323" t="s">
        <v>120</v>
      </c>
      <c r="D323" t="s">
        <v>64</v>
      </c>
      <c r="E323" t="s">
        <v>65</v>
      </c>
      <c r="F323" t="s">
        <v>101</v>
      </c>
      <c r="G323" t="s">
        <v>67</v>
      </c>
      <c r="H323" s="2">
        <v>700</v>
      </c>
      <c r="I323" t="s">
        <v>105</v>
      </c>
      <c r="J323" t="s">
        <v>69</v>
      </c>
      <c r="K323" t="s">
        <v>70</v>
      </c>
      <c r="L323" t="s">
        <v>69</v>
      </c>
      <c r="M323" s="4">
        <v>1</v>
      </c>
      <c r="N323" t="s">
        <v>71</v>
      </c>
      <c r="O323" s="4">
        <v>2</v>
      </c>
      <c r="P323" t="s">
        <v>71</v>
      </c>
      <c r="Q323" s="4">
        <v>2</v>
      </c>
      <c r="R323" t="s">
        <v>71</v>
      </c>
      <c r="S323" s="4">
        <v>3</v>
      </c>
      <c r="T323" t="s">
        <v>91</v>
      </c>
      <c r="U323" t="s">
        <v>106</v>
      </c>
      <c r="V323" t="s">
        <v>74</v>
      </c>
      <c r="W323" t="s">
        <v>74</v>
      </c>
      <c r="X323" t="s">
        <v>76</v>
      </c>
      <c r="Y323" t="s">
        <v>70</v>
      </c>
      <c r="Z323" s="4">
        <v>4</v>
      </c>
      <c r="AA323" t="s">
        <v>77</v>
      </c>
      <c r="AB323" s="4">
        <v>151</v>
      </c>
      <c r="AC323" s="4">
        <v>83</v>
      </c>
      <c r="AD323" s="4">
        <v>82</v>
      </c>
      <c r="AE323" s="4">
        <v>178</v>
      </c>
      <c r="AF323" s="4">
        <v>99</v>
      </c>
      <c r="AG323" s="4">
        <v>112</v>
      </c>
      <c r="AH323" s="4">
        <v>102</v>
      </c>
      <c r="AI323" s="4">
        <v>128</v>
      </c>
      <c r="AJ323" s="4">
        <v>50</v>
      </c>
      <c r="AK323" t="s">
        <v>78</v>
      </c>
      <c r="AL323" t="s">
        <v>79</v>
      </c>
      <c r="AM323" t="s">
        <v>80</v>
      </c>
      <c r="AN323" t="s">
        <v>81</v>
      </c>
      <c r="AO323" t="s">
        <v>82</v>
      </c>
      <c r="AP323" t="s">
        <v>85</v>
      </c>
      <c r="AQ323" t="s">
        <v>85</v>
      </c>
      <c r="AR323" t="s">
        <v>85</v>
      </c>
      <c r="AS323" t="s">
        <v>102</v>
      </c>
      <c r="AT323" t="s">
        <v>83</v>
      </c>
      <c r="AU323" t="s">
        <v>83</v>
      </c>
      <c r="AV323" t="s">
        <v>83</v>
      </c>
      <c r="AW323" s="4">
        <v>2</v>
      </c>
      <c r="AX323" s="4">
        <v>1</v>
      </c>
      <c r="AY323" s="4">
        <v>2</v>
      </c>
      <c r="AZ323" s="3">
        <v>1.78</v>
      </c>
      <c r="BA323" s="3">
        <v>3.1684000000000001</v>
      </c>
      <c r="BB323" s="3">
        <v>25.880570635020831</v>
      </c>
      <c r="BC323" t="s">
        <v>98</v>
      </c>
      <c r="BD323" t="s">
        <v>99</v>
      </c>
      <c r="BE323" s="4">
        <v>3</v>
      </c>
      <c r="BF323" t="s">
        <v>111</v>
      </c>
      <c r="BG323" s="4">
        <v>0</v>
      </c>
      <c r="BH323" s="1" t="e">
        <v>#NULL!</v>
      </c>
      <c r="BI323" t="s">
        <v>85</v>
      </c>
      <c r="BJ323" s="4">
        <v>2</v>
      </c>
      <c r="BK323" t="s">
        <v>88</v>
      </c>
    </row>
    <row r="324" spans="1:63" x14ac:dyDescent="0.35">
      <c r="A324" s="4">
        <v>142</v>
      </c>
      <c r="B324" s="4">
        <v>48</v>
      </c>
      <c r="C324" t="s">
        <v>120</v>
      </c>
      <c r="D324" t="s">
        <v>64</v>
      </c>
      <c r="E324" t="s">
        <v>104</v>
      </c>
      <c r="F324" t="s">
        <v>101</v>
      </c>
      <c r="G324" t="s">
        <v>67</v>
      </c>
      <c r="H324" s="2">
        <v>300</v>
      </c>
      <c r="I324" t="s">
        <v>68</v>
      </c>
      <c r="J324" t="s">
        <v>69</v>
      </c>
      <c r="K324" t="s">
        <v>69</v>
      </c>
      <c r="L324" t="s">
        <v>69</v>
      </c>
      <c r="M324" s="4">
        <v>3</v>
      </c>
      <c r="N324" t="s">
        <v>91</v>
      </c>
      <c r="O324" s="4">
        <v>2</v>
      </c>
      <c r="P324" t="s">
        <v>71</v>
      </c>
      <c r="Q324" s="4">
        <v>1</v>
      </c>
      <c r="R324" t="s">
        <v>71</v>
      </c>
      <c r="S324" s="4">
        <v>1</v>
      </c>
      <c r="T324" t="s">
        <v>71</v>
      </c>
      <c r="U324" t="s">
        <v>92</v>
      </c>
      <c r="V324" t="s">
        <v>93</v>
      </c>
      <c r="W324" t="s">
        <v>93</v>
      </c>
      <c r="X324" t="s">
        <v>94</v>
      </c>
      <c r="Y324" t="s">
        <v>70</v>
      </c>
      <c r="Z324" s="4">
        <v>4</v>
      </c>
      <c r="AA324" t="s">
        <v>77</v>
      </c>
      <c r="AB324" s="4">
        <v>120</v>
      </c>
      <c r="AC324" s="4">
        <v>86</v>
      </c>
      <c r="AD324" s="4">
        <v>78</v>
      </c>
      <c r="AE324" s="4">
        <v>174</v>
      </c>
      <c r="AF324" s="4">
        <v>92</v>
      </c>
      <c r="AG324" s="4">
        <v>107</v>
      </c>
      <c r="AH324" s="4">
        <v>80</v>
      </c>
      <c r="AI324" s="4">
        <v>118</v>
      </c>
      <c r="AJ324" s="4">
        <v>31</v>
      </c>
      <c r="AK324" t="s">
        <v>78</v>
      </c>
      <c r="AL324" t="s">
        <v>95</v>
      </c>
      <c r="AM324" t="s">
        <v>108</v>
      </c>
      <c r="AN324" t="s">
        <v>81</v>
      </c>
      <c r="AO324" t="s">
        <v>82</v>
      </c>
      <c r="AP324" t="s">
        <v>83</v>
      </c>
      <c r="AQ324" t="s">
        <v>83</v>
      </c>
      <c r="AR324" t="s">
        <v>83</v>
      </c>
      <c r="AS324" t="s">
        <v>84</v>
      </c>
      <c r="AT324" t="s">
        <v>85</v>
      </c>
      <c r="AU324" t="s">
        <v>83</v>
      </c>
      <c r="AV324" t="s">
        <v>85</v>
      </c>
      <c r="AW324" s="4">
        <v>2</v>
      </c>
      <c r="AX324" s="4">
        <v>1</v>
      </c>
      <c r="AY324" s="4">
        <v>1</v>
      </c>
      <c r="AZ324" s="3">
        <v>1.74</v>
      </c>
      <c r="BA324" s="3">
        <v>3.0276000000000001</v>
      </c>
      <c r="BB324" s="3">
        <v>25.762980578676178</v>
      </c>
      <c r="BC324" t="s">
        <v>98</v>
      </c>
      <c r="BD324" t="s">
        <v>99</v>
      </c>
      <c r="BE324" s="4">
        <v>2</v>
      </c>
      <c r="BF324" t="s">
        <v>87</v>
      </c>
      <c r="BG324" s="4">
        <v>0</v>
      </c>
      <c r="BH324" s="1" t="e">
        <v>#NULL!</v>
      </c>
      <c r="BI324" t="s">
        <v>85</v>
      </c>
      <c r="BJ324" s="4">
        <v>2</v>
      </c>
      <c r="BK324" t="s">
        <v>88</v>
      </c>
    </row>
    <row r="325" spans="1:63" x14ac:dyDescent="0.35">
      <c r="A325" s="4">
        <v>213</v>
      </c>
      <c r="B325" s="4">
        <v>48</v>
      </c>
      <c r="C325" t="s">
        <v>120</v>
      </c>
      <c r="D325" t="s">
        <v>64</v>
      </c>
      <c r="E325" t="s">
        <v>104</v>
      </c>
      <c r="F325" t="s">
        <v>101</v>
      </c>
      <c r="G325" t="s">
        <v>67</v>
      </c>
      <c r="H325" s="2">
        <v>1200</v>
      </c>
      <c r="I325" t="s">
        <v>116</v>
      </c>
      <c r="J325" t="s">
        <v>70</v>
      </c>
      <c r="K325" t="s">
        <v>69</v>
      </c>
      <c r="L325" t="s">
        <v>69</v>
      </c>
      <c r="M325" s="4">
        <v>3</v>
      </c>
      <c r="N325" t="s">
        <v>91</v>
      </c>
      <c r="O325" s="4">
        <v>4</v>
      </c>
      <c r="P325" t="s">
        <v>91</v>
      </c>
      <c r="Q325" s="4">
        <v>4</v>
      </c>
      <c r="R325" t="s">
        <v>91</v>
      </c>
      <c r="S325" s="4">
        <v>4</v>
      </c>
      <c r="T325" t="s">
        <v>91</v>
      </c>
      <c r="U325" t="s">
        <v>92</v>
      </c>
      <c r="V325" t="s">
        <v>93</v>
      </c>
      <c r="W325" t="s">
        <v>93</v>
      </c>
      <c r="X325" t="s">
        <v>94</v>
      </c>
      <c r="Y325" t="s">
        <v>69</v>
      </c>
      <c r="Z325" s="4">
        <v>4</v>
      </c>
      <c r="AA325" t="s">
        <v>77</v>
      </c>
      <c r="AB325" s="4">
        <v>110</v>
      </c>
      <c r="AC325" s="4">
        <v>75</v>
      </c>
      <c r="AD325" s="4">
        <v>82</v>
      </c>
      <c r="AE325" s="4">
        <v>174</v>
      </c>
      <c r="AF325" s="4">
        <v>90</v>
      </c>
      <c r="AG325" s="4">
        <v>108</v>
      </c>
      <c r="AH325" s="4">
        <v>88</v>
      </c>
      <c r="AI325" s="4">
        <v>120</v>
      </c>
      <c r="AJ325" s="4">
        <v>62</v>
      </c>
      <c r="AK325" t="s">
        <v>78</v>
      </c>
      <c r="AL325" t="s">
        <v>95</v>
      </c>
      <c r="AM325" t="s">
        <v>80</v>
      </c>
      <c r="AN325" t="s">
        <v>96</v>
      </c>
      <c r="AO325" t="s">
        <v>97</v>
      </c>
      <c r="AP325" t="s">
        <v>85</v>
      </c>
      <c r="AQ325" t="s">
        <v>85</v>
      </c>
      <c r="AR325" t="s">
        <v>85</v>
      </c>
      <c r="AS325" t="s">
        <v>84</v>
      </c>
      <c r="AT325" t="s">
        <v>85</v>
      </c>
      <c r="AU325" t="s">
        <v>83</v>
      </c>
      <c r="AV325" t="s">
        <v>85</v>
      </c>
      <c r="AW325" s="4">
        <v>0</v>
      </c>
      <c r="AX325" s="4">
        <v>0</v>
      </c>
      <c r="AY325" s="4">
        <v>0</v>
      </c>
      <c r="AZ325" s="3">
        <v>1.74</v>
      </c>
      <c r="BA325" s="3">
        <v>3.0276000000000001</v>
      </c>
      <c r="BB325" s="3">
        <v>27.08415906989034</v>
      </c>
      <c r="BC325" t="s">
        <v>98</v>
      </c>
      <c r="BD325" t="s">
        <v>99</v>
      </c>
      <c r="BE325" s="4">
        <v>0</v>
      </c>
      <c r="BF325" t="s">
        <v>87</v>
      </c>
      <c r="BG325" s="4">
        <v>0</v>
      </c>
      <c r="BH325" s="1" t="e">
        <v>#NULL!</v>
      </c>
      <c r="BI325" t="s">
        <v>85</v>
      </c>
      <c r="BJ325" s="4">
        <v>0</v>
      </c>
      <c r="BK325" t="s">
        <v>88</v>
      </c>
    </row>
    <row r="326" spans="1:63" x14ac:dyDescent="0.35">
      <c r="A326" s="4">
        <v>235</v>
      </c>
      <c r="B326" s="4">
        <v>48</v>
      </c>
      <c r="C326" t="s">
        <v>120</v>
      </c>
      <c r="D326" t="s">
        <v>64</v>
      </c>
      <c r="E326" t="s">
        <v>104</v>
      </c>
      <c r="F326" t="s">
        <v>66</v>
      </c>
      <c r="G326" t="s">
        <v>67</v>
      </c>
      <c r="H326" s="2">
        <v>400</v>
      </c>
      <c r="I326" t="s">
        <v>68</v>
      </c>
      <c r="J326" t="s">
        <v>69</v>
      </c>
      <c r="K326" t="s">
        <v>70</v>
      </c>
      <c r="L326" t="s">
        <v>69</v>
      </c>
      <c r="M326" s="4">
        <v>3</v>
      </c>
      <c r="N326" t="s">
        <v>91</v>
      </c>
      <c r="O326" s="4">
        <v>2</v>
      </c>
      <c r="P326" t="s">
        <v>71</v>
      </c>
      <c r="Q326" s="4">
        <v>3</v>
      </c>
      <c r="R326" t="s">
        <v>91</v>
      </c>
      <c r="S326" s="4">
        <v>1</v>
      </c>
      <c r="T326" t="s">
        <v>71</v>
      </c>
      <c r="U326" t="s">
        <v>73</v>
      </c>
      <c r="V326" t="s">
        <v>93</v>
      </c>
      <c r="W326" t="s">
        <v>93</v>
      </c>
      <c r="X326" t="s">
        <v>94</v>
      </c>
      <c r="Y326" t="s">
        <v>69</v>
      </c>
      <c r="Z326" s="4">
        <v>3</v>
      </c>
      <c r="AA326" t="s">
        <v>77</v>
      </c>
      <c r="AB326" s="4">
        <v>110</v>
      </c>
      <c r="AC326" s="4">
        <v>76</v>
      </c>
      <c r="AD326" s="4">
        <v>78</v>
      </c>
      <c r="AE326" s="4">
        <v>168</v>
      </c>
      <c r="AF326" s="4">
        <v>86</v>
      </c>
      <c r="AG326" s="4">
        <v>100</v>
      </c>
      <c r="AH326" s="4">
        <v>88</v>
      </c>
      <c r="AI326" s="4">
        <v>140</v>
      </c>
      <c r="AJ326" s="4">
        <v>60</v>
      </c>
      <c r="AK326" t="s">
        <v>78</v>
      </c>
      <c r="AL326" t="s">
        <v>95</v>
      </c>
      <c r="AM326" t="s">
        <v>80</v>
      </c>
      <c r="AN326" t="s">
        <v>96</v>
      </c>
      <c r="AO326" t="s">
        <v>97</v>
      </c>
      <c r="AP326" t="s">
        <v>85</v>
      </c>
      <c r="AQ326" t="s">
        <v>85</v>
      </c>
      <c r="AR326" t="s">
        <v>85</v>
      </c>
      <c r="AS326" t="s">
        <v>84</v>
      </c>
      <c r="AT326" t="s">
        <v>85</v>
      </c>
      <c r="AU326" t="s">
        <v>83</v>
      </c>
      <c r="AV326" t="s">
        <v>85</v>
      </c>
      <c r="AW326" s="4">
        <v>0</v>
      </c>
      <c r="AX326" s="4">
        <v>0</v>
      </c>
      <c r="AY326" s="4">
        <v>0</v>
      </c>
      <c r="AZ326" s="3">
        <v>1.68</v>
      </c>
      <c r="BA326" s="3">
        <v>2.8223999999999996</v>
      </c>
      <c r="BB326" s="3">
        <v>27.636054421768712</v>
      </c>
      <c r="BC326" t="s">
        <v>98</v>
      </c>
      <c r="BD326" t="s">
        <v>99</v>
      </c>
      <c r="BE326" s="4">
        <v>0</v>
      </c>
      <c r="BF326" t="s">
        <v>87</v>
      </c>
      <c r="BG326" s="4">
        <v>0</v>
      </c>
      <c r="BH326" s="1" t="e">
        <v>#NULL!</v>
      </c>
      <c r="BI326" t="s">
        <v>85</v>
      </c>
      <c r="BJ326" s="4">
        <v>0</v>
      </c>
      <c r="BK326" t="s">
        <v>88</v>
      </c>
    </row>
    <row r="327" spans="1:63" x14ac:dyDescent="0.35">
      <c r="A327" s="4">
        <v>241</v>
      </c>
      <c r="B327" s="4">
        <v>48</v>
      </c>
      <c r="C327" t="s">
        <v>120</v>
      </c>
      <c r="D327" t="s">
        <v>89</v>
      </c>
      <c r="E327" t="s">
        <v>104</v>
      </c>
      <c r="F327" t="s">
        <v>90</v>
      </c>
      <c r="G327" t="s">
        <v>67</v>
      </c>
      <c r="H327" s="2">
        <v>400</v>
      </c>
      <c r="I327" t="s">
        <v>68</v>
      </c>
      <c r="J327" t="s">
        <v>69</v>
      </c>
      <c r="K327" t="s">
        <v>69</v>
      </c>
      <c r="L327" t="s">
        <v>69</v>
      </c>
      <c r="M327" s="4">
        <v>4</v>
      </c>
      <c r="N327" t="s">
        <v>91</v>
      </c>
      <c r="O327" s="4">
        <v>3</v>
      </c>
      <c r="P327" t="s">
        <v>91</v>
      </c>
      <c r="Q327" s="4">
        <v>7</v>
      </c>
      <c r="R327" t="s">
        <v>72</v>
      </c>
      <c r="S327" s="4">
        <v>4</v>
      </c>
      <c r="T327" t="s">
        <v>91</v>
      </c>
      <c r="U327" t="s">
        <v>92</v>
      </c>
      <c r="V327" t="s">
        <v>93</v>
      </c>
      <c r="W327" t="s">
        <v>93</v>
      </c>
      <c r="X327" t="s">
        <v>94</v>
      </c>
      <c r="Y327" t="s">
        <v>69</v>
      </c>
      <c r="Z327" s="4">
        <v>3</v>
      </c>
      <c r="AA327" t="s">
        <v>77</v>
      </c>
      <c r="AB327" s="4">
        <v>112</v>
      </c>
      <c r="AC327" s="4">
        <v>76</v>
      </c>
      <c r="AD327" s="4">
        <v>72</v>
      </c>
      <c r="AE327" s="4">
        <v>166</v>
      </c>
      <c r="AF327" s="4">
        <v>79</v>
      </c>
      <c r="AG327" s="4">
        <v>99</v>
      </c>
      <c r="AH327" s="4">
        <v>89</v>
      </c>
      <c r="AI327" s="4">
        <v>124</v>
      </c>
      <c r="AJ327" s="4">
        <v>42</v>
      </c>
      <c r="AK327" t="s">
        <v>78</v>
      </c>
      <c r="AL327" t="s">
        <v>95</v>
      </c>
      <c r="AM327" t="s">
        <v>80</v>
      </c>
      <c r="AN327" t="s">
        <v>96</v>
      </c>
      <c r="AO327" t="s">
        <v>97</v>
      </c>
      <c r="AP327" t="s">
        <v>83</v>
      </c>
      <c r="AQ327" t="s">
        <v>85</v>
      </c>
      <c r="AR327" t="s">
        <v>83</v>
      </c>
      <c r="AS327" t="s">
        <v>84</v>
      </c>
      <c r="AT327" t="s">
        <v>85</v>
      </c>
      <c r="AU327" t="s">
        <v>85</v>
      </c>
      <c r="AV327" t="s">
        <v>85</v>
      </c>
      <c r="AW327" s="4">
        <v>1</v>
      </c>
      <c r="AX327" s="4">
        <v>0</v>
      </c>
      <c r="AY327" s="4">
        <v>0</v>
      </c>
      <c r="AZ327" s="3">
        <v>1.66</v>
      </c>
      <c r="BA327" s="3">
        <v>2.7555999999999998</v>
      </c>
      <c r="BB327" s="3">
        <v>26.1286108288576</v>
      </c>
      <c r="BC327" t="s">
        <v>98</v>
      </c>
      <c r="BD327" t="s">
        <v>99</v>
      </c>
      <c r="BE327" s="4">
        <v>1</v>
      </c>
      <c r="BF327" t="s">
        <v>87</v>
      </c>
      <c r="BG327" s="1" t="e">
        <v>#NULL!</v>
      </c>
      <c r="BH327" s="4">
        <v>0</v>
      </c>
      <c r="BI327" t="s">
        <v>85</v>
      </c>
      <c r="BJ327" s="4">
        <v>1</v>
      </c>
      <c r="BK327" t="s">
        <v>88</v>
      </c>
    </row>
    <row r="328" spans="1:63" x14ac:dyDescent="0.35">
      <c r="A328" s="4">
        <v>355</v>
      </c>
      <c r="B328" s="4">
        <v>48</v>
      </c>
      <c r="C328" t="s">
        <v>120</v>
      </c>
      <c r="D328" t="s">
        <v>64</v>
      </c>
      <c r="E328" t="s">
        <v>104</v>
      </c>
      <c r="F328" t="s">
        <v>66</v>
      </c>
      <c r="G328" t="s">
        <v>67</v>
      </c>
      <c r="H328" s="2">
        <v>300</v>
      </c>
      <c r="I328" t="s">
        <v>68</v>
      </c>
      <c r="J328" t="s">
        <v>70</v>
      </c>
      <c r="K328" t="s">
        <v>69</v>
      </c>
      <c r="L328" t="s">
        <v>69</v>
      </c>
      <c r="M328" s="4">
        <v>3</v>
      </c>
      <c r="N328" t="s">
        <v>91</v>
      </c>
      <c r="O328" s="4">
        <v>2</v>
      </c>
      <c r="P328" t="s">
        <v>71</v>
      </c>
      <c r="Q328" s="4">
        <v>2</v>
      </c>
      <c r="R328" t="s">
        <v>71</v>
      </c>
      <c r="S328" s="4">
        <v>1</v>
      </c>
      <c r="T328" t="s">
        <v>71</v>
      </c>
      <c r="U328" t="s">
        <v>73</v>
      </c>
      <c r="V328" t="s">
        <v>93</v>
      </c>
      <c r="W328" t="s">
        <v>93</v>
      </c>
      <c r="X328" t="s">
        <v>94</v>
      </c>
      <c r="Y328" t="s">
        <v>69</v>
      </c>
      <c r="Z328" s="4">
        <v>4</v>
      </c>
      <c r="AA328" t="s">
        <v>77</v>
      </c>
      <c r="AB328" s="4">
        <v>100</v>
      </c>
      <c r="AC328" s="4">
        <v>66</v>
      </c>
      <c r="AD328" s="4">
        <v>75</v>
      </c>
      <c r="AE328" s="4">
        <v>175</v>
      </c>
      <c r="AF328" s="4">
        <v>83</v>
      </c>
      <c r="AG328" s="4">
        <v>102</v>
      </c>
      <c r="AH328" s="4">
        <v>97</v>
      </c>
      <c r="AI328" s="4">
        <v>85</v>
      </c>
      <c r="AJ328" s="4">
        <v>51</v>
      </c>
      <c r="AK328" t="s">
        <v>78</v>
      </c>
      <c r="AL328" t="s">
        <v>95</v>
      </c>
      <c r="AM328" t="s">
        <v>80</v>
      </c>
      <c r="AN328" t="s">
        <v>96</v>
      </c>
      <c r="AO328" t="s">
        <v>97</v>
      </c>
      <c r="AP328" t="s">
        <v>85</v>
      </c>
      <c r="AQ328" t="s">
        <v>85</v>
      </c>
      <c r="AR328" t="s">
        <v>85</v>
      </c>
      <c r="AS328" t="s">
        <v>84</v>
      </c>
      <c r="AT328" t="s">
        <v>85</v>
      </c>
      <c r="AU328" t="s">
        <v>83</v>
      </c>
      <c r="AV328" t="s">
        <v>85</v>
      </c>
      <c r="AW328" s="4">
        <v>0</v>
      </c>
      <c r="AX328" s="4">
        <v>0</v>
      </c>
      <c r="AY328" s="4">
        <v>0</v>
      </c>
      <c r="AZ328" s="3">
        <v>1.75</v>
      </c>
      <c r="BA328" s="3">
        <v>3.0625</v>
      </c>
      <c r="BB328" s="3">
        <v>24.489795918367346</v>
      </c>
      <c r="BC328" t="s">
        <v>85</v>
      </c>
      <c r="BD328" t="s">
        <v>86</v>
      </c>
      <c r="BE328" s="4">
        <v>0</v>
      </c>
      <c r="BF328" t="s">
        <v>87</v>
      </c>
      <c r="BG328" s="4">
        <v>0</v>
      </c>
      <c r="BH328" s="1" t="e">
        <v>#NULL!</v>
      </c>
      <c r="BI328" t="s">
        <v>85</v>
      </c>
      <c r="BJ328" s="4">
        <v>0</v>
      </c>
      <c r="BK328" t="s">
        <v>88</v>
      </c>
    </row>
    <row r="329" spans="1:63" x14ac:dyDescent="0.35">
      <c r="A329" s="4">
        <v>405</v>
      </c>
      <c r="B329" s="4">
        <v>48</v>
      </c>
      <c r="C329" t="s">
        <v>120</v>
      </c>
      <c r="D329" t="s">
        <v>64</v>
      </c>
      <c r="E329" t="s">
        <v>104</v>
      </c>
      <c r="F329" t="s">
        <v>101</v>
      </c>
      <c r="G329" t="s">
        <v>67</v>
      </c>
      <c r="H329" s="2">
        <v>400</v>
      </c>
      <c r="I329" t="s">
        <v>68</v>
      </c>
      <c r="J329" t="s">
        <v>69</v>
      </c>
      <c r="K329" t="s">
        <v>70</v>
      </c>
      <c r="L329" t="s">
        <v>69</v>
      </c>
      <c r="M329" s="4">
        <v>2</v>
      </c>
      <c r="N329" t="s">
        <v>71</v>
      </c>
      <c r="O329" s="4">
        <v>2</v>
      </c>
      <c r="P329" t="s">
        <v>71</v>
      </c>
      <c r="Q329" s="4">
        <v>3</v>
      </c>
      <c r="R329" t="s">
        <v>91</v>
      </c>
      <c r="S329" s="4">
        <v>1</v>
      </c>
      <c r="T329" t="s">
        <v>71</v>
      </c>
      <c r="U329" t="s">
        <v>73</v>
      </c>
      <c r="V329" t="s">
        <v>93</v>
      </c>
      <c r="W329" t="s">
        <v>93</v>
      </c>
      <c r="X329" t="s">
        <v>94</v>
      </c>
      <c r="Y329" t="s">
        <v>69</v>
      </c>
      <c r="Z329" s="4">
        <v>4</v>
      </c>
      <c r="AA329" t="s">
        <v>77</v>
      </c>
      <c r="AB329" s="4">
        <v>105</v>
      </c>
      <c r="AC329" s="4">
        <v>66</v>
      </c>
      <c r="AD329" s="4">
        <v>100</v>
      </c>
      <c r="AE329" s="4">
        <v>178</v>
      </c>
      <c r="AF329" s="4">
        <v>104</v>
      </c>
      <c r="AG329" s="4">
        <v>125</v>
      </c>
      <c r="AH329" s="4">
        <v>138</v>
      </c>
      <c r="AI329" s="4">
        <v>55</v>
      </c>
      <c r="AJ329" s="4">
        <v>56</v>
      </c>
      <c r="AK329" t="s">
        <v>78</v>
      </c>
      <c r="AL329" t="s">
        <v>95</v>
      </c>
      <c r="AM329" t="s">
        <v>80</v>
      </c>
      <c r="AN329" t="s">
        <v>96</v>
      </c>
      <c r="AO329" t="s">
        <v>97</v>
      </c>
      <c r="AP329" t="s">
        <v>85</v>
      </c>
      <c r="AQ329" t="s">
        <v>85</v>
      </c>
      <c r="AR329" t="s">
        <v>85</v>
      </c>
      <c r="AS329" t="s">
        <v>102</v>
      </c>
      <c r="AT329" t="s">
        <v>83</v>
      </c>
      <c r="AU329" t="s">
        <v>83</v>
      </c>
      <c r="AV329" t="s">
        <v>83</v>
      </c>
      <c r="AW329" s="4">
        <v>1</v>
      </c>
      <c r="AX329" s="4">
        <v>0</v>
      </c>
      <c r="AY329" s="4">
        <v>1</v>
      </c>
      <c r="AZ329" s="3">
        <v>1.78</v>
      </c>
      <c r="BA329" s="3">
        <v>3.1684000000000001</v>
      </c>
      <c r="BB329" s="3">
        <v>31.561671506122963</v>
      </c>
      <c r="BC329" t="s">
        <v>110</v>
      </c>
      <c r="BD329" t="s">
        <v>99</v>
      </c>
      <c r="BE329" s="4">
        <v>2</v>
      </c>
      <c r="BF329" t="s">
        <v>87</v>
      </c>
      <c r="BG329" s="4">
        <v>1</v>
      </c>
      <c r="BH329" s="1" t="e">
        <v>#NULL!</v>
      </c>
      <c r="BI329" t="s">
        <v>83</v>
      </c>
      <c r="BJ329" s="4">
        <v>2</v>
      </c>
      <c r="BK329" t="s">
        <v>88</v>
      </c>
    </row>
    <row r="330" spans="1:63" x14ac:dyDescent="0.35">
      <c r="A330" s="4">
        <v>474</v>
      </c>
      <c r="B330" s="4">
        <v>48</v>
      </c>
      <c r="C330" t="s">
        <v>120</v>
      </c>
      <c r="D330" t="s">
        <v>89</v>
      </c>
      <c r="E330" t="s">
        <v>104</v>
      </c>
      <c r="F330" t="s">
        <v>66</v>
      </c>
      <c r="G330" t="s">
        <v>67</v>
      </c>
      <c r="H330" s="2">
        <v>450</v>
      </c>
      <c r="I330" t="s">
        <v>68</v>
      </c>
      <c r="J330" t="s">
        <v>69</v>
      </c>
      <c r="K330" t="s">
        <v>69</v>
      </c>
      <c r="L330" t="s">
        <v>69</v>
      </c>
      <c r="M330" s="4">
        <v>1</v>
      </c>
      <c r="N330" t="s">
        <v>71</v>
      </c>
      <c r="O330" s="4">
        <v>3</v>
      </c>
      <c r="P330" t="s">
        <v>91</v>
      </c>
      <c r="Q330" s="4">
        <v>4</v>
      </c>
      <c r="R330" t="s">
        <v>91</v>
      </c>
      <c r="S330" s="4">
        <v>4</v>
      </c>
      <c r="T330" t="s">
        <v>91</v>
      </c>
      <c r="U330" t="s">
        <v>92</v>
      </c>
      <c r="V330" t="s">
        <v>93</v>
      </c>
      <c r="W330" t="s">
        <v>93</v>
      </c>
      <c r="X330" t="s">
        <v>94</v>
      </c>
      <c r="Y330" t="s">
        <v>69</v>
      </c>
      <c r="Z330" s="4">
        <v>4</v>
      </c>
      <c r="AA330" t="s">
        <v>77</v>
      </c>
      <c r="AB330" s="4">
        <v>162</v>
      </c>
      <c r="AC330" s="4">
        <v>105</v>
      </c>
      <c r="AD330" s="4">
        <v>70</v>
      </c>
      <c r="AE330" s="4">
        <v>170</v>
      </c>
      <c r="AF330" s="4">
        <v>100</v>
      </c>
      <c r="AG330" s="4">
        <v>109</v>
      </c>
      <c r="AH330" s="4">
        <v>78</v>
      </c>
      <c r="AI330" s="4">
        <v>77</v>
      </c>
      <c r="AJ330" s="4">
        <v>53</v>
      </c>
      <c r="AK330" t="s">
        <v>78</v>
      </c>
      <c r="AL330" t="s">
        <v>79</v>
      </c>
      <c r="AM330" t="s">
        <v>108</v>
      </c>
      <c r="AN330" t="s">
        <v>109</v>
      </c>
      <c r="AO330" t="s">
        <v>82</v>
      </c>
      <c r="AP330" t="s">
        <v>85</v>
      </c>
      <c r="AQ330" t="s">
        <v>85</v>
      </c>
      <c r="AR330" t="s">
        <v>85</v>
      </c>
      <c r="AS330" t="s">
        <v>84</v>
      </c>
      <c r="AT330" t="s">
        <v>83</v>
      </c>
      <c r="AU330" t="s">
        <v>83</v>
      </c>
      <c r="AV330" t="s">
        <v>83</v>
      </c>
      <c r="AW330" s="4">
        <v>1</v>
      </c>
      <c r="AX330" s="4">
        <v>0</v>
      </c>
      <c r="AY330" s="4">
        <v>1</v>
      </c>
      <c r="AZ330" s="3">
        <v>1.7</v>
      </c>
      <c r="BA330" s="3">
        <v>2.8899999999999997</v>
      </c>
      <c r="BB330" s="3">
        <v>24.221453287197235</v>
      </c>
      <c r="BC330" t="s">
        <v>85</v>
      </c>
      <c r="BD330" t="s">
        <v>86</v>
      </c>
      <c r="BE330" s="4">
        <v>2</v>
      </c>
      <c r="BF330" t="s">
        <v>87</v>
      </c>
      <c r="BG330" s="1" t="e">
        <v>#NULL!</v>
      </c>
      <c r="BH330" s="4">
        <v>1</v>
      </c>
      <c r="BI330" t="s">
        <v>83</v>
      </c>
      <c r="BJ330" s="4">
        <v>2</v>
      </c>
      <c r="BK330" t="s">
        <v>88</v>
      </c>
    </row>
    <row r="331" spans="1:63" x14ac:dyDescent="0.35">
      <c r="A331" s="4">
        <v>17</v>
      </c>
      <c r="B331" s="4">
        <v>48</v>
      </c>
      <c r="C331" t="s">
        <v>120</v>
      </c>
      <c r="D331" t="s">
        <v>89</v>
      </c>
      <c r="E331" t="s">
        <v>113</v>
      </c>
      <c r="F331" t="s">
        <v>66</v>
      </c>
      <c r="G331" t="s">
        <v>67</v>
      </c>
      <c r="H331" s="2">
        <v>800</v>
      </c>
      <c r="I331" t="s">
        <v>105</v>
      </c>
      <c r="J331" t="s">
        <v>69</v>
      </c>
      <c r="K331" t="s">
        <v>69</v>
      </c>
      <c r="L331" t="s">
        <v>69</v>
      </c>
      <c r="M331" s="4">
        <v>1</v>
      </c>
      <c r="N331" t="s">
        <v>71</v>
      </c>
      <c r="O331" s="4">
        <v>4</v>
      </c>
      <c r="P331" t="s">
        <v>91</v>
      </c>
      <c r="Q331" s="4">
        <v>4</v>
      </c>
      <c r="R331" t="s">
        <v>91</v>
      </c>
      <c r="S331" s="4">
        <v>4</v>
      </c>
      <c r="T331" t="s">
        <v>91</v>
      </c>
      <c r="U331" t="s">
        <v>73</v>
      </c>
      <c r="V331" t="s">
        <v>93</v>
      </c>
      <c r="W331" t="s">
        <v>93</v>
      </c>
      <c r="X331" t="s">
        <v>94</v>
      </c>
      <c r="Y331" t="s">
        <v>69</v>
      </c>
      <c r="Z331" s="4">
        <v>8</v>
      </c>
      <c r="AA331" t="s">
        <v>117</v>
      </c>
      <c r="AB331" s="4">
        <v>146</v>
      </c>
      <c r="AC331" s="4">
        <v>87</v>
      </c>
      <c r="AD331" s="4">
        <v>44</v>
      </c>
      <c r="AE331" s="4">
        <v>161</v>
      </c>
      <c r="AF331" s="4">
        <v>67</v>
      </c>
      <c r="AG331" s="4">
        <v>89</v>
      </c>
      <c r="AH331" s="4">
        <v>298</v>
      </c>
      <c r="AI331" s="4">
        <v>194</v>
      </c>
      <c r="AJ331" s="4">
        <v>39</v>
      </c>
      <c r="AK331" t="s">
        <v>107</v>
      </c>
      <c r="AL331" t="s">
        <v>79</v>
      </c>
      <c r="AM331" t="s">
        <v>108</v>
      </c>
      <c r="AN331" t="s">
        <v>109</v>
      </c>
      <c r="AO331" t="s">
        <v>82</v>
      </c>
      <c r="AP331" t="s">
        <v>83</v>
      </c>
      <c r="AQ331" t="s">
        <v>83</v>
      </c>
      <c r="AR331" t="s">
        <v>83</v>
      </c>
      <c r="AS331" t="s">
        <v>102</v>
      </c>
      <c r="AT331" t="s">
        <v>85</v>
      </c>
      <c r="AU331" t="s">
        <v>85</v>
      </c>
      <c r="AV331" t="s">
        <v>85</v>
      </c>
      <c r="AW331" s="4">
        <v>4</v>
      </c>
      <c r="AX331" s="4">
        <v>1</v>
      </c>
      <c r="AY331" s="4">
        <v>1</v>
      </c>
      <c r="AZ331" s="3">
        <v>1.61</v>
      </c>
      <c r="BA331" s="3">
        <v>2.5921000000000003</v>
      </c>
      <c r="BB331" s="3">
        <v>16.974653755642141</v>
      </c>
      <c r="BC331" t="s">
        <v>100</v>
      </c>
      <c r="BD331" t="s">
        <v>86</v>
      </c>
      <c r="BE331" s="4">
        <v>4</v>
      </c>
      <c r="BF331" t="s">
        <v>87</v>
      </c>
      <c r="BG331" s="1" t="e">
        <v>#NULL!</v>
      </c>
      <c r="BH331" s="4">
        <v>0</v>
      </c>
      <c r="BI331" t="s">
        <v>85</v>
      </c>
      <c r="BJ331" s="4">
        <v>4</v>
      </c>
      <c r="BK331" t="s">
        <v>112</v>
      </c>
    </row>
    <row r="332" spans="1:63" x14ac:dyDescent="0.35">
      <c r="A332" s="4">
        <v>258</v>
      </c>
      <c r="B332" s="4">
        <v>49</v>
      </c>
      <c r="C332" t="s">
        <v>120</v>
      </c>
      <c r="D332" t="s">
        <v>89</v>
      </c>
      <c r="E332" t="s">
        <v>104</v>
      </c>
      <c r="F332" t="s">
        <v>90</v>
      </c>
      <c r="G332" t="s">
        <v>67</v>
      </c>
      <c r="H332" s="2">
        <v>750</v>
      </c>
      <c r="I332" t="s">
        <v>105</v>
      </c>
      <c r="J332" t="s">
        <v>69</v>
      </c>
      <c r="K332" t="s">
        <v>69</v>
      </c>
      <c r="L332" t="s">
        <v>69</v>
      </c>
      <c r="M332" s="4">
        <v>3</v>
      </c>
      <c r="N332" t="s">
        <v>91</v>
      </c>
      <c r="O332" s="4">
        <v>2</v>
      </c>
      <c r="P332" t="s">
        <v>71</v>
      </c>
      <c r="Q332" s="4">
        <v>3</v>
      </c>
      <c r="R332" t="s">
        <v>91</v>
      </c>
      <c r="S332" s="4">
        <v>1</v>
      </c>
      <c r="T332" t="s">
        <v>71</v>
      </c>
      <c r="U332" t="s">
        <v>92</v>
      </c>
      <c r="V332" t="s">
        <v>93</v>
      </c>
      <c r="W332" t="s">
        <v>93</v>
      </c>
      <c r="X332" t="s">
        <v>94</v>
      </c>
      <c r="Y332" t="s">
        <v>69</v>
      </c>
      <c r="Z332" s="4">
        <v>5</v>
      </c>
      <c r="AA332" t="s">
        <v>77</v>
      </c>
      <c r="AB332" s="4">
        <v>110</v>
      </c>
      <c r="AC332" s="4">
        <v>77</v>
      </c>
      <c r="AD332" s="4">
        <v>70</v>
      </c>
      <c r="AE332" s="4">
        <v>164</v>
      </c>
      <c r="AF332" s="4">
        <v>82</v>
      </c>
      <c r="AG332" s="4">
        <v>108</v>
      </c>
      <c r="AH332" s="4">
        <v>113</v>
      </c>
      <c r="AI332" s="4">
        <v>126</v>
      </c>
      <c r="AJ332" s="4">
        <v>50</v>
      </c>
      <c r="AK332" t="s">
        <v>78</v>
      </c>
      <c r="AL332" t="s">
        <v>95</v>
      </c>
      <c r="AM332" t="s">
        <v>80</v>
      </c>
      <c r="AN332" t="s">
        <v>96</v>
      </c>
      <c r="AO332" t="s">
        <v>97</v>
      </c>
      <c r="AP332" t="s">
        <v>85</v>
      </c>
      <c r="AQ332" t="s">
        <v>85</v>
      </c>
      <c r="AR332" t="s">
        <v>85</v>
      </c>
      <c r="AS332" t="s">
        <v>102</v>
      </c>
      <c r="AT332" t="s">
        <v>85</v>
      </c>
      <c r="AU332" t="s">
        <v>83</v>
      </c>
      <c r="AV332" t="s">
        <v>83</v>
      </c>
      <c r="AW332" s="4">
        <v>1</v>
      </c>
      <c r="AX332" s="4">
        <v>0</v>
      </c>
      <c r="AY332" s="4">
        <v>1</v>
      </c>
      <c r="AZ332" s="3">
        <v>1.64</v>
      </c>
      <c r="BA332" s="3">
        <v>2.6895999999999995</v>
      </c>
      <c r="BB332" s="3">
        <v>26.026174895895306</v>
      </c>
      <c r="BC332" t="s">
        <v>98</v>
      </c>
      <c r="BD332" t="s">
        <v>99</v>
      </c>
      <c r="BE332" s="4">
        <v>2</v>
      </c>
      <c r="BF332" t="s">
        <v>87</v>
      </c>
      <c r="BG332" s="1" t="e">
        <v>#NULL!</v>
      </c>
      <c r="BH332" s="4">
        <v>0</v>
      </c>
      <c r="BI332" t="s">
        <v>85</v>
      </c>
      <c r="BJ332" s="4">
        <v>1</v>
      </c>
      <c r="BK332" t="s">
        <v>88</v>
      </c>
    </row>
    <row r="333" spans="1:63" x14ac:dyDescent="0.35">
      <c r="A333" s="4">
        <v>65</v>
      </c>
      <c r="B333" s="4">
        <v>49</v>
      </c>
      <c r="C333" t="s">
        <v>120</v>
      </c>
      <c r="D333" t="s">
        <v>64</v>
      </c>
      <c r="E333" t="s">
        <v>104</v>
      </c>
      <c r="F333" t="s">
        <v>101</v>
      </c>
      <c r="G333" t="s">
        <v>67</v>
      </c>
      <c r="H333" s="2">
        <v>400</v>
      </c>
      <c r="I333" t="s">
        <v>68</v>
      </c>
      <c r="J333" t="s">
        <v>69</v>
      </c>
      <c r="K333" t="s">
        <v>69</v>
      </c>
      <c r="L333" t="s">
        <v>69</v>
      </c>
      <c r="M333" s="4">
        <v>2</v>
      </c>
      <c r="N333" t="s">
        <v>71</v>
      </c>
      <c r="O333" s="4">
        <v>2</v>
      </c>
      <c r="P333" t="s">
        <v>71</v>
      </c>
      <c r="Q333" s="4">
        <v>3</v>
      </c>
      <c r="R333" t="s">
        <v>91</v>
      </c>
      <c r="S333" s="4">
        <v>1</v>
      </c>
      <c r="T333" t="s">
        <v>71</v>
      </c>
      <c r="U333" t="s">
        <v>73</v>
      </c>
      <c r="V333" t="s">
        <v>93</v>
      </c>
      <c r="W333" t="s">
        <v>93</v>
      </c>
      <c r="X333" t="s">
        <v>94</v>
      </c>
      <c r="Y333" t="s">
        <v>69</v>
      </c>
      <c r="Z333" s="4">
        <v>4</v>
      </c>
      <c r="AA333" t="s">
        <v>77</v>
      </c>
      <c r="AB333" s="4">
        <v>105</v>
      </c>
      <c r="AC333" s="4">
        <v>66</v>
      </c>
      <c r="AD333" s="4">
        <v>100</v>
      </c>
      <c r="AE333" s="4">
        <v>178</v>
      </c>
      <c r="AF333" s="4">
        <v>102</v>
      </c>
      <c r="AG333" s="4">
        <v>125</v>
      </c>
      <c r="AH333" s="4">
        <v>138</v>
      </c>
      <c r="AI333" s="4">
        <v>55</v>
      </c>
      <c r="AJ333" s="4">
        <v>56</v>
      </c>
      <c r="AK333" t="s">
        <v>78</v>
      </c>
      <c r="AL333" t="s">
        <v>95</v>
      </c>
      <c r="AM333" t="s">
        <v>80</v>
      </c>
      <c r="AN333" t="s">
        <v>96</v>
      </c>
      <c r="AO333" t="s">
        <v>97</v>
      </c>
      <c r="AP333" t="s">
        <v>85</v>
      </c>
      <c r="AQ333" t="s">
        <v>85</v>
      </c>
      <c r="AR333" t="s">
        <v>85</v>
      </c>
      <c r="AS333" t="s">
        <v>102</v>
      </c>
      <c r="AT333" t="s">
        <v>83</v>
      </c>
      <c r="AU333" t="s">
        <v>83</v>
      </c>
      <c r="AV333" t="s">
        <v>83</v>
      </c>
      <c r="AW333" s="4">
        <v>1</v>
      </c>
      <c r="AX333" s="4">
        <v>0</v>
      </c>
      <c r="AY333" s="4">
        <v>1</v>
      </c>
      <c r="AZ333" s="3">
        <v>1.78</v>
      </c>
      <c r="BA333" s="3">
        <v>3.1684000000000001</v>
      </c>
      <c r="BB333" s="3">
        <v>31.561671506122963</v>
      </c>
      <c r="BC333" t="s">
        <v>110</v>
      </c>
      <c r="BD333" t="s">
        <v>99</v>
      </c>
      <c r="BE333" s="4">
        <v>2</v>
      </c>
      <c r="BF333" t="s">
        <v>87</v>
      </c>
      <c r="BG333" s="4">
        <v>1</v>
      </c>
      <c r="BH333" s="1" t="e">
        <v>#NULL!</v>
      </c>
      <c r="BI333" t="s">
        <v>83</v>
      </c>
      <c r="BJ333" s="4">
        <v>2</v>
      </c>
      <c r="BK333" t="s">
        <v>88</v>
      </c>
    </row>
    <row r="334" spans="1:63" x14ac:dyDescent="0.35">
      <c r="A334" s="4">
        <v>174</v>
      </c>
      <c r="B334" s="4">
        <v>49</v>
      </c>
      <c r="C334" t="s">
        <v>120</v>
      </c>
      <c r="D334" t="s">
        <v>89</v>
      </c>
      <c r="E334" t="s">
        <v>104</v>
      </c>
      <c r="F334" t="s">
        <v>101</v>
      </c>
      <c r="G334" t="s">
        <v>67</v>
      </c>
      <c r="H334" s="2">
        <v>400</v>
      </c>
      <c r="I334" t="s">
        <v>68</v>
      </c>
      <c r="J334" t="s">
        <v>69</v>
      </c>
      <c r="K334" t="s">
        <v>69</v>
      </c>
      <c r="L334" t="s">
        <v>69</v>
      </c>
      <c r="M334" s="4">
        <v>4</v>
      </c>
      <c r="N334" t="s">
        <v>91</v>
      </c>
      <c r="O334" s="4">
        <v>5</v>
      </c>
      <c r="P334" t="s">
        <v>72</v>
      </c>
      <c r="Q334" s="4">
        <v>5</v>
      </c>
      <c r="R334" t="s">
        <v>72</v>
      </c>
      <c r="S334" s="4">
        <v>6</v>
      </c>
      <c r="T334" t="s">
        <v>72</v>
      </c>
      <c r="U334" t="s">
        <v>92</v>
      </c>
      <c r="V334" t="s">
        <v>93</v>
      </c>
      <c r="W334" t="s">
        <v>93</v>
      </c>
      <c r="X334" t="s">
        <v>94</v>
      </c>
      <c r="Y334" t="s">
        <v>69</v>
      </c>
      <c r="Z334" s="4">
        <v>3</v>
      </c>
      <c r="AA334" t="s">
        <v>77</v>
      </c>
      <c r="AB334" s="4">
        <v>103</v>
      </c>
      <c r="AC334" s="4">
        <v>55</v>
      </c>
      <c r="AD334" s="4">
        <v>95</v>
      </c>
      <c r="AE334" s="4">
        <v>179</v>
      </c>
      <c r="AF334" s="4">
        <v>96</v>
      </c>
      <c r="AG334" s="4">
        <v>112</v>
      </c>
      <c r="AH334" s="4">
        <v>115</v>
      </c>
      <c r="AI334" s="4">
        <v>52</v>
      </c>
      <c r="AJ334" s="4">
        <v>50</v>
      </c>
      <c r="AK334" t="s">
        <v>78</v>
      </c>
      <c r="AL334" t="s">
        <v>95</v>
      </c>
      <c r="AM334" t="s">
        <v>80</v>
      </c>
      <c r="AN334" t="s">
        <v>96</v>
      </c>
      <c r="AO334" t="s">
        <v>97</v>
      </c>
      <c r="AP334" t="s">
        <v>85</v>
      </c>
      <c r="AQ334" t="s">
        <v>85</v>
      </c>
      <c r="AR334" t="s">
        <v>85</v>
      </c>
      <c r="AS334" t="s">
        <v>102</v>
      </c>
      <c r="AT334" t="s">
        <v>83</v>
      </c>
      <c r="AU334" t="s">
        <v>83</v>
      </c>
      <c r="AV334" t="s">
        <v>83</v>
      </c>
      <c r="AW334" s="4">
        <v>1</v>
      </c>
      <c r="AX334" s="4">
        <v>0</v>
      </c>
      <c r="AY334" s="4">
        <v>1</v>
      </c>
      <c r="AZ334" s="3">
        <v>1.79</v>
      </c>
      <c r="BA334" s="3">
        <v>3.2040999999999999</v>
      </c>
      <c r="BB334" s="3">
        <v>29.64951156330951</v>
      </c>
      <c r="BC334" t="s">
        <v>98</v>
      </c>
      <c r="BD334" t="s">
        <v>99</v>
      </c>
      <c r="BE334" s="4">
        <v>2</v>
      </c>
      <c r="BF334" t="s">
        <v>87</v>
      </c>
      <c r="BG334" s="1" t="e">
        <v>#NULL!</v>
      </c>
      <c r="BH334" s="4">
        <v>1</v>
      </c>
      <c r="BI334" t="s">
        <v>83</v>
      </c>
      <c r="BJ334" s="4">
        <v>2</v>
      </c>
      <c r="BK334" t="s">
        <v>88</v>
      </c>
    </row>
    <row r="335" spans="1:63" x14ac:dyDescent="0.35">
      <c r="A335" s="4">
        <v>298</v>
      </c>
      <c r="B335" s="4">
        <v>49</v>
      </c>
      <c r="C335" t="s">
        <v>120</v>
      </c>
      <c r="D335" t="s">
        <v>89</v>
      </c>
      <c r="E335" t="s">
        <v>104</v>
      </c>
      <c r="F335" t="s">
        <v>90</v>
      </c>
      <c r="G335" t="s">
        <v>67</v>
      </c>
      <c r="H335" s="2">
        <v>400</v>
      </c>
      <c r="I335" t="s">
        <v>68</v>
      </c>
      <c r="J335" t="s">
        <v>69</v>
      </c>
      <c r="K335" t="s">
        <v>69</v>
      </c>
      <c r="L335" t="s">
        <v>69</v>
      </c>
      <c r="M335" s="4">
        <v>4</v>
      </c>
      <c r="N335" t="s">
        <v>91</v>
      </c>
      <c r="O335" s="4">
        <v>3</v>
      </c>
      <c r="P335" t="s">
        <v>91</v>
      </c>
      <c r="Q335" s="4">
        <v>7</v>
      </c>
      <c r="R335" t="s">
        <v>72</v>
      </c>
      <c r="S335" s="4">
        <v>4</v>
      </c>
      <c r="T335" t="s">
        <v>91</v>
      </c>
      <c r="U335" t="s">
        <v>92</v>
      </c>
      <c r="V335" t="s">
        <v>93</v>
      </c>
      <c r="W335" t="s">
        <v>93</v>
      </c>
      <c r="X335" t="s">
        <v>94</v>
      </c>
      <c r="Y335" t="s">
        <v>69</v>
      </c>
      <c r="Z335" s="4">
        <v>3</v>
      </c>
      <c r="AA335" t="s">
        <v>77</v>
      </c>
      <c r="AB335" s="4">
        <v>112</v>
      </c>
      <c r="AC335" s="4">
        <v>76</v>
      </c>
      <c r="AD335" s="4">
        <v>72</v>
      </c>
      <c r="AE335" s="4">
        <v>166</v>
      </c>
      <c r="AF335" s="4">
        <v>79</v>
      </c>
      <c r="AG335" s="4">
        <v>99</v>
      </c>
      <c r="AH335" s="4">
        <v>89</v>
      </c>
      <c r="AI335" s="4">
        <v>124</v>
      </c>
      <c r="AJ335" s="4">
        <v>42</v>
      </c>
      <c r="AK335" t="s">
        <v>78</v>
      </c>
      <c r="AL335" t="s">
        <v>95</v>
      </c>
      <c r="AM335" t="s">
        <v>80</v>
      </c>
      <c r="AN335" t="s">
        <v>96</v>
      </c>
      <c r="AO335" t="s">
        <v>97</v>
      </c>
      <c r="AP335" t="s">
        <v>83</v>
      </c>
      <c r="AQ335" t="s">
        <v>85</v>
      </c>
      <c r="AR335" t="s">
        <v>83</v>
      </c>
      <c r="AS335" t="s">
        <v>84</v>
      </c>
      <c r="AT335" t="s">
        <v>85</v>
      </c>
      <c r="AU335" t="s">
        <v>85</v>
      </c>
      <c r="AV335" t="s">
        <v>85</v>
      </c>
      <c r="AW335" s="4">
        <v>1</v>
      </c>
      <c r="AX335" s="4">
        <v>0</v>
      </c>
      <c r="AY335" s="4">
        <v>0</v>
      </c>
      <c r="AZ335" s="3">
        <v>1.66</v>
      </c>
      <c r="BA335" s="3">
        <v>2.7555999999999998</v>
      </c>
      <c r="BB335" s="3">
        <v>26.1286108288576</v>
      </c>
      <c r="BC335" t="s">
        <v>98</v>
      </c>
      <c r="BD335" t="s">
        <v>99</v>
      </c>
      <c r="BE335" s="4">
        <v>1</v>
      </c>
      <c r="BF335" t="s">
        <v>87</v>
      </c>
      <c r="BG335" s="1" t="e">
        <v>#NULL!</v>
      </c>
      <c r="BH335" s="4">
        <v>0</v>
      </c>
      <c r="BI335" t="s">
        <v>85</v>
      </c>
      <c r="BJ335" s="4">
        <v>1</v>
      </c>
      <c r="BK335" t="s">
        <v>88</v>
      </c>
    </row>
    <row r="336" spans="1:63" x14ac:dyDescent="0.35">
      <c r="A336" s="4">
        <v>313</v>
      </c>
      <c r="B336" s="4">
        <v>49</v>
      </c>
      <c r="C336" t="s">
        <v>120</v>
      </c>
      <c r="D336" t="s">
        <v>64</v>
      </c>
      <c r="E336" t="s">
        <v>104</v>
      </c>
      <c r="F336" t="s">
        <v>101</v>
      </c>
      <c r="G336" t="s">
        <v>67</v>
      </c>
      <c r="H336" s="2">
        <v>300</v>
      </c>
      <c r="I336" t="s">
        <v>68</v>
      </c>
      <c r="J336" t="s">
        <v>69</v>
      </c>
      <c r="K336" t="s">
        <v>69</v>
      </c>
      <c r="L336" t="s">
        <v>69</v>
      </c>
      <c r="M336" s="4">
        <v>2</v>
      </c>
      <c r="N336" t="s">
        <v>71</v>
      </c>
      <c r="O336" s="4">
        <v>2</v>
      </c>
      <c r="P336" t="s">
        <v>71</v>
      </c>
      <c r="Q336" s="4">
        <v>1</v>
      </c>
      <c r="R336" t="s">
        <v>71</v>
      </c>
      <c r="S336" s="4">
        <v>1</v>
      </c>
      <c r="T336" t="s">
        <v>71</v>
      </c>
      <c r="U336" t="s">
        <v>92</v>
      </c>
      <c r="V336" t="s">
        <v>93</v>
      </c>
      <c r="W336" t="s">
        <v>93</v>
      </c>
      <c r="X336" t="s">
        <v>94</v>
      </c>
      <c r="Y336" t="s">
        <v>69</v>
      </c>
      <c r="Z336" s="4">
        <v>4</v>
      </c>
      <c r="AA336" t="s">
        <v>77</v>
      </c>
      <c r="AB336" s="4">
        <v>120</v>
      </c>
      <c r="AC336" s="4">
        <v>86</v>
      </c>
      <c r="AD336" s="4">
        <v>78</v>
      </c>
      <c r="AE336" s="4">
        <v>174</v>
      </c>
      <c r="AF336" s="4">
        <v>92</v>
      </c>
      <c r="AG336" s="4">
        <v>107</v>
      </c>
      <c r="AH336" s="4">
        <v>80</v>
      </c>
      <c r="AI336" s="4">
        <v>118</v>
      </c>
      <c r="AJ336" s="4">
        <v>31</v>
      </c>
      <c r="AK336" t="s">
        <v>78</v>
      </c>
      <c r="AL336" t="s">
        <v>95</v>
      </c>
      <c r="AM336" t="s">
        <v>108</v>
      </c>
      <c r="AN336" t="s">
        <v>81</v>
      </c>
      <c r="AO336" t="s">
        <v>82</v>
      </c>
      <c r="AP336" t="s">
        <v>83</v>
      </c>
      <c r="AQ336" t="s">
        <v>83</v>
      </c>
      <c r="AR336" t="s">
        <v>83</v>
      </c>
      <c r="AS336" t="s">
        <v>84</v>
      </c>
      <c r="AT336" t="s">
        <v>85</v>
      </c>
      <c r="AU336" t="s">
        <v>83</v>
      </c>
      <c r="AV336" t="s">
        <v>85</v>
      </c>
      <c r="AW336" s="4">
        <v>2</v>
      </c>
      <c r="AX336" s="4">
        <v>1</v>
      </c>
      <c r="AY336" s="4">
        <v>1</v>
      </c>
      <c r="AZ336" s="3">
        <v>1.74</v>
      </c>
      <c r="BA336" s="3">
        <v>3.0276000000000001</v>
      </c>
      <c r="BB336" s="3">
        <v>25.762980578676178</v>
      </c>
      <c r="BC336" t="s">
        <v>98</v>
      </c>
      <c r="BD336" t="s">
        <v>99</v>
      </c>
      <c r="BE336" s="4">
        <v>2</v>
      </c>
      <c r="BF336" t="s">
        <v>87</v>
      </c>
      <c r="BG336" s="4">
        <v>0</v>
      </c>
      <c r="BH336" s="1" t="e">
        <v>#NULL!</v>
      </c>
      <c r="BI336" t="s">
        <v>85</v>
      </c>
      <c r="BJ336" s="4">
        <v>2</v>
      </c>
      <c r="BK336" t="s">
        <v>88</v>
      </c>
    </row>
    <row r="337" spans="1:63" x14ac:dyDescent="0.35">
      <c r="A337" s="4">
        <v>345</v>
      </c>
      <c r="B337" s="4">
        <v>49</v>
      </c>
      <c r="C337" t="s">
        <v>120</v>
      </c>
      <c r="D337" t="s">
        <v>64</v>
      </c>
      <c r="E337" t="s">
        <v>104</v>
      </c>
      <c r="F337" t="s">
        <v>101</v>
      </c>
      <c r="G337" t="s">
        <v>67</v>
      </c>
      <c r="H337" s="2">
        <v>1200</v>
      </c>
      <c r="I337" t="s">
        <v>116</v>
      </c>
      <c r="J337" t="s">
        <v>70</v>
      </c>
      <c r="K337" t="s">
        <v>69</v>
      </c>
      <c r="L337" t="s">
        <v>69</v>
      </c>
      <c r="M337" s="4">
        <v>3</v>
      </c>
      <c r="N337" t="s">
        <v>91</v>
      </c>
      <c r="O337" s="4">
        <v>4</v>
      </c>
      <c r="P337" t="s">
        <v>91</v>
      </c>
      <c r="Q337" s="4">
        <v>4</v>
      </c>
      <c r="R337" t="s">
        <v>91</v>
      </c>
      <c r="S337" s="4">
        <v>4</v>
      </c>
      <c r="T337" t="s">
        <v>91</v>
      </c>
      <c r="U337" t="s">
        <v>92</v>
      </c>
      <c r="V337" t="s">
        <v>93</v>
      </c>
      <c r="W337" t="s">
        <v>93</v>
      </c>
      <c r="X337" t="s">
        <v>94</v>
      </c>
      <c r="Y337" t="s">
        <v>69</v>
      </c>
      <c r="Z337" s="4">
        <v>4</v>
      </c>
      <c r="AA337" t="s">
        <v>77</v>
      </c>
      <c r="AB337" s="4">
        <v>110</v>
      </c>
      <c r="AC337" s="4">
        <v>75</v>
      </c>
      <c r="AD337" s="4">
        <v>82</v>
      </c>
      <c r="AE337" s="4">
        <v>174</v>
      </c>
      <c r="AF337" s="4">
        <v>90</v>
      </c>
      <c r="AG337" s="4">
        <v>108</v>
      </c>
      <c r="AH337" s="4">
        <v>88</v>
      </c>
      <c r="AI337" s="4">
        <v>120</v>
      </c>
      <c r="AJ337" s="4">
        <v>62</v>
      </c>
      <c r="AK337" t="s">
        <v>78</v>
      </c>
      <c r="AL337" t="s">
        <v>95</v>
      </c>
      <c r="AM337" t="s">
        <v>80</v>
      </c>
      <c r="AN337" t="s">
        <v>96</v>
      </c>
      <c r="AO337" t="s">
        <v>97</v>
      </c>
      <c r="AP337" t="s">
        <v>85</v>
      </c>
      <c r="AQ337" t="s">
        <v>85</v>
      </c>
      <c r="AR337" t="s">
        <v>85</v>
      </c>
      <c r="AS337" t="s">
        <v>84</v>
      </c>
      <c r="AT337" t="s">
        <v>85</v>
      </c>
      <c r="AU337" t="s">
        <v>83</v>
      </c>
      <c r="AV337" t="s">
        <v>85</v>
      </c>
      <c r="AW337" s="4">
        <v>0</v>
      </c>
      <c r="AX337" s="4">
        <v>0</v>
      </c>
      <c r="AY337" s="4">
        <v>0</v>
      </c>
      <c r="AZ337" s="3">
        <v>1.74</v>
      </c>
      <c r="BA337" s="3">
        <v>3.0276000000000001</v>
      </c>
      <c r="BB337" s="3">
        <v>27.08415906989034</v>
      </c>
      <c r="BC337" t="s">
        <v>98</v>
      </c>
      <c r="BD337" t="s">
        <v>99</v>
      </c>
      <c r="BE337" s="4">
        <v>0</v>
      </c>
      <c r="BF337" t="s">
        <v>87</v>
      </c>
      <c r="BG337" s="4">
        <v>0</v>
      </c>
      <c r="BH337" s="1" t="e">
        <v>#NULL!</v>
      </c>
      <c r="BI337" t="s">
        <v>85</v>
      </c>
      <c r="BJ337" s="4">
        <v>0</v>
      </c>
      <c r="BK337" t="s">
        <v>88</v>
      </c>
    </row>
    <row r="338" spans="1:63" x14ac:dyDescent="0.35">
      <c r="A338" s="4">
        <v>386</v>
      </c>
      <c r="B338" s="4">
        <v>49</v>
      </c>
      <c r="C338" t="s">
        <v>120</v>
      </c>
      <c r="D338" t="s">
        <v>89</v>
      </c>
      <c r="E338" t="s">
        <v>104</v>
      </c>
      <c r="F338" t="s">
        <v>66</v>
      </c>
      <c r="G338" t="s">
        <v>67</v>
      </c>
      <c r="H338" s="2">
        <v>700</v>
      </c>
      <c r="I338" t="s">
        <v>105</v>
      </c>
      <c r="J338" t="s">
        <v>69</v>
      </c>
      <c r="K338" t="s">
        <v>69</v>
      </c>
      <c r="L338" t="s">
        <v>69</v>
      </c>
      <c r="M338" s="4">
        <v>4</v>
      </c>
      <c r="N338" t="s">
        <v>91</v>
      </c>
      <c r="O338" s="4">
        <v>5</v>
      </c>
      <c r="P338" t="s">
        <v>72</v>
      </c>
      <c r="Q338" s="4">
        <v>4</v>
      </c>
      <c r="R338" t="s">
        <v>91</v>
      </c>
      <c r="S338" s="4">
        <v>3</v>
      </c>
      <c r="T338" t="s">
        <v>91</v>
      </c>
      <c r="U338" t="s">
        <v>73</v>
      </c>
      <c r="V338" t="s">
        <v>93</v>
      </c>
      <c r="W338" t="s">
        <v>93</v>
      </c>
      <c r="X338" t="s">
        <v>94</v>
      </c>
      <c r="Y338" t="s">
        <v>69</v>
      </c>
      <c r="Z338" s="4">
        <v>5</v>
      </c>
      <c r="AA338" t="s">
        <v>77</v>
      </c>
      <c r="AB338" s="4">
        <v>142</v>
      </c>
      <c r="AC338" s="4">
        <v>67</v>
      </c>
      <c r="AD338" s="4">
        <v>70</v>
      </c>
      <c r="AE338" s="4">
        <v>172</v>
      </c>
      <c r="AF338" s="4">
        <v>99</v>
      </c>
      <c r="AG338" s="4">
        <v>99</v>
      </c>
      <c r="AH338" s="4">
        <v>158</v>
      </c>
      <c r="AI338" s="4">
        <v>48</v>
      </c>
      <c r="AJ338" s="4">
        <v>22</v>
      </c>
      <c r="AK338" t="s">
        <v>78</v>
      </c>
      <c r="AL338" t="s">
        <v>79</v>
      </c>
      <c r="AM338" t="s">
        <v>80</v>
      </c>
      <c r="AN338" t="s">
        <v>81</v>
      </c>
      <c r="AO338" t="s">
        <v>82</v>
      </c>
      <c r="AP338" t="s">
        <v>83</v>
      </c>
      <c r="AQ338" t="s">
        <v>83</v>
      </c>
      <c r="AR338" t="s">
        <v>83</v>
      </c>
      <c r="AS338" t="s">
        <v>102</v>
      </c>
      <c r="AT338" t="s">
        <v>83</v>
      </c>
      <c r="AU338" t="s">
        <v>83</v>
      </c>
      <c r="AV338" t="s">
        <v>83</v>
      </c>
      <c r="AW338" s="4">
        <v>3</v>
      </c>
      <c r="AX338" s="4">
        <v>1</v>
      </c>
      <c r="AY338" s="4">
        <v>2</v>
      </c>
      <c r="AZ338" s="3">
        <v>1.72</v>
      </c>
      <c r="BA338" s="3">
        <v>2.9583999999999997</v>
      </c>
      <c r="BB338" s="3">
        <v>23.661438615467823</v>
      </c>
      <c r="BC338" t="s">
        <v>85</v>
      </c>
      <c r="BD338" t="s">
        <v>86</v>
      </c>
      <c r="BE338" s="4">
        <v>4</v>
      </c>
      <c r="BF338" t="s">
        <v>111</v>
      </c>
      <c r="BG338" s="1" t="e">
        <v>#NULL!</v>
      </c>
      <c r="BH338" s="4">
        <v>1</v>
      </c>
      <c r="BI338" t="s">
        <v>83</v>
      </c>
      <c r="BJ338" s="4">
        <v>4</v>
      </c>
      <c r="BK338" t="s">
        <v>112</v>
      </c>
    </row>
    <row r="339" spans="1:63" x14ac:dyDescent="0.35">
      <c r="A339" s="4">
        <v>424</v>
      </c>
      <c r="B339" s="4">
        <v>49</v>
      </c>
      <c r="C339" t="s">
        <v>120</v>
      </c>
      <c r="D339" t="s">
        <v>89</v>
      </c>
      <c r="E339" t="s">
        <v>104</v>
      </c>
      <c r="F339" t="s">
        <v>90</v>
      </c>
      <c r="G339" t="s">
        <v>67</v>
      </c>
      <c r="H339" s="2">
        <v>500</v>
      </c>
      <c r="I339" t="s">
        <v>68</v>
      </c>
      <c r="J339" t="s">
        <v>69</v>
      </c>
      <c r="K339" t="s">
        <v>69</v>
      </c>
      <c r="L339" t="s">
        <v>69</v>
      </c>
      <c r="M339" s="4">
        <v>0</v>
      </c>
      <c r="N339" t="s">
        <v>71</v>
      </c>
      <c r="O339" s="4">
        <v>1</v>
      </c>
      <c r="P339" t="s">
        <v>71</v>
      </c>
      <c r="Q339" s="4">
        <v>5</v>
      </c>
      <c r="R339" t="s">
        <v>72</v>
      </c>
      <c r="S339" s="4">
        <v>3</v>
      </c>
      <c r="T339" t="s">
        <v>91</v>
      </c>
      <c r="U339" t="s">
        <v>73</v>
      </c>
      <c r="V339" t="s">
        <v>93</v>
      </c>
      <c r="W339" t="s">
        <v>93</v>
      </c>
      <c r="X339" t="s">
        <v>94</v>
      </c>
      <c r="Y339" t="s">
        <v>69</v>
      </c>
      <c r="Z339" s="4">
        <v>4</v>
      </c>
      <c r="AA339" t="s">
        <v>77</v>
      </c>
      <c r="AB339" s="4">
        <v>134</v>
      </c>
      <c r="AC339" s="4">
        <v>83</v>
      </c>
      <c r="AD339" s="4">
        <v>119</v>
      </c>
      <c r="AE339" s="4">
        <v>167</v>
      </c>
      <c r="AF339" s="4">
        <v>100</v>
      </c>
      <c r="AG339" s="4">
        <v>125</v>
      </c>
      <c r="AH339" s="4">
        <v>185</v>
      </c>
      <c r="AI339" s="4">
        <v>144</v>
      </c>
      <c r="AJ339" s="4">
        <v>39</v>
      </c>
      <c r="AK339" t="s">
        <v>78</v>
      </c>
      <c r="AL339" t="s">
        <v>79</v>
      </c>
      <c r="AM339" t="s">
        <v>80</v>
      </c>
      <c r="AN339" t="s">
        <v>81</v>
      </c>
      <c r="AO339" t="s">
        <v>82</v>
      </c>
      <c r="AP339" t="s">
        <v>83</v>
      </c>
      <c r="AQ339" t="s">
        <v>83</v>
      </c>
      <c r="AR339" t="s">
        <v>83</v>
      </c>
      <c r="AS339" t="s">
        <v>102</v>
      </c>
      <c r="AT339" t="s">
        <v>83</v>
      </c>
      <c r="AU339" t="s">
        <v>83</v>
      </c>
      <c r="AV339" t="s">
        <v>83</v>
      </c>
      <c r="AW339" s="4">
        <v>3</v>
      </c>
      <c r="AX339" s="4">
        <v>1</v>
      </c>
      <c r="AY339" s="4">
        <v>2</v>
      </c>
      <c r="AZ339" s="3">
        <v>1.67</v>
      </c>
      <c r="BA339" s="3">
        <v>2.7888999999999999</v>
      </c>
      <c r="BB339" s="3">
        <v>42.669152712538995</v>
      </c>
      <c r="BC339" t="s">
        <v>110</v>
      </c>
      <c r="BD339" t="s">
        <v>99</v>
      </c>
      <c r="BE339" s="4">
        <v>4</v>
      </c>
      <c r="BF339" t="s">
        <v>111</v>
      </c>
      <c r="BG339" s="1" t="e">
        <v>#NULL!</v>
      </c>
      <c r="BH339" s="4">
        <v>1</v>
      </c>
      <c r="BI339" t="s">
        <v>83</v>
      </c>
      <c r="BJ339" s="4">
        <v>4</v>
      </c>
      <c r="BK339" t="s">
        <v>112</v>
      </c>
    </row>
    <row r="340" spans="1:63" x14ac:dyDescent="0.35">
      <c r="A340" s="4">
        <v>471</v>
      </c>
      <c r="B340" s="4">
        <v>49</v>
      </c>
      <c r="C340" t="s">
        <v>120</v>
      </c>
      <c r="D340" t="s">
        <v>89</v>
      </c>
      <c r="E340" t="s">
        <v>104</v>
      </c>
      <c r="F340" t="s">
        <v>115</v>
      </c>
      <c r="G340" t="s">
        <v>67</v>
      </c>
      <c r="H340" s="2">
        <v>500</v>
      </c>
      <c r="I340" t="s">
        <v>68</v>
      </c>
      <c r="J340" t="s">
        <v>69</v>
      </c>
      <c r="K340" t="s">
        <v>69</v>
      </c>
      <c r="L340" t="s">
        <v>69</v>
      </c>
      <c r="M340" s="4">
        <v>3</v>
      </c>
      <c r="N340" t="s">
        <v>91</v>
      </c>
      <c r="O340" s="4">
        <v>2</v>
      </c>
      <c r="P340" t="s">
        <v>71</v>
      </c>
      <c r="Q340" s="4">
        <v>0</v>
      </c>
      <c r="R340" t="s">
        <v>71</v>
      </c>
      <c r="S340" s="4">
        <v>0</v>
      </c>
      <c r="T340" t="s">
        <v>71</v>
      </c>
      <c r="U340" t="s">
        <v>92</v>
      </c>
      <c r="V340" t="s">
        <v>93</v>
      </c>
      <c r="W340" t="s">
        <v>93</v>
      </c>
      <c r="X340" t="s">
        <v>94</v>
      </c>
      <c r="Y340" t="s">
        <v>69</v>
      </c>
      <c r="Z340" s="4">
        <v>8</v>
      </c>
      <c r="AA340" t="s">
        <v>117</v>
      </c>
      <c r="AB340" s="4">
        <v>118</v>
      </c>
      <c r="AC340" s="4">
        <v>85</v>
      </c>
      <c r="AD340" s="4">
        <v>82</v>
      </c>
      <c r="AE340" s="4">
        <v>170</v>
      </c>
      <c r="AF340" s="4">
        <v>99</v>
      </c>
      <c r="AG340" s="4">
        <v>116</v>
      </c>
      <c r="AH340" s="4">
        <v>300</v>
      </c>
      <c r="AI340" s="4">
        <v>149</v>
      </c>
      <c r="AJ340" s="4">
        <v>40</v>
      </c>
      <c r="AK340" t="s">
        <v>78</v>
      </c>
      <c r="AL340" t="s">
        <v>95</v>
      </c>
      <c r="AM340" t="s">
        <v>108</v>
      </c>
      <c r="AN340" t="s">
        <v>81</v>
      </c>
      <c r="AO340" t="s">
        <v>82</v>
      </c>
      <c r="AP340" t="s">
        <v>83</v>
      </c>
      <c r="AQ340" t="s">
        <v>85</v>
      </c>
      <c r="AR340" t="s">
        <v>83</v>
      </c>
      <c r="AS340" t="s">
        <v>102</v>
      </c>
      <c r="AT340" t="s">
        <v>83</v>
      </c>
      <c r="AU340" t="s">
        <v>83</v>
      </c>
      <c r="AV340" t="s">
        <v>83</v>
      </c>
      <c r="AW340" s="4">
        <v>3</v>
      </c>
      <c r="AX340" s="4">
        <v>1</v>
      </c>
      <c r="AY340" s="4">
        <v>2</v>
      </c>
      <c r="AZ340" s="3">
        <v>1.7</v>
      </c>
      <c r="BA340" s="3">
        <v>2.8899999999999997</v>
      </c>
      <c r="BB340" s="3">
        <v>28.373702422145332</v>
      </c>
      <c r="BC340" t="s">
        <v>98</v>
      </c>
      <c r="BD340" t="s">
        <v>99</v>
      </c>
      <c r="BE340" s="4">
        <v>4</v>
      </c>
      <c r="BF340" t="s">
        <v>111</v>
      </c>
      <c r="BG340" s="1" t="e">
        <v>#NULL!</v>
      </c>
      <c r="BH340" s="4">
        <v>1</v>
      </c>
      <c r="BI340" t="s">
        <v>83</v>
      </c>
      <c r="BJ340" s="4">
        <v>4</v>
      </c>
      <c r="BK340" t="s">
        <v>112</v>
      </c>
    </row>
    <row r="341" spans="1:63" x14ac:dyDescent="0.35">
      <c r="A341" s="4">
        <v>473</v>
      </c>
      <c r="B341" s="4">
        <v>49</v>
      </c>
      <c r="C341" t="s">
        <v>120</v>
      </c>
      <c r="D341" t="s">
        <v>89</v>
      </c>
      <c r="E341" t="s">
        <v>104</v>
      </c>
      <c r="F341" t="s">
        <v>66</v>
      </c>
      <c r="G341" t="s">
        <v>67</v>
      </c>
      <c r="H341" s="2">
        <v>700</v>
      </c>
      <c r="I341" t="s">
        <v>105</v>
      </c>
      <c r="J341" t="s">
        <v>69</v>
      </c>
      <c r="K341" t="s">
        <v>69</v>
      </c>
      <c r="L341" t="s">
        <v>69</v>
      </c>
      <c r="M341" s="4">
        <v>1</v>
      </c>
      <c r="N341" t="s">
        <v>71</v>
      </c>
      <c r="O341" s="4">
        <v>3</v>
      </c>
      <c r="P341" t="s">
        <v>91</v>
      </c>
      <c r="Q341" s="4">
        <v>1</v>
      </c>
      <c r="R341" t="s">
        <v>71</v>
      </c>
      <c r="S341" s="4">
        <v>2</v>
      </c>
      <c r="T341" t="s">
        <v>71</v>
      </c>
      <c r="U341" t="s">
        <v>103</v>
      </c>
      <c r="V341" t="s">
        <v>93</v>
      </c>
      <c r="W341" t="s">
        <v>93</v>
      </c>
      <c r="X341" t="s">
        <v>94</v>
      </c>
      <c r="Y341" t="s">
        <v>69</v>
      </c>
      <c r="Z341" s="4">
        <v>4</v>
      </c>
      <c r="AA341" t="s">
        <v>77</v>
      </c>
      <c r="AB341" s="4">
        <v>179</v>
      </c>
      <c r="AC341" s="4">
        <v>88</v>
      </c>
      <c r="AD341" s="4">
        <v>56</v>
      </c>
      <c r="AE341" s="4">
        <v>153</v>
      </c>
      <c r="AF341" s="4">
        <v>90</v>
      </c>
      <c r="AG341" s="4">
        <v>106</v>
      </c>
      <c r="AH341" s="4">
        <v>159</v>
      </c>
      <c r="AI341" s="4">
        <v>102</v>
      </c>
      <c r="AJ341" s="4">
        <v>51</v>
      </c>
      <c r="AK341" t="s">
        <v>78</v>
      </c>
      <c r="AL341" t="s">
        <v>79</v>
      </c>
      <c r="AM341" t="s">
        <v>108</v>
      </c>
      <c r="AN341" t="s">
        <v>109</v>
      </c>
      <c r="AO341" t="s">
        <v>82</v>
      </c>
      <c r="AP341" t="s">
        <v>85</v>
      </c>
      <c r="AQ341" t="s">
        <v>85</v>
      </c>
      <c r="AR341" t="s">
        <v>85</v>
      </c>
      <c r="AS341" t="s">
        <v>102</v>
      </c>
      <c r="AT341" t="s">
        <v>85</v>
      </c>
      <c r="AU341" t="s">
        <v>83</v>
      </c>
      <c r="AV341" t="s">
        <v>83</v>
      </c>
      <c r="AW341" s="4">
        <v>2</v>
      </c>
      <c r="AX341" s="4">
        <v>1</v>
      </c>
      <c r="AY341" s="4">
        <v>2</v>
      </c>
      <c r="AZ341" s="3">
        <v>1.53</v>
      </c>
      <c r="BA341" s="3">
        <v>2.3409</v>
      </c>
      <c r="BB341" s="3">
        <v>23.92242299970097</v>
      </c>
      <c r="BC341" t="s">
        <v>85</v>
      </c>
      <c r="BD341" t="s">
        <v>86</v>
      </c>
      <c r="BE341" s="4">
        <v>3</v>
      </c>
      <c r="BF341" t="s">
        <v>111</v>
      </c>
      <c r="BG341" s="1" t="e">
        <v>#NULL!</v>
      </c>
      <c r="BH341" s="4">
        <v>1</v>
      </c>
      <c r="BI341" t="s">
        <v>83</v>
      </c>
      <c r="BJ341" s="4">
        <v>3</v>
      </c>
      <c r="BK341" t="s">
        <v>112</v>
      </c>
    </row>
    <row r="342" spans="1:63" x14ac:dyDescent="0.35">
      <c r="A342" s="4">
        <v>6</v>
      </c>
      <c r="B342" s="4">
        <v>50</v>
      </c>
      <c r="C342" t="s">
        <v>120</v>
      </c>
      <c r="D342" t="s">
        <v>89</v>
      </c>
      <c r="E342" t="s">
        <v>104</v>
      </c>
      <c r="F342" t="s">
        <v>115</v>
      </c>
      <c r="G342" t="s">
        <v>67</v>
      </c>
      <c r="H342" s="2">
        <v>200</v>
      </c>
      <c r="I342" t="s">
        <v>68</v>
      </c>
      <c r="J342" t="s">
        <v>69</v>
      </c>
      <c r="K342" t="s">
        <v>69</v>
      </c>
      <c r="L342" t="s">
        <v>69</v>
      </c>
      <c r="M342" s="4">
        <v>2</v>
      </c>
      <c r="N342" t="s">
        <v>71</v>
      </c>
      <c r="O342" s="4">
        <v>3</v>
      </c>
      <c r="P342" t="s">
        <v>91</v>
      </c>
      <c r="Q342" s="4">
        <v>3</v>
      </c>
      <c r="R342" t="s">
        <v>91</v>
      </c>
      <c r="S342" s="4">
        <v>5</v>
      </c>
      <c r="T342" t="s">
        <v>72</v>
      </c>
      <c r="U342" t="s">
        <v>73</v>
      </c>
      <c r="V342" t="s">
        <v>93</v>
      </c>
      <c r="W342" t="s">
        <v>93</v>
      </c>
      <c r="X342" t="s">
        <v>94</v>
      </c>
      <c r="Y342" t="s">
        <v>70</v>
      </c>
      <c r="Z342" s="4">
        <v>2</v>
      </c>
      <c r="AA342" t="s">
        <v>77</v>
      </c>
      <c r="AB342" s="4">
        <v>148</v>
      </c>
      <c r="AC342" s="4">
        <v>77</v>
      </c>
      <c r="AD342" s="4">
        <v>101</v>
      </c>
      <c r="AE342" s="4">
        <v>158</v>
      </c>
      <c r="AF342" s="4">
        <v>115</v>
      </c>
      <c r="AG342" s="4">
        <v>100</v>
      </c>
      <c r="AH342" s="4">
        <v>103</v>
      </c>
      <c r="AI342" s="4">
        <v>192</v>
      </c>
      <c r="AJ342" s="4">
        <v>31</v>
      </c>
      <c r="AK342" t="s">
        <v>107</v>
      </c>
      <c r="AL342" t="s">
        <v>79</v>
      </c>
      <c r="AM342" t="s">
        <v>80</v>
      </c>
      <c r="AN342" t="s">
        <v>81</v>
      </c>
      <c r="AO342" t="s">
        <v>82</v>
      </c>
      <c r="AP342" t="s">
        <v>83</v>
      </c>
      <c r="AQ342" t="s">
        <v>83</v>
      </c>
      <c r="AR342" t="s">
        <v>83</v>
      </c>
      <c r="AS342" t="s">
        <v>102</v>
      </c>
      <c r="AT342" t="s">
        <v>83</v>
      </c>
      <c r="AU342" t="s">
        <v>83</v>
      </c>
      <c r="AV342" t="s">
        <v>83</v>
      </c>
      <c r="AW342" s="4">
        <v>4</v>
      </c>
      <c r="AX342" s="4">
        <v>1</v>
      </c>
      <c r="AY342" s="4">
        <v>2</v>
      </c>
      <c r="AZ342" s="3">
        <v>1.58</v>
      </c>
      <c r="BA342" s="3">
        <v>2.4964000000000004</v>
      </c>
      <c r="BB342" s="3">
        <v>40.458259894247711</v>
      </c>
      <c r="BC342" t="s">
        <v>110</v>
      </c>
      <c r="BD342" t="s">
        <v>99</v>
      </c>
      <c r="BE342" s="4">
        <v>5</v>
      </c>
      <c r="BF342" t="s">
        <v>111</v>
      </c>
      <c r="BG342" s="1" t="e">
        <v>#NULL!</v>
      </c>
      <c r="BH342" s="4">
        <v>1</v>
      </c>
      <c r="BI342" t="s">
        <v>83</v>
      </c>
      <c r="BJ342" s="4">
        <v>5</v>
      </c>
      <c r="BK342" t="s">
        <v>112</v>
      </c>
    </row>
    <row r="343" spans="1:63" x14ac:dyDescent="0.35">
      <c r="A343" s="4">
        <v>7</v>
      </c>
      <c r="B343" s="4">
        <v>50</v>
      </c>
      <c r="C343" t="s">
        <v>120</v>
      </c>
      <c r="D343" t="s">
        <v>89</v>
      </c>
      <c r="E343" t="s">
        <v>104</v>
      </c>
      <c r="F343" t="s">
        <v>90</v>
      </c>
      <c r="G343" t="s">
        <v>67</v>
      </c>
      <c r="H343" s="2">
        <v>500</v>
      </c>
      <c r="I343" t="s">
        <v>68</v>
      </c>
      <c r="J343" t="s">
        <v>69</v>
      </c>
      <c r="K343" t="s">
        <v>70</v>
      </c>
      <c r="L343" t="s">
        <v>69</v>
      </c>
      <c r="M343" s="4">
        <v>0</v>
      </c>
      <c r="N343" t="s">
        <v>71</v>
      </c>
      <c r="O343" s="4">
        <v>1</v>
      </c>
      <c r="P343" t="s">
        <v>71</v>
      </c>
      <c r="Q343" s="4">
        <v>5</v>
      </c>
      <c r="R343" t="s">
        <v>72</v>
      </c>
      <c r="S343" s="4">
        <v>3</v>
      </c>
      <c r="T343" t="s">
        <v>91</v>
      </c>
      <c r="U343" t="s">
        <v>73</v>
      </c>
      <c r="V343" t="s">
        <v>93</v>
      </c>
      <c r="W343" t="s">
        <v>93</v>
      </c>
      <c r="X343" t="s">
        <v>94</v>
      </c>
      <c r="Y343" t="s">
        <v>69</v>
      </c>
      <c r="Z343" s="4">
        <v>4</v>
      </c>
      <c r="AA343" t="s">
        <v>77</v>
      </c>
      <c r="AB343" s="4">
        <v>134</v>
      </c>
      <c r="AC343" s="4">
        <v>83</v>
      </c>
      <c r="AD343" s="4">
        <v>119</v>
      </c>
      <c r="AE343" s="4">
        <v>167</v>
      </c>
      <c r="AF343" s="4">
        <v>100</v>
      </c>
      <c r="AG343" s="4">
        <v>125</v>
      </c>
      <c r="AH343" s="4">
        <v>185</v>
      </c>
      <c r="AI343" s="4">
        <v>144</v>
      </c>
      <c r="AJ343" s="4">
        <v>39</v>
      </c>
      <c r="AK343" t="s">
        <v>78</v>
      </c>
      <c r="AL343" t="s">
        <v>79</v>
      </c>
      <c r="AM343" t="s">
        <v>80</v>
      </c>
      <c r="AN343" t="s">
        <v>81</v>
      </c>
      <c r="AO343" t="s">
        <v>82</v>
      </c>
      <c r="AP343" t="s">
        <v>83</v>
      </c>
      <c r="AQ343" t="s">
        <v>83</v>
      </c>
      <c r="AR343" t="s">
        <v>83</v>
      </c>
      <c r="AS343" t="s">
        <v>102</v>
      </c>
      <c r="AT343" t="s">
        <v>83</v>
      </c>
      <c r="AU343" t="s">
        <v>83</v>
      </c>
      <c r="AV343" t="s">
        <v>83</v>
      </c>
      <c r="AW343" s="4">
        <v>3</v>
      </c>
      <c r="AX343" s="4">
        <v>1</v>
      </c>
      <c r="AY343" s="4">
        <v>2</v>
      </c>
      <c r="AZ343" s="3">
        <v>1.67</v>
      </c>
      <c r="BA343" s="3">
        <v>2.7888999999999999</v>
      </c>
      <c r="BB343" s="3">
        <v>42.669152712538995</v>
      </c>
      <c r="BC343" t="s">
        <v>110</v>
      </c>
      <c r="BD343" t="s">
        <v>99</v>
      </c>
      <c r="BE343" s="4">
        <v>4</v>
      </c>
      <c r="BF343" t="s">
        <v>111</v>
      </c>
      <c r="BG343" s="1" t="e">
        <v>#NULL!</v>
      </c>
      <c r="BH343" s="4">
        <v>1</v>
      </c>
      <c r="BI343" t="s">
        <v>83</v>
      </c>
      <c r="BJ343" s="4">
        <v>4</v>
      </c>
      <c r="BK343" t="s">
        <v>112</v>
      </c>
    </row>
    <row r="344" spans="1:63" x14ac:dyDescent="0.35">
      <c r="A344" s="4">
        <v>23</v>
      </c>
      <c r="B344" s="4">
        <v>50</v>
      </c>
      <c r="C344" t="s">
        <v>120</v>
      </c>
      <c r="D344" t="s">
        <v>89</v>
      </c>
      <c r="E344" t="s">
        <v>104</v>
      </c>
      <c r="F344" t="s">
        <v>115</v>
      </c>
      <c r="G344" t="s">
        <v>67</v>
      </c>
      <c r="H344" s="2">
        <v>380</v>
      </c>
      <c r="I344" t="s">
        <v>68</v>
      </c>
      <c r="J344" t="s">
        <v>69</v>
      </c>
      <c r="K344" t="s">
        <v>69</v>
      </c>
      <c r="L344" t="s">
        <v>69</v>
      </c>
      <c r="M344" s="4">
        <v>7</v>
      </c>
      <c r="N344" t="s">
        <v>72</v>
      </c>
      <c r="O344" s="4">
        <v>5</v>
      </c>
      <c r="P344" t="s">
        <v>72</v>
      </c>
      <c r="Q344" s="4">
        <v>7</v>
      </c>
      <c r="R344" t="s">
        <v>72</v>
      </c>
      <c r="S344" s="4">
        <v>7</v>
      </c>
      <c r="T344" t="s">
        <v>72</v>
      </c>
      <c r="U344" t="s">
        <v>92</v>
      </c>
      <c r="V344" t="s">
        <v>74</v>
      </c>
      <c r="W344" t="s">
        <v>74</v>
      </c>
      <c r="X344" t="s">
        <v>76</v>
      </c>
      <c r="Y344" t="s">
        <v>69</v>
      </c>
      <c r="Z344" s="4">
        <v>1</v>
      </c>
      <c r="AA344" t="s">
        <v>77</v>
      </c>
      <c r="AB344" s="4">
        <v>178</v>
      </c>
      <c r="AC344" s="4">
        <v>103</v>
      </c>
      <c r="AD344" s="4">
        <v>65</v>
      </c>
      <c r="AE344" s="4">
        <v>158</v>
      </c>
      <c r="AF344" s="4">
        <v>104</v>
      </c>
      <c r="AG344" s="4">
        <v>109</v>
      </c>
      <c r="AH344" s="4">
        <v>184</v>
      </c>
      <c r="AI344" s="4">
        <v>256</v>
      </c>
      <c r="AJ344" s="4">
        <v>33</v>
      </c>
      <c r="AK344" t="s">
        <v>107</v>
      </c>
      <c r="AL344" t="s">
        <v>79</v>
      </c>
      <c r="AM344" t="s">
        <v>108</v>
      </c>
      <c r="AN344" t="s">
        <v>109</v>
      </c>
      <c r="AO344" t="s">
        <v>82</v>
      </c>
      <c r="AP344" t="s">
        <v>83</v>
      </c>
      <c r="AQ344" t="s">
        <v>83</v>
      </c>
      <c r="AR344" t="s">
        <v>83</v>
      </c>
      <c r="AS344" t="s">
        <v>102</v>
      </c>
      <c r="AT344" t="s">
        <v>83</v>
      </c>
      <c r="AU344" t="s">
        <v>83</v>
      </c>
      <c r="AV344" t="s">
        <v>83</v>
      </c>
      <c r="AW344" s="4">
        <v>4</v>
      </c>
      <c r="AX344" s="4">
        <v>1</v>
      </c>
      <c r="AY344" s="4">
        <v>2</v>
      </c>
      <c r="AZ344" s="3">
        <v>1.58</v>
      </c>
      <c r="BA344" s="3">
        <v>2.4964000000000004</v>
      </c>
      <c r="BB344" s="3">
        <v>26.037493991347535</v>
      </c>
      <c r="BC344" t="s">
        <v>98</v>
      </c>
      <c r="BD344" t="s">
        <v>99</v>
      </c>
      <c r="BE344" s="4">
        <v>5</v>
      </c>
      <c r="BF344" t="s">
        <v>111</v>
      </c>
      <c r="BG344" s="1" t="e">
        <v>#NULL!</v>
      </c>
      <c r="BH344" s="4">
        <v>1</v>
      </c>
      <c r="BI344" t="s">
        <v>83</v>
      </c>
      <c r="BJ344" s="4">
        <v>5</v>
      </c>
      <c r="BK344" t="s">
        <v>112</v>
      </c>
    </row>
    <row r="345" spans="1:63" x14ac:dyDescent="0.35">
      <c r="A345" s="4">
        <v>71</v>
      </c>
      <c r="B345" s="4">
        <v>50</v>
      </c>
      <c r="C345" t="s">
        <v>120</v>
      </c>
      <c r="D345" t="s">
        <v>89</v>
      </c>
      <c r="E345" t="s">
        <v>104</v>
      </c>
      <c r="F345" t="s">
        <v>115</v>
      </c>
      <c r="G345" t="s">
        <v>67</v>
      </c>
      <c r="H345" s="2">
        <v>700</v>
      </c>
      <c r="I345" t="s">
        <v>105</v>
      </c>
      <c r="J345" t="s">
        <v>69</v>
      </c>
      <c r="K345" t="s">
        <v>69</v>
      </c>
      <c r="L345" t="s">
        <v>69</v>
      </c>
      <c r="M345" s="4">
        <v>1</v>
      </c>
      <c r="N345" t="s">
        <v>71</v>
      </c>
      <c r="O345" s="4">
        <v>2</v>
      </c>
      <c r="P345" t="s">
        <v>71</v>
      </c>
      <c r="Q345" s="4">
        <v>2</v>
      </c>
      <c r="R345" t="s">
        <v>71</v>
      </c>
      <c r="S345" s="4">
        <v>1</v>
      </c>
      <c r="T345" t="s">
        <v>71</v>
      </c>
      <c r="U345" t="s">
        <v>73</v>
      </c>
      <c r="V345" t="s">
        <v>93</v>
      </c>
      <c r="W345" t="s">
        <v>93</v>
      </c>
      <c r="X345" t="s">
        <v>94</v>
      </c>
      <c r="Y345" t="s">
        <v>69</v>
      </c>
      <c r="Z345" s="4">
        <v>6</v>
      </c>
      <c r="AA345" t="s">
        <v>77</v>
      </c>
      <c r="AB345" s="4">
        <v>151</v>
      </c>
      <c r="AC345" s="4">
        <v>89</v>
      </c>
      <c r="AD345" s="4">
        <v>64</v>
      </c>
      <c r="AE345" s="4">
        <v>170</v>
      </c>
      <c r="AF345" s="4">
        <v>76</v>
      </c>
      <c r="AG345" s="4">
        <v>95</v>
      </c>
      <c r="AH345" s="4">
        <v>100</v>
      </c>
      <c r="AI345" s="4">
        <v>114</v>
      </c>
      <c r="AJ345" s="4">
        <v>50</v>
      </c>
      <c r="AK345" t="s">
        <v>78</v>
      </c>
      <c r="AL345" t="s">
        <v>79</v>
      </c>
      <c r="AM345" t="s">
        <v>108</v>
      </c>
      <c r="AN345" t="s">
        <v>109</v>
      </c>
      <c r="AO345" t="s">
        <v>82</v>
      </c>
      <c r="AP345" t="s">
        <v>85</v>
      </c>
      <c r="AQ345" t="s">
        <v>85</v>
      </c>
      <c r="AR345" t="s">
        <v>85</v>
      </c>
      <c r="AS345" t="s">
        <v>102</v>
      </c>
      <c r="AT345" t="s">
        <v>85</v>
      </c>
      <c r="AU345" t="s">
        <v>85</v>
      </c>
      <c r="AV345" t="s">
        <v>85</v>
      </c>
      <c r="AW345" s="4">
        <v>2</v>
      </c>
      <c r="AX345" s="4">
        <v>1</v>
      </c>
      <c r="AY345" s="4">
        <v>1</v>
      </c>
      <c r="AZ345" s="3">
        <v>1.7</v>
      </c>
      <c r="BA345" s="3">
        <v>2.8899999999999997</v>
      </c>
      <c r="BB345" s="3">
        <v>22.145328719723185</v>
      </c>
      <c r="BC345" t="s">
        <v>85</v>
      </c>
      <c r="BD345" t="s">
        <v>86</v>
      </c>
      <c r="BE345" s="4">
        <v>2</v>
      </c>
      <c r="BF345" t="s">
        <v>87</v>
      </c>
      <c r="BG345" s="1" t="e">
        <v>#NULL!</v>
      </c>
      <c r="BH345" s="4">
        <v>0</v>
      </c>
      <c r="BI345" t="s">
        <v>85</v>
      </c>
      <c r="BJ345" s="4">
        <v>2</v>
      </c>
      <c r="BK345" t="s">
        <v>88</v>
      </c>
    </row>
    <row r="346" spans="1:63" x14ac:dyDescent="0.35">
      <c r="A346" s="4">
        <v>78</v>
      </c>
      <c r="B346" s="4">
        <v>50</v>
      </c>
      <c r="C346" t="s">
        <v>120</v>
      </c>
      <c r="D346" t="s">
        <v>89</v>
      </c>
      <c r="E346" t="s">
        <v>104</v>
      </c>
      <c r="F346" t="s">
        <v>115</v>
      </c>
      <c r="G346" t="s">
        <v>67</v>
      </c>
      <c r="H346" s="2">
        <v>500</v>
      </c>
      <c r="I346" t="s">
        <v>68</v>
      </c>
      <c r="J346" t="s">
        <v>69</v>
      </c>
      <c r="K346" t="s">
        <v>69</v>
      </c>
      <c r="L346" t="s">
        <v>69</v>
      </c>
      <c r="M346" s="4">
        <v>3</v>
      </c>
      <c r="N346" t="s">
        <v>91</v>
      </c>
      <c r="O346" s="4">
        <v>2</v>
      </c>
      <c r="P346" t="s">
        <v>71</v>
      </c>
      <c r="Q346" s="4">
        <v>0</v>
      </c>
      <c r="R346" t="s">
        <v>71</v>
      </c>
      <c r="S346" s="4">
        <v>0</v>
      </c>
      <c r="T346" t="s">
        <v>71</v>
      </c>
      <c r="U346" t="s">
        <v>92</v>
      </c>
      <c r="V346" t="s">
        <v>93</v>
      </c>
      <c r="W346" t="s">
        <v>93</v>
      </c>
      <c r="X346" t="s">
        <v>94</v>
      </c>
      <c r="Y346" t="s">
        <v>69</v>
      </c>
      <c r="Z346" s="4">
        <v>8</v>
      </c>
      <c r="AA346" t="s">
        <v>117</v>
      </c>
      <c r="AB346" s="4">
        <v>118</v>
      </c>
      <c r="AC346" s="4">
        <v>85</v>
      </c>
      <c r="AD346" s="4">
        <v>82</v>
      </c>
      <c r="AE346" s="4">
        <v>170</v>
      </c>
      <c r="AF346" s="4">
        <v>99</v>
      </c>
      <c r="AG346" s="4">
        <v>116</v>
      </c>
      <c r="AH346" s="4">
        <v>300</v>
      </c>
      <c r="AI346" s="4">
        <v>149</v>
      </c>
      <c r="AJ346" s="4">
        <v>40</v>
      </c>
      <c r="AK346" t="s">
        <v>78</v>
      </c>
      <c r="AL346" t="s">
        <v>95</v>
      </c>
      <c r="AM346" t="s">
        <v>108</v>
      </c>
      <c r="AN346" t="s">
        <v>81</v>
      </c>
      <c r="AO346" t="s">
        <v>82</v>
      </c>
      <c r="AP346" t="s">
        <v>83</v>
      </c>
      <c r="AQ346" t="s">
        <v>85</v>
      </c>
      <c r="AR346" t="s">
        <v>83</v>
      </c>
      <c r="AS346" t="s">
        <v>102</v>
      </c>
      <c r="AT346" t="s">
        <v>83</v>
      </c>
      <c r="AU346" t="s">
        <v>83</v>
      </c>
      <c r="AV346" t="s">
        <v>83</v>
      </c>
      <c r="AW346" s="4">
        <v>3</v>
      </c>
      <c r="AX346" s="4">
        <v>1</v>
      </c>
      <c r="AY346" s="4">
        <v>2</v>
      </c>
      <c r="AZ346" s="3">
        <v>1.7</v>
      </c>
      <c r="BA346" s="3">
        <v>2.8899999999999997</v>
      </c>
      <c r="BB346" s="3">
        <v>28.373702422145332</v>
      </c>
      <c r="BC346" t="s">
        <v>98</v>
      </c>
      <c r="BD346" t="s">
        <v>99</v>
      </c>
      <c r="BE346" s="4">
        <v>4</v>
      </c>
      <c r="BF346" t="s">
        <v>111</v>
      </c>
      <c r="BG346" s="1" t="e">
        <v>#NULL!</v>
      </c>
      <c r="BH346" s="4">
        <v>1</v>
      </c>
      <c r="BI346" t="s">
        <v>83</v>
      </c>
      <c r="BJ346" s="4">
        <v>4</v>
      </c>
      <c r="BK346" t="s">
        <v>112</v>
      </c>
    </row>
    <row r="347" spans="1:63" x14ac:dyDescent="0.35">
      <c r="A347" s="4">
        <v>90</v>
      </c>
      <c r="B347" s="4">
        <v>50</v>
      </c>
      <c r="C347" t="s">
        <v>120</v>
      </c>
      <c r="D347" t="s">
        <v>89</v>
      </c>
      <c r="E347" t="s">
        <v>104</v>
      </c>
      <c r="F347" t="s">
        <v>90</v>
      </c>
      <c r="G347" t="s">
        <v>67</v>
      </c>
      <c r="H347" s="2">
        <v>750</v>
      </c>
      <c r="I347" t="s">
        <v>105</v>
      </c>
      <c r="J347" t="s">
        <v>69</v>
      </c>
      <c r="K347" t="s">
        <v>69</v>
      </c>
      <c r="L347" t="s">
        <v>69</v>
      </c>
      <c r="M347" s="4">
        <v>3</v>
      </c>
      <c r="N347" t="s">
        <v>91</v>
      </c>
      <c r="O347" s="4">
        <v>2</v>
      </c>
      <c r="P347" t="s">
        <v>71</v>
      </c>
      <c r="Q347" s="4">
        <v>3</v>
      </c>
      <c r="R347" t="s">
        <v>91</v>
      </c>
      <c r="S347" s="4">
        <v>1</v>
      </c>
      <c r="T347" t="s">
        <v>71</v>
      </c>
      <c r="U347" t="s">
        <v>92</v>
      </c>
      <c r="V347" t="s">
        <v>93</v>
      </c>
      <c r="W347" t="s">
        <v>93</v>
      </c>
      <c r="X347" t="s">
        <v>94</v>
      </c>
      <c r="Y347" t="s">
        <v>69</v>
      </c>
      <c r="Z347" s="4">
        <v>5</v>
      </c>
      <c r="AA347" t="s">
        <v>77</v>
      </c>
      <c r="AB347" s="4">
        <v>110</v>
      </c>
      <c r="AC347" s="4">
        <v>77</v>
      </c>
      <c r="AD347" s="4">
        <v>70</v>
      </c>
      <c r="AE347" s="4">
        <v>164</v>
      </c>
      <c r="AF347" s="4">
        <v>81</v>
      </c>
      <c r="AG347" s="4">
        <v>108</v>
      </c>
      <c r="AH347" s="4">
        <v>113</v>
      </c>
      <c r="AI347" s="4">
        <v>126</v>
      </c>
      <c r="AJ347" s="4">
        <v>50</v>
      </c>
      <c r="AK347" t="s">
        <v>78</v>
      </c>
      <c r="AL347" t="s">
        <v>95</v>
      </c>
      <c r="AM347" t="s">
        <v>80</v>
      </c>
      <c r="AN347" t="s">
        <v>96</v>
      </c>
      <c r="AO347" t="s">
        <v>97</v>
      </c>
      <c r="AP347" t="s">
        <v>85</v>
      </c>
      <c r="AQ347" t="s">
        <v>85</v>
      </c>
      <c r="AR347" t="s">
        <v>85</v>
      </c>
      <c r="AS347" t="s">
        <v>102</v>
      </c>
      <c r="AT347" t="s">
        <v>85</v>
      </c>
      <c r="AU347" t="s">
        <v>83</v>
      </c>
      <c r="AV347" t="s">
        <v>83</v>
      </c>
      <c r="AW347" s="4">
        <v>1</v>
      </c>
      <c r="AX347" s="4">
        <v>0</v>
      </c>
      <c r="AY347" s="4">
        <v>1</v>
      </c>
      <c r="AZ347" s="3">
        <v>1.64</v>
      </c>
      <c r="BA347" s="3">
        <v>2.6895999999999995</v>
      </c>
      <c r="BB347" s="3">
        <v>26.026174895895306</v>
      </c>
      <c r="BC347" t="s">
        <v>98</v>
      </c>
      <c r="BD347" t="s">
        <v>99</v>
      </c>
      <c r="BE347" s="4">
        <v>2</v>
      </c>
      <c r="BF347" t="s">
        <v>87</v>
      </c>
      <c r="BG347" s="1" t="e">
        <v>#NULL!</v>
      </c>
      <c r="BH347" s="4">
        <v>0</v>
      </c>
      <c r="BI347" t="s">
        <v>85</v>
      </c>
      <c r="BJ347" s="4">
        <v>1</v>
      </c>
      <c r="BK347" t="s">
        <v>88</v>
      </c>
    </row>
    <row r="348" spans="1:63" x14ac:dyDescent="0.35">
      <c r="A348" s="4">
        <v>92</v>
      </c>
      <c r="B348" s="4">
        <v>50</v>
      </c>
      <c r="C348" t="s">
        <v>120</v>
      </c>
      <c r="D348" t="s">
        <v>89</v>
      </c>
      <c r="E348" t="s">
        <v>104</v>
      </c>
      <c r="F348" t="s">
        <v>66</v>
      </c>
      <c r="G348" t="s">
        <v>67</v>
      </c>
      <c r="H348" s="2">
        <v>300</v>
      </c>
      <c r="I348" t="s">
        <v>68</v>
      </c>
      <c r="J348" t="s">
        <v>69</v>
      </c>
      <c r="K348" t="s">
        <v>69</v>
      </c>
      <c r="L348" t="s">
        <v>69</v>
      </c>
      <c r="M348" s="4">
        <v>2</v>
      </c>
      <c r="N348" t="s">
        <v>71</v>
      </c>
      <c r="O348" s="4">
        <v>2</v>
      </c>
      <c r="P348" t="s">
        <v>71</v>
      </c>
      <c r="Q348" s="4">
        <v>0</v>
      </c>
      <c r="R348" t="s">
        <v>71</v>
      </c>
      <c r="S348" s="4">
        <v>0</v>
      </c>
      <c r="T348" t="s">
        <v>71</v>
      </c>
      <c r="U348" t="s">
        <v>92</v>
      </c>
      <c r="V348" t="s">
        <v>93</v>
      </c>
      <c r="W348" t="s">
        <v>93</v>
      </c>
      <c r="X348" t="s">
        <v>94</v>
      </c>
      <c r="Y348" t="s">
        <v>69</v>
      </c>
      <c r="Z348" s="4">
        <v>5</v>
      </c>
      <c r="AA348" t="s">
        <v>77</v>
      </c>
      <c r="AB348" s="4">
        <v>122</v>
      </c>
      <c r="AC348" s="4">
        <v>80</v>
      </c>
      <c r="AD348" s="4">
        <v>78</v>
      </c>
      <c r="AE348" s="4">
        <v>172</v>
      </c>
      <c r="AF348" s="4">
        <v>90</v>
      </c>
      <c r="AG348" s="4">
        <v>110</v>
      </c>
      <c r="AH348" s="4">
        <v>252</v>
      </c>
      <c r="AI348" s="4">
        <v>92</v>
      </c>
      <c r="AJ348" s="4">
        <v>54</v>
      </c>
      <c r="AK348" t="s">
        <v>78</v>
      </c>
      <c r="AL348" t="s">
        <v>95</v>
      </c>
      <c r="AM348" t="s">
        <v>80</v>
      </c>
      <c r="AN348" t="s">
        <v>96</v>
      </c>
      <c r="AO348" t="s">
        <v>97</v>
      </c>
      <c r="AP348" t="s">
        <v>85</v>
      </c>
      <c r="AQ348" t="s">
        <v>85</v>
      </c>
      <c r="AR348" t="s">
        <v>85</v>
      </c>
      <c r="AS348" t="s">
        <v>102</v>
      </c>
      <c r="AT348" t="s">
        <v>85</v>
      </c>
      <c r="AU348" t="s">
        <v>83</v>
      </c>
      <c r="AV348" t="s">
        <v>83</v>
      </c>
      <c r="AW348" s="4">
        <v>1</v>
      </c>
      <c r="AX348" s="4">
        <v>0</v>
      </c>
      <c r="AY348" s="4">
        <v>1</v>
      </c>
      <c r="AZ348" s="3">
        <v>1.72</v>
      </c>
      <c r="BA348" s="3">
        <v>2.9583999999999997</v>
      </c>
      <c r="BB348" s="3">
        <v>26.365603028664147</v>
      </c>
      <c r="BC348" t="s">
        <v>98</v>
      </c>
      <c r="BD348" t="s">
        <v>99</v>
      </c>
      <c r="BE348" s="4">
        <v>2</v>
      </c>
      <c r="BF348" t="s">
        <v>87</v>
      </c>
      <c r="BG348" s="1" t="e">
        <v>#NULL!</v>
      </c>
      <c r="BH348" s="4">
        <v>1</v>
      </c>
      <c r="BI348" t="s">
        <v>83</v>
      </c>
      <c r="BJ348" s="4">
        <v>2</v>
      </c>
      <c r="BK348" t="s">
        <v>88</v>
      </c>
    </row>
    <row r="349" spans="1:63" x14ac:dyDescent="0.35">
      <c r="A349" s="4">
        <v>94</v>
      </c>
      <c r="B349" s="4">
        <v>50</v>
      </c>
      <c r="C349" t="s">
        <v>120</v>
      </c>
      <c r="D349" t="s">
        <v>89</v>
      </c>
      <c r="E349" t="s">
        <v>104</v>
      </c>
      <c r="F349" t="s">
        <v>90</v>
      </c>
      <c r="G349" t="s">
        <v>67</v>
      </c>
      <c r="H349" s="2">
        <v>800</v>
      </c>
      <c r="I349" t="s">
        <v>105</v>
      </c>
      <c r="J349" t="s">
        <v>69</v>
      </c>
      <c r="K349" t="s">
        <v>69</v>
      </c>
      <c r="L349" t="s">
        <v>69</v>
      </c>
      <c r="M349" s="4">
        <v>3</v>
      </c>
      <c r="N349" t="s">
        <v>91</v>
      </c>
      <c r="O349" s="4">
        <v>3</v>
      </c>
      <c r="P349" t="s">
        <v>91</v>
      </c>
      <c r="Q349" s="4">
        <v>3</v>
      </c>
      <c r="R349" t="s">
        <v>91</v>
      </c>
      <c r="S349" s="4">
        <v>1</v>
      </c>
      <c r="T349" t="s">
        <v>71</v>
      </c>
      <c r="U349" t="s">
        <v>73</v>
      </c>
      <c r="V349" t="s">
        <v>93</v>
      </c>
      <c r="W349" t="s">
        <v>93</v>
      </c>
      <c r="X349" t="s">
        <v>94</v>
      </c>
      <c r="Y349" t="s">
        <v>69</v>
      </c>
      <c r="Z349" s="4">
        <v>1</v>
      </c>
      <c r="AA349" t="s">
        <v>77</v>
      </c>
      <c r="AB349" s="4">
        <v>159</v>
      </c>
      <c r="AC349" s="4">
        <v>89</v>
      </c>
      <c r="AD349" s="4">
        <v>45</v>
      </c>
      <c r="AE349" s="4">
        <v>167</v>
      </c>
      <c r="AF349" s="4">
        <v>76</v>
      </c>
      <c r="AG349" s="4">
        <v>84</v>
      </c>
      <c r="AH349" s="4">
        <v>96</v>
      </c>
      <c r="AI349" s="4">
        <v>93</v>
      </c>
      <c r="AJ349" s="4">
        <v>51</v>
      </c>
      <c r="AK349" t="s">
        <v>78</v>
      </c>
      <c r="AL349" t="s">
        <v>79</v>
      </c>
      <c r="AM349" t="s">
        <v>108</v>
      </c>
      <c r="AN349" t="s">
        <v>109</v>
      </c>
      <c r="AO349" t="s">
        <v>82</v>
      </c>
      <c r="AP349" t="s">
        <v>85</v>
      </c>
      <c r="AQ349" t="s">
        <v>85</v>
      </c>
      <c r="AR349" t="s">
        <v>85</v>
      </c>
      <c r="AS349" t="s">
        <v>84</v>
      </c>
      <c r="AT349" t="s">
        <v>85</v>
      </c>
      <c r="AU349" t="s">
        <v>85</v>
      </c>
      <c r="AV349" t="s">
        <v>85</v>
      </c>
      <c r="AW349" s="4">
        <v>1</v>
      </c>
      <c r="AX349" s="4">
        <v>0</v>
      </c>
      <c r="AY349" s="4">
        <v>0</v>
      </c>
      <c r="AZ349" s="3">
        <v>1.67</v>
      </c>
      <c r="BA349" s="3">
        <v>2.7888999999999999</v>
      </c>
      <c r="BB349" s="3">
        <v>16.135393882892899</v>
      </c>
      <c r="BC349" t="s">
        <v>100</v>
      </c>
      <c r="BD349" t="s">
        <v>86</v>
      </c>
      <c r="BE349" s="4">
        <v>1</v>
      </c>
      <c r="BF349" t="s">
        <v>87</v>
      </c>
      <c r="BG349" s="1" t="e">
        <v>#NULL!</v>
      </c>
      <c r="BH349" s="4">
        <v>0</v>
      </c>
      <c r="BI349" t="s">
        <v>85</v>
      </c>
      <c r="BJ349" s="4">
        <v>1</v>
      </c>
      <c r="BK349" t="s">
        <v>88</v>
      </c>
    </row>
    <row r="350" spans="1:63" x14ac:dyDescent="0.35">
      <c r="A350" s="4">
        <v>118</v>
      </c>
      <c r="B350" s="4">
        <v>50</v>
      </c>
      <c r="C350" t="s">
        <v>120</v>
      </c>
      <c r="D350" t="s">
        <v>89</v>
      </c>
      <c r="E350" t="s">
        <v>104</v>
      </c>
      <c r="F350" t="s">
        <v>66</v>
      </c>
      <c r="G350" t="s">
        <v>67</v>
      </c>
      <c r="H350" s="2">
        <v>700</v>
      </c>
      <c r="I350" t="s">
        <v>105</v>
      </c>
      <c r="J350" t="s">
        <v>69</v>
      </c>
      <c r="K350" t="s">
        <v>69</v>
      </c>
      <c r="L350" t="s">
        <v>69</v>
      </c>
      <c r="M350" s="4">
        <v>1</v>
      </c>
      <c r="N350" t="s">
        <v>71</v>
      </c>
      <c r="O350" s="4">
        <v>3</v>
      </c>
      <c r="P350" t="s">
        <v>91</v>
      </c>
      <c r="Q350" s="4">
        <v>1</v>
      </c>
      <c r="R350" t="s">
        <v>71</v>
      </c>
      <c r="S350" s="4">
        <v>3</v>
      </c>
      <c r="T350" t="s">
        <v>91</v>
      </c>
      <c r="U350" t="s">
        <v>103</v>
      </c>
      <c r="V350" t="s">
        <v>93</v>
      </c>
      <c r="W350" t="s">
        <v>93</v>
      </c>
      <c r="X350" t="s">
        <v>94</v>
      </c>
      <c r="Y350" t="s">
        <v>69</v>
      </c>
      <c r="Z350" s="4">
        <v>4</v>
      </c>
      <c r="AA350" t="s">
        <v>77</v>
      </c>
      <c r="AB350" s="4">
        <v>179</v>
      </c>
      <c r="AC350" s="4">
        <v>88</v>
      </c>
      <c r="AD350" s="4">
        <v>56</v>
      </c>
      <c r="AE350" s="4">
        <v>153</v>
      </c>
      <c r="AF350" s="4">
        <v>90</v>
      </c>
      <c r="AG350" s="4">
        <v>106</v>
      </c>
      <c r="AH350" s="4">
        <v>159</v>
      </c>
      <c r="AI350" s="4">
        <v>102</v>
      </c>
      <c r="AJ350" s="4">
        <v>51</v>
      </c>
      <c r="AK350" t="s">
        <v>78</v>
      </c>
      <c r="AL350" t="s">
        <v>79</v>
      </c>
      <c r="AM350" t="s">
        <v>108</v>
      </c>
      <c r="AN350" t="s">
        <v>109</v>
      </c>
      <c r="AO350" t="s">
        <v>82</v>
      </c>
      <c r="AP350" t="s">
        <v>85</v>
      </c>
      <c r="AQ350" t="s">
        <v>85</v>
      </c>
      <c r="AR350" t="s">
        <v>85</v>
      </c>
      <c r="AS350" t="s">
        <v>102</v>
      </c>
      <c r="AT350" t="s">
        <v>85</v>
      </c>
      <c r="AU350" t="s">
        <v>83</v>
      </c>
      <c r="AV350" t="s">
        <v>83</v>
      </c>
      <c r="AW350" s="4">
        <v>2</v>
      </c>
      <c r="AX350" s="4">
        <v>1</v>
      </c>
      <c r="AY350" s="4">
        <v>2</v>
      </c>
      <c r="AZ350" s="3">
        <v>1.53</v>
      </c>
      <c r="BA350" s="3">
        <v>2.3409</v>
      </c>
      <c r="BB350" s="3">
        <v>23.92242299970097</v>
      </c>
      <c r="BC350" t="s">
        <v>85</v>
      </c>
      <c r="BD350" t="s">
        <v>86</v>
      </c>
      <c r="BE350" s="4">
        <v>3</v>
      </c>
      <c r="BF350" t="s">
        <v>111</v>
      </c>
      <c r="BG350" s="1" t="e">
        <v>#NULL!</v>
      </c>
      <c r="BH350" s="4">
        <v>1</v>
      </c>
      <c r="BI350" t="s">
        <v>83</v>
      </c>
      <c r="BJ350" s="4">
        <v>3</v>
      </c>
      <c r="BK350" t="s">
        <v>112</v>
      </c>
    </row>
    <row r="351" spans="1:63" x14ac:dyDescent="0.35">
      <c r="A351" s="4">
        <v>126</v>
      </c>
      <c r="B351" s="4">
        <v>50</v>
      </c>
      <c r="C351" t="s">
        <v>120</v>
      </c>
      <c r="D351" t="s">
        <v>89</v>
      </c>
      <c r="E351" t="s">
        <v>104</v>
      </c>
      <c r="F351" t="s">
        <v>66</v>
      </c>
      <c r="G351" t="s">
        <v>67</v>
      </c>
      <c r="H351" s="2">
        <v>700</v>
      </c>
      <c r="I351" t="s">
        <v>105</v>
      </c>
      <c r="J351" t="s">
        <v>69</v>
      </c>
      <c r="K351" t="s">
        <v>69</v>
      </c>
      <c r="L351" t="s">
        <v>69</v>
      </c>
      <c r="M351" s="4">
        <v>4</v>
      </c>
      <c r="N351" t="s">
        <v>91</v>
      </c>
      <c r="O351" s="4">
        <v>5</v>
      </c>
      <c r="P351" t="s">
        <v>72</v>
      </c>
      <c r="Q351" s="4">
        <v>4</v>
      </c>
      <c r="R351" t="s">
        <v>91</v>
      </c>
      <c r="S351" s="4">
        <v>7</v>
      </c>
      <c r="T351" t="s">
        <v>72</v>
      </c>
      <c r="U351" t="s">
        <v>73</v>
      </c>
      <c r="V351" t="s">
        <v>93</v>
      </c>
      <c r="W351" t="s">
        <v>93</v>
      </c>
      <c r="X351" t="s">
        <v>94</v>
      </c>
      <c r="Y351" t="s">
        <v>69</v>
      </c>
      <c r="Z351" s="4">
        <v>5</v>
      </c>
      <c r="AA351" t="s">
        <v>77</v>
      </c>
      <c r="AB351" s="4">
        <v>142</v>
      </c>
      <c r="AC351" s="4">
        <v>67</v>
      </c>
      <c r="AD351" s="4">
        <v>70</v>
      </c>
      <c r="AE351" s="4">
        <v>172</v>
      </c>
      <c r="AF351" s="4">
        <v>99</v>
      </c>
      <c r="AG351" s="4">
        <v>99</v>
      </c>
      <c r="AH351" s="4">
        <v>158</v>
      </c>
      <c r="AI351" s="4">
        <v>48</v>
      </c>
      <c r="AJ351" s="4">
        <v>22</v>
      </c>
      <c r="AK351" t="s">
        <v>78</v>
      </c>
      <c r="AL351" t="s">
        <v>79</v>
      </c>
      <c r="AM351" t="s">
        <v>80</v>
      </c>
      <c r="AN351" t="s">
        <v>81</v>
      </c>
      <c r="AO351" t="s">
        <v>82</v>
      </c>
      <c r="AP351" t="s">
        <v>83</v>
      </c>
      <c r="AQ351" t="s">
        <v>83</v>
      </c>
      <c r="AR351" t="s">
        <v>83</v>
      </c>
      <c r="AS351" t="s">
        <v>102</v>
      </c>
      <c r="AT351" t="s">
        <v>83</v>
      </c>
      <c r="AU351" t="s">
        <v>83</v>
      </c>
      <c r="AV351" t="s">
        <v>83</v>
      </c>
      <c r="AW351" s="4">
        <v>3</v>
      </c>
      <c r="AX351" s="4">
        <v>1</v>
      </c>
      <c r="AY351" s="4">
        <v>2</v>
      </c>
      <c r="AZ351" s="3">
        <v>1.72</v>
      </c>
      <c r="BA351" s="3">
        <v>2.9583999999999997</v>
      </c>
      <c r="BB351" s="3">
        <v>23.661438615467823</v>
      </c>
      <c r="BC351" t="s">
        <v>85</v>
      </c>
      <c r="BD351" t="s">
        <v>86</v>
      </c>
      <c r="BE351" s="4">
        <v>4</v>
      </c>
      <c r="BF351" t="s">
        <v>111</v>
      </c>
      <c r="BG351" s="1" t="e">
        <v>#NULL!</v>
      </c>
      <c r="BH351" s="4">
        <v>1</v>
      </c>
      <c r="BI351" t="s">
        <v>83</v>
      </c>
      <c r="BJ351" s="4">
        <v>4</v>
      </c>
      <c r="BK351" t="s">
        <v>112</v>
      </c>
    </row>
    <row r="352" spans="1:63" x14ac:dyDescent="0.35">
      <c r="A352" s="4">
        <v>152</v>
      </c>
      <c r="B352" s="4">
        <v>50</v>
      </c>
      <c r="C352" t="s">
        <v>120</v>
      </c>
      <c r="D352" t="s">
        <v>89</v>
      </c>
      <c r="E352" t="s">
        <v>104</v>
      </c>
      <c r="F352" t="s">
        <v>66</v>
      </c>
      <c r="G352" t="s">
        <v>67</v>
      </c>
      <c r="H352" s="2">
        <v>230</v>
      </c>
      <c r="I352" t="s">
        <v>68</v>
      </c>
      <c r="J352" t="s">
        <v>69</v>
      </c>
      <c r="K352" t="s">
        <v>69</v>
      </c>
      <c r="L352" t="s">
        <v>69</v>
      </c>
      <c r="M352" s="4">
        <v>1</v>
      </c>
      <c r="N352" t="s">
        <v>71</v>
      </c>
      <c r="O352" s="4">
        <v>2</v>
      </c>
      <c r="P352" t="s">
        <v>71</v>
      </c>
      <c r="Q352" s="4">
        <v>1</v>
      </c>
      <c r="R352" t="s">
        <v>71</v>
      </c>
      <c r="S352" s="4">
        <v>3</v>
      </c>
      <c r="T352" t="s">
        <v>91</v>
      </c>
      <c r="U352" t="s">
        <v>92</v>
      </c>
      <c r="V352" t="s">
        <v>93</v>
      </c>
      <c r="W352" t="s">
        <v>93</v>
      </c>
      <c r="X352" t="s">
        <v>94</v>
      </c>
      <c r="Y352" t="s">
        <v>69</v>
      </c>
      <c r="Z352" s="4">
        <v>6</v>
      </c>
      <c r="AA352" t="s">
        <v>77</v>
      </c>
      <c r="AB352" s="4">
        <v>147</v>
      </c>
      <c r="AC352" s="4">
        <v>79</v>
      </c>
      <c r="AD352" s="4">
        <v>42</v>
      </c>
      <c r="AE352" s="4">
        <v>150</v>
      </c>
      <c r="AF352" s="4">
        <v>88</v>
      </c>
      <c r="AG352" s="4">
        <v>86</v>
      </c>
      <c r="AH352" s="4">
        <v>175</v>
      </c>
      <c r="AI352" s="4">
        <v>312</v>
      </c>
      <c r="AJ352" s="4">
        <v>40</v>
      </c>
      <c r="AK352" t="s">
        <v>107</v>
      </c>
      <c r="AL352" t="s">
        <v>79</v>
      </c>
      <c r="AM352" t="s">
        <v>80</v>
      </c>
      <c r="AN352" t="s">
        <v>81</v>
      </c>
      <c r="AO352" t="s">
        <v>82</v>
      </c>
      <c r="AP352" t="s">
        <v>83</v>
      </c>
      <c r="AQ352" t="s">
        <v>85</v>
      </c>
      <c r="AR352" t="s">
        <v>83</v>
      </c>
      <c r="AS352" t="s">
        <v>102</v>
      </c>
      <c r="AT352" t="s">
        <v>85</v>
      </c>
      <c r="AU352" t="s">
        <v>83</v>
      </c>
      <c r="AV352" t="s">
        <v>83</v>
      </c>
      <c r="AW352" s="4">
        <v>4</v>
      </c>
      <c r="AX352" s="4">
        <v>1</v>
      </c>
      <c r="AY352" s="4">
        <v>2</v>
      </c>
      <c r="AZ352" s="3">
        <v>1.5</v>
      </c>
      <c r="BA352" s="3">
        <v>2.25</v>
      </c>
      <c r="BB352" s="3">
        <v>18.666666666666668</v>
      </c>
      <c r="BC352" t="s">
        <v>85</v>
      </c>
      <c r="BD352" t="s">
        <v>86</v>
      </c>
      <c r="BE352" s="4">
        <v>5</v>
      </c>
      <c r="BF352" t="s">
        <v>111</v>
      </c>
      <c r="BG352" s="1" t="e">
        <v>#NULL!</v>
      </c>
      <c r="BH352" s="4">
        <v>1</v>
      </c>
      <c r="BI352" t="s">
        <v>83</v>
      </c>
      <c r="BJ352" s="4">
        <v>5</v>
      </c>
      <c r="BK352" t="s">
        <v>112</v>
      </c>
    </row>
    <row r="353" spans="1:63" x14ac:dyDescent="0.35">
      <c r="A353" s="4">
        <v>159</v>
      </c>
      <c r="B353" s="4">
        <v>50</v>
      </c>
      <c r="C353" t="s">
        <v>120</v>
      </c>
      <c r="D353" t="s">
        <v>89</v>
      </c>
      <c r="E353" t="s">
        <v>104</v>
      </c>
      <c r="F353" t="s">
        <v>66</v>
      </c>
      <c r="G353" t="s">
        <v>67</v>
      </c>
      <c r="H353" s="2">
        <v>450</v>
      </c>
      <c r="I353" t="s">
        <v>68</v>
      </c>
      <c r="J353" t="s">
        <v>69</v>
      </c>
      <c r="K353" t="s">
        <v>69</v>
      </c>
      <c r="L353" t="s">
        <v>69</v>
      </c>
      <c r="M353" s="4">
        <v>1</v>
      </c>
      <c r="N353" t="s">
        <v>71</v>
      </c>
      <c r="O353" s="4">
        <v>3</v>
      </c>
      <c r="P353" t="s">
        <v>91</v>
      </c>
      <c r="Q353" s="4">
        <v>4</v>
      </c>
      <c r="R353" t="s">
        <v>91</v>
      </c>
      <c r="S353" s="4">
        <v>4</v>
      </c>
      <c r="T353" t="s">
        <v>91</v>
      </c>
      <c r="U353" t="s">
        <v>92</v>
      </c>
      <c r="V353" t="s">
        <v>93</v>
      </c>
      <c r="W353" t="s">
        <v>93</v>
      </c>
      <c r="X353" t="s">
        <v>94</v>
      </c>
      <c r="Y353" t="s">
        <v>69</v>
      </c>
      <c r="Z353" s="4">
        <v>4</v>
      </c>
      <c r="AA353" t="s">
        <v>77</v>
      </c>
      <c r="AB353" s="4">
        <v>162</v>
      </c>
      <c r="AC353" s="4">
        <v>105</v>
      </c>
      <c r="AD353" s="4">
        <v>70</v>
      </c>
      <c r="AE353" s="4">
        <v>170</v>
      </c>
      <c r="AF353" s="4">
        <v>100</v>
      </c>
      <c r="AG353" s="4">
        <v>109</v>
      </c>
      <c r="AH353" s="4">
        <v>78</v>
      </c>
      <c r="AI353" s="4">
        <v>77</v>
      </c>
      <c r="AJ353" s="4">
        <v>53</v>
      </c>
      <c r="AK353" t="s">
        <v>78</v>
      </c>
      <c r="AL353" t="s">
        <v>79</v>
      </c>
      <c r="AM353" t="s">
        <v>108</v>
      </c>
      <c r="AN353" t="s">
        <v>109</v>
      </c>
      <c r="AO353" t="s">
        <v>82</v>
      </c>
      <c r="AP353" t="s">
        <v>85</v>
      </c>
      <c r="AQ353" t="s">
        <v>85</v>
      </c>
      <c r="AR353" t="s">
        <v>85</v>
      </c>
      <c r="AS353" t="s">
        <v>84</v>
      </c>
      <c r="AT353" t="s">
        <v>83</v>
      </c>
      <c r="AU353" t="s">
        <v>83</v>
      </c>
      <c r="AV353" t="s">
        <v>83</v>
      </c>
      <c r="AW353" s="4">
        <v>1</v>
      </c>
      <c r="AX353" s="4">
        <v>0</v>
      </c>
      <c r="AY353" s="4">
        <v>1</v>
      </c>
      <c r="AZ353" s="3">
        <v>1.7</v>
      </c>
      <c r="BA353" s="3">
        <v>2.8899999999999997</v>
      </c>
      <c r="BB353" s="3">
        <v>24.221453287197235</v>
      </c>
      <c r="BC353" t="s">
        <v>85</v>
      </c>
      <c r="BD353" t="s">
        <v>86</v>
      </c>
      <c r="BE353" s="4">
        <v>2</v>
      </c>
      <c r="BF353" t="s">
        <v>87</v>
      </c>
      <c r="BG353" s="1" t="e">
        <v>#NULL!</v>
      </c>
      <c r="BH353" s="4">
        <v>1</v>
      </c>
      <c r="BI353" t="s">
        <v>83</v>
      </c>
      <c r="BJ353" s="4">
        <v>2</v>
      </c>
      <c r="BK353" t="s">
        <v>88</v>
      </c>
    </row>
    <row r="354" spans="1:63" x14ac:dyDescent="0.35">
      <c r="A354" s="4">
        <v>163</v>
      </c>
      <c r="B354" s="4">
        <v>50</v>
      </c>
      <c r="C354" t="s">
        <v>120</v>
      </c>
      <c r="D354" t="s">
        <v>89</v>
      </c>
      <c r="E354" t="s">
        <v>104</v>
      </c>
      <c r="F354" t="s">
        <v>115</v>
      </c>
      <c r="G354" t="s">
        <v>67</v>
      </c>
      <c r="H354" s="2">
        <v>100</v>
      </c>
      <c r="I354" t="s">
        <v>68</v>
      </c>
      <c r="J354" t="s">
        <v>69</v>
      </c>
      <c r="K354" t="s">
        <v>69</v>
      </c>
      <c r="L354" t="s">
        <v>69</v>
      </c>
      <c r="M354" s="4">
        <v>1</v>
      </c>
      <c r="N354" t="s">
        <v>71</v>
      </c>
      <c r="O354" s="4">
        <v>3</v>
      </c>
      <c r="P354" t="s">
        <v>91</v>
      </c>
      <c r="Q354" s="4">
        <v>1</v>
      </c>
      <c r="R354" t="s">
        <v>71</v>
      </c>
      <c r="S354" s="4">
        <v>2</v>
      </c>
      <c r="T354" t="s">
        <v>71</v>
      </c>
      <c r="U354" t="s">
        <v>73</v>
      </c>
      <c r="V354" t="s">
        <v>93</v>
      </c>
      <c r="W354" t="s">
        <v>93</v>
      </c>
      <c r="X354" t="s">
        <v>94</v>
      </c>
      <c r="Y354" t="s">
        <v>69</v>
      </c>
      <c r="Z354" s="4">
        <v>4</v>
      </c>
      <c r="AA354" t="s">
        <v>77</v>
      </c>
      <c r="AB354" s="4">
        <v>155</v>
      </c>
      <c r="AC354" s="4">
        <v>99</v>
      </c>
      <c r="AD354" s="4">
        <v>76</v>
      </c>
      <c r="AE354" s="4">
        <v>163</v>
      </c>
      <c r="AF354" s="4">
        <v>98</v>
      </c>
      <c r="AG354" s="4">
        <v>111</v>
      </c>
      <c r="AH354" s="4">
        <v>97</v>
      </c>
      <c r="AI354" s="4">
        <v>181</v>
      </c>
      <c r="AJ354" s="4">
        <v>66</v>
      </c>
      <c r="AK354" t="s">
        <v>107</v>
      </c>
      <c r="AL354" t="s">
        <v>79</v>
      </c>
      <c r="AM354" t="s">
        <v>108</v>
      </c>
      <c r="AN354" t="s">
        <v>109</v>
      </c>
      <c r="AO354" t="s">
        <v>82</v>
      </c>
      <c r="AP354" t="s">
        <v>85</v>
      </c>
      <c r="AQ354" t="s">
        <v>85</v>
      </c>
      <c r="AR354" t="s">
        <v>85</v>
      </c>
      <c r="AS354" t="s">
        <v>84</v>
      </c>
      <c r="AT354" t="s">
        <v>83</v>
      </c>
      <c r="AU354" t="s">
        <v>83</v>
      </c>
      <c r="AV354" t="s">
        <v>83</v>
      </c>
      <c r="AW354" s="4">
        <v>2</v>
      </c>
      <c r="AX354" s="4">
        <v>1</v>
      </c>
      <c r="AY354" s="4">
        <v>2</v>
      </c>
      <c r="AZ354" s="3">
        <v>1.63</v>
      </c>
      <c r="BA354" s="3">
        <v>2.6568999999999998</v>
      </c>
      <c r="BB354" s="3">
        <v>28.604764951635367</v>
      </c>
      <c r="BC354" t="s">
        <v>98</v>
      </c>
      <c r="BD354" t="s">
        <v>99</v>
      </c>
      <c r="BE354" s="4">
        <v>3</v>
      </c>
      <c r="BF354" t="s">
        <v>111</v>
      </c>
      <c r="BG354" s="1" t="e">
        <v>#NULL!</v>
      </c>
      <c r="BH354" s="4">
        <v>1</v>
      </c>
      <c r="BI354" t="s">
        <v>83</v>
      </c>
      <c r="BJ354" s="4">
        <v>3</v>
      </c>
      <c r="BK354" t="s">
        <v>112</v>
      </c>
    </row>
    <row r="355" spans="1:63" x14ac:dyDescent="0.35">
      <c r="A355" s="4">
        <v>366</v>
      </c>
      <c r="B355" s="4">
        <v>50</v>
      </c>
      <c r="C355" t="s">
        <v>120</v>
      </c>
      <c r="D355" t="s">
        <v>89</v>
      </c>
      <c r="E355" t="s">
        <v>104</v>
      </c>
      <c r="F355" t="s">
        <v>101</v>
      </c>
      <c r="G355" t="s">
        <v>67</v>
      </c>
      <c r="H355" s="2">
        <v>400</v>
      </c>
      <c r="I355" t="s">
        <v>68</v>
      </c>
      <c r="J355" t="s">
        <v>69</v>
      </c>
      <c r="K355" t="s">
        <v>69</v>
      </c>
      <c r="L355" t="s">
        <v>69</v>
      </c>
      <c r="M355" s="4">
        <v>4</v>
      </c>
      <c r="N355" t="s">
        <v>91</v>
      </c>
      <c r="O355" s="4">
        <v>5</v>
      </c>
      <c r="P355" t="s">
        <v>72</v>
      </c>
      <c r="Q355" s="4">
        <v>5</v>
      </c>
      <c r="R355" t="s">
        <v>72</v>
      </c>
      <c r="S355" s="4">
        <v>6</v>
      </c>
      <c r="T355" t="s">
        <v>72</v>
      </c>
      <c r="U355" t="s">
        <v>92</v>
      </c>
      <c r="V355" t="s">
        <v>93</v>
      </c>
      <c r="W355" t="s">
        <v>93</v>
      </c>
      <c r="X355" t="s">
        <v>94</v>
      </c>
      <c r="Y355" t="s">
        <v>69</v>
      </c>
      <c r="Z355" s="4">
        <v>3</v>
      </c>
      <c r="AA355" t="s">
        <v>77</v>
      </c>
      <c r="AB355" s="4">
        <v>103</v>
      </c>
      <c r="AC355" s="4">
        <v>55</v>
      </c>
      <c r="AD355" s="4">
        <v>95</v>
      </c>
      <c r="AE355" s="4">
        <v>179</v>
      </c>
      <c r="AF355" s="4">
        <v>96</v>
      </c>
      <c r="AG355" s="4">
        <v>112</v>
      </c>
      <c r="AH355" s="4">
        <v>115</v>
      </c>
      <c r="AI355" s="4">
        <v>52</v>
      </c>
      <c r="AJ355" s="4">
        <v>50</v>
      </c>
      <c r="AK355" t="s">
        <v>78</v>
      </c>
      <c r="AL355" t="s">
        <v>95</v>
      </c>
      <c r="AM355" t="s">
        <v>80</v>
      </c>
      <c r="AN355" t="s">
        <v>96</v>
      </c>
      <c r="AO355" t="s">
        <v>97</v>
      </c>
      <c r="AP355" t="s">
        <v>85</v>
      </c>
      <c r="AQ355" t="s">
        <v>85</v>
      </c>
      <c r="AR355" t="s">
        <v>85</v>
      </c>
      <c r="AS355" t="s">
        <v>102</v>
      </c>
      <c r="AT355" t="s">
        <v>83</v>
      </c>
      <c r="AU355" t="s">
        <v>83</v>
      </c>
      <c r="AV355" t="s">
        <v>83</v>
      </c>
      <c r="AW355" s="4">
        <v>1</v>
      </c>
      <c r="AX355" s="4">
        <v>0</v>
      </c>
      <c r="AY355" s="4">
        <v>1</v>
      </c>
      <c r="AZ355" s="3">
        <v>1.79</v>
      </c>
      <c r="BA355" s="3">
        <v>3.2040999999999999</v>
      </c>
      <c r="BB355" s="3">
        <v>29.64951156330951</v>
      </c>
      <c r="BC355" t="s">
        <v>98</v>
      </c>
      <c r="BD355" t="s">
        <v>99</v>
      </c>
      <c r="BE355" s="4">
        <v>2</v>
      </c>
      <c r="BF355" t="s">
        <v>87</v>
      </c>
      <c r="BG355" s="1" t="e">
        <v>#NULL!</v>
      </c>
      <c r="BH355" s="4">
        <v>1</v>
      </c>
      <c r="BI355" t="s">
        <v>83</v>
      </c>
      <c r="BJ355" s="4">
        <v>2</v>
      </c>
      <c r="BK355" t="s">
        <v>88</v>
      </c>
    </row>
    <row r="356" spans="1:63" x14ac:dyDescent="0.35">
      <c r="A356" s="4">
        <v>407</v>
      </c>
      <c r="B356" s="4">
        <v>50</v>
      </c>
      <c r="C356" t="s">
        <v>120</v>
      </c>
      <c r="D356" t="s">
        <v>64</v>
      </c>
      <c r="E356" t="s">
        <v>104</v>
      </c>
      <c r="F356" t="s">
        <v>66</v>
      </c>
      <c r="G356" t="s">
        <v>67</v>
      </c>
      <c r="H356" s="2">
        <v>750</v>
      </c>
      <c r="I356" t="s">
        <v>105</v>
      </c>
      <c r="J356" t="s">
        <v>70</v>
      </c>
      <c r="K356" t="s">
        <v>69</v>
      </c>
      <c r="L356" t="s">
        <v>69</v>
      </c>
      <c r="M356" s="4">
        <v>2</v>
      </c>
      <c r="N356" t="s">
        <v>71</v>
      </c>
      <c r="O356" s="4">
        <v>2</v>
      </c>
      <c r="P356" t="s">
        <v>71</v>
      </c>
      <c r="Q356" s="4">
        <v>3</v>
      </c>
      <c r="R356" t="s">
        <v>91</v>
      </c>
      <c r="S356" s="4">
        <v>1</v>
      </c>
      <c r="T356" t="s">
        <v>71</v>
      </c>
      <c r="U356" t="s">
        <v>73</v>
      </c>
      <c r="V356" t="s">
        <v>74</v>
      </c>
      <c r="W356" t="s">
        <v>93</v>
      </c>
      <c r="X356" t="s">
        <v>94</v>
      </c>
      <c r="Y356" t="s">
        <v>69</v>
      </c>
      <c r="Z356" s="4">
        <v>1</v>
      </c>
      <c r="AA356" t="s">
        <v>77</v>
      </c>
      <c r="AB356" s="4">
        <v>108</v>
      </c>
      <c r="AC356" s="4">
        <v>69</v>
      </c>
      <c r="AD356" s="4">
        <v>56</v>
      </c>
      <c r="AE356" s="4">
        <v>173</v>
      </c>
      <c r="AF356" s="4">
        <v>80</v>
      </c>
      <c r="AG356" s="4">
        <v>93</v>
      </c>
      <c r="AH356" s="4">
        <v>95</v>
      </c>
      <c r="AI356" s="4">
        <v>84</v>
      </c>
      <c r="AJ356" s="4">
        <v>42</v>
      </c>
      <c r="AK356" t="s">
        <v>78</v>
      </c>
      <c r="AL356" t="s">
        <v>95</v>
      </c>
      <c r="AM356" t="s">
        <v>80</v>
      </c>
      <c r="AN356" t="s">
        <v>96</v>
      </c>
      <c r="AO356" t="s">
        <v>97</v>
      </c>
      <c r="AP356" t="s">
        <v>83</v>
      </c>
      <c r="AQ356" t="s">
        <v>85</v>
      </c>
      <c r="AR356" t="s">
        <v>85</v>
      </c>
      <c r="AS356" t="s">
        <v>84</v>
      </c>
      <c r="AT356" t="s">
        <v>85</v>
      </c>
      <c r="AU356" t="s">
        <v>83</v>
      </c>
      <c r="AV356" t="s">
        <v>85</v>
      </c>
      <c r="AW356" s="4">
        <v>0</v>
      </c>
      <c r="AX356" s="4">
        <v>0</v>
      </c>
      <c r="AY356" s="4">
        <v>0</v>
      </c>
      <c r="AZ356" s="3">
        <v>1.73</v>
      </c>
      <c r="BA356" s="3">
        <v>2.9929000000000001</v>
      </c>
      <c r="BB356" s="3">
        <v>18.710949246550168</v>
      </c>
      <c r="BC356" t="s">
        <v>85</v>
      </c>
      <c r="BD356" t="s">
        <v>86</v>
      </c>
      <c r="BE356" s="4">
        <v>0</v>
      </c>
      <c r="BF356" t="s">
        <v>87</v>
      </c>
      <c r="BG356" s="4">
        <v>0</v>
      </c>
      <c r="BH356" s="1" t="e">
        <v>#NULL!</v>
      </c>
      <c r="BI356" t="s">
        <v>85</v>
      </c>
      <c r="BJ356" s="4">
        <v>0</v>
      </c>
      <c r="BK356" t="s">
        <v>88</v>
      </c>
    </row>
    <row r="357" spans="1:63" x14ac:dyDescent="0.35">
      <c r="A357" s="4">
        <v>85</v>
      </c>
      <c r="B357" s="4">
        <v>51</v>
      </c>
      <c r="C357" t="s">
        <v>120</v>
      </c>
      <c r="D357" t="s">
        <v>64</v>
      </c>
      <c r="E357" t="s">
        <v>104</v>
      </c>
      <c r="F357" t="s">
        <v>66</v>
      </c>
      <c r="G357" t="s">
        <v>67</v>
      </c>
      <c r="H357" s="2">
        <v>750</v>
      </c>
      <c r="I357" t="s">
        <v>105</v>
      </c>
      <c r="J357" t="s">
        <v>70</v>
      </c>
      <c r="K357" t="s">
        <v>69</v>
      </c>
      <c r="L357" t="s">
        <v>69</v>
      </c>
      <c r="M357" s="4">
        <v>2</v>
      </c>
      <c r="N357" t="s">
        <v>71</v>
      </c>
      <c r="O357" s="4">
        <v>2</v>
      </c>
      <c r="P357" t="s">
        <v>71</v>
      </c>
      <c r="Q357" s="4">
        <v>3</v>
      </c>
      <c r="R357" t="s">
        <v>91</v>
      </c>
      <c r="S357" s="4">
        <v>1</v>
      </c>
      <c r="T357" t="s">
        <v>71</v>
      </c>
      <c r="U357" t="s">
        <v>73</v>
      </c>
      <c r="V357" t="s">
        <v>74</v>
      </c>
      <c r="W357" t="s">
        <v>93</v>
      </c>
      <c r="X357" t="s">
        <v>94</v>
      </c>
      <c r="Y357" t="s">
        <v>69</v>
      </c>
      <c r="Z357" s="4">
        <v>1</v>
      </c>
      <c r="AA357" t="s">
        <v>77</v>
      </c>
      <c r="AB357" s="4">
        <v>108</v>
      </c>
      <c r="AC357" s="4">
        <v>69</v>
      </c>
      <c r="AD357" s="4">
        <v>56</v>
      </c>
      <c r="AE357" s="4">
        <v>173</v>
      </c>
      <c r="AF357" s="4">
        <v>80</v>
      </c>
      <c r="AG357" s="4">
        <v>93</v>
      </c>
      <c r="AH357" s="4">
        <v>95</v>
      </c>
      <c r="AI357" s="4">
        <v>84</v>
      </c>
      <c r="AJ357" s="4">
        <v>42</v>
      </c>
      <c r="AK357" t="s">
        <v>78</v>
      </c>
      <c r="AL357" t="s">
        <v>95</v>
      </c>
      <c r="AM357" t="s">
        <v>80</v>
      </c>
      <c r="AN357" t="s">
        <v>96</v>
      </c>
      <c r="AO357" t="s">
        <v>97</v>
      </c>
      <c r="AP357" t="s">
        <v>83</v>
      </c>
      <c r="AQ357" t="s">
        <v>85</v>
      </c>
      <c r="AR357" t="s">
        <v>85</v>
      </c>
      <c r="AS357" t="s">
        <v>84</v>
      </c>
      <c r="AT357" t="s">
        <v>85</v>
      </c>
      <c r="AU357" t="s">
        <v>83</v>
      </c>
      <c r="AV357" t="s">
        <v>85</v>
      </c>
      <c r="AW357" s="4">
        <v>0</v>
      </c>
      <c r="AX357" s="4">
        <v>0</v>
      </c>
      <c r="AY357" s="4">
        <v>0</v>
      </c>
      <c r="AZ357" s="3">
        <v>1.73</v>
      </c>
      <c r="BA357" s="3">
        <v>2.9929000000000001</v>
      </c>
      <c r="BB357" s="3">
        <v>18.710949246550168</v>
      </c>
      <c r="BC357" t="s">
        <v>85</v>
      </c>
      <c r="BD357" t="s">
        <v>86</v>
      </c>
      <c r="BE357" s="4">
        <v>0</v>
      </c>
      <c r="BF357" t="s">
        <v>87</v>
      </c>
      <c r="BG357" s="4">
        <v>0</v>
      </c>
      <c r="BH357" s="1" t="e">
        <v>#NULL!</v>
      </c>
      <c r="BI357" t="s">
        <v>85</v>
      </c>
      <c r="BJ357" s="4">
        <v>0</v>
      </c>
      <c r="BK357" t="s">
        <v>88</v>
      </c>
    </row>
    <row r="358" spans="1:63" x14ac:dyDescent="0.35">
      <c r="A358" s="4">
        <v>214</v>
      </c>
      <c r="B358" s="4">
        <v>51</v>
      </c>
      <c r="C358" t="s">
        <v>120</v>
      </c>
      <c r="D358" t="s">
        <v>64</v>
      </c>
      <c r="E358" t="s">
        <v>104</v>
      </c>
      <c r="F358" t="s">
        <v>90</v>
      </c>
      <c r="G358" t="s">
        <v>67</v>
      </c>
      <c r="H358" s="2">
        <v>800</v>
      </c>
      <c r="I358" t="s">
        <v>105</v>
      </c>
      <c r="J358" t="s">
        <v>69</v>
      </c>
      <c r="K358" t="s">
        <v>69</v>
      </c>
      <c r="L358" t="s">
        <v>69</v>
      </c>
      <c r="M358" s="4">
        <v>4</v>
      </c>
      <c r="N358" t="s">
        <v>91</v>
      </c>
      <c r="O358" s="4">
        <v>3</v>
      </c>
      <c r="P358" t="s">
        <v>91</v>
      </c>
      <c r="Q358" s="4">
        <v>4</v>
      </c>
      <c r="R358" t="s">
        <v>91</v>
      </c>
      <c r="S358" s="4">
        <v>4</v>
      </c>
      <c r="T358" t="s">
        <v>91</v>
      </c>
      <c r="U358" t="s">
        <v>103</v>
      </c>
      <c r="V358" t="s">
        <v>93</v>
      </c>
      <c r="W358" t="s">
        <v>93</v>
      </c>
      <c r="X358" t="s">
        <v>94</v>
      </c>
      <c r="Y358" t="s">
        <v>69</v>
      </c>
      <c r="Z358" s="4">
        <v>4</v>
      </c>
      <c r="AA358" t="s">
        <v>77</v>
      </c>
      <c r="AB358" s="4">
        <v>107</v>
      </c>
      <c r="AC358" s="4">
        <v>78</v>
      </c>
      <c r="AD358" s="4">
        <v>86</v>
      </c>
      <c r="AE358" s="4">
        <v>176</v>
      </c>
      <c r="AF358" s="4">
        <v>90</v>
      </c>
      <c r="AG358" s="4">
        <v>102</v>
      </c>
      <c r="AH358" s="4">
        <v>88</v>
      </c>
      <c r="AI358" s="4">
        <v>122</v>
      </c>
      <c r="AJ358" s="4">
        <v>50</v>
      </c>
      <c r="AK358" t="s">
        <v>78</v>
      </c>
      <c r="AL358" t="s">
        <v>95</v>
      </c>
      <c r="AM358" t="s">
        <v>80</v>
      </c>
      <c r="AN358" t="s">
        <v>96</v>
      </c>
      <c r="AO358" t="s">
        <v>97</v>
      </c>
      <c r="AP358" t="s">
        <v>85</v>
      </c>
      <c r="AQ358" t="s">
        <v>85</v>
      </c>
      <c r="AR358" t="s">
        <v>85</v>
      </c>
      <c r="AS358" t="s">
        <v>84</v>
      </c>
      <c r="AT358" t="s">
        <v>85</v>
      </c>
      <c r="AU358" t="s">
        <v>83</v>
      </c>
      <c r="AV358" t="s">
        <v>85</v>
      </c>
      <c r="AW358" s="4">
        <v>0</v>
      </c>
      <c r="AX358" s="4">
        <v>0</v>
      </c>
      <c r="AY358" s="4">
        <v>0</v>
      </c>
      <c r="AZ358" s="3">
        <v>1.76</v>
      </c>
      <c r="BA358" s="3">
        <v>3.0975999999999999</v>
      </c>
      <c r="BB358" s="3">
        <v>27.763429752066116</v>
      </c>
      <c r="BC358" t="s">
        <v>98</v>
      </c>
      <c r="BD358" t="s">
        <v>99</v>
      </c>
      <c r="BE358" s="4">
        <v>0</v>
      </c>
      <c r="BF358" t="s">
        <v>87</v>
      </c>
      <c r="BG358" s="4">
        <v>0</v>
      </c>
      <c r="BH358" s="1" t="e">
        <v>#NULL!</v>
      </c>
      <c r="BI358" t="s">
        <v>85</v>
      </c>
      <c r="BJ358" s="4">
        <v>0</v>
      </c>
      <c r="BK358" t="s">
        <v>88</v>
      </c>
    </row>
    <row r="359" spans="1:63" x14ac:dyDescent="0.35">
      <c r="A359" s="4">
        <v>282</v>
      </c>
      <c r="B359" s="4">
        <v>51</v>
      </c>
      <c r="C359" t="s">
        <v>120</v>
      </c>
      <c r="D359" t="s">
        <v>89</v>
      </c>
      <c r="E359" t="s">
        <v>104</v>
      </c>
      <c r="F359" t="s">
        <v>115</v>
      </c>
      <c r="G359" t="s">
        <v>67</v>
      </c>
      <c r="H359" s="2">
        <v>700</v>
      </c>
      <c r="I359" t="s">
        <v>105</v>
      </c>
      <c r="J359" t="s">
        <v>69</v>
      </c>
      <c r="K359" t="s">
        <v>69</v>
      </c>
      <c r="L359" t="s">
        <v>69</v>
      </c>
      <c r="M359" s="4">
        <v>1</v>
      </c>
      <c r="N359" t="s">
        <v>71</v>
      </c>
      <c r="O359" s="4">
        <v>2</v>
      </c>
      <c r="P359" t="s">
        <v>71</v>
      </c>
      <c r="Q359" s="4">
        <v>2</v>
      </c>
      <c r="R359" t="s">
        <v>71</v>
      </c>
      <c r="S359" s="4">
        <v>1</v>
      </c>
      <c r="T359" t="s">
        <v>71</v>
      </c>
      <c r="U359" t="s">
        <v>73</v>
      </c>
      <c r="V359" t="s">
        <v>93</v>
      </c>
      <c r="W359" t="s">
        <v>93</v>
      </c>
      <c r="X359" t="s">
        <v>94</v>
      </c>
      <c r="Y359" t="s">
        <v>69</v>
      </c>
      <c r="Z359" s="4">
        <v>6</v>
      </c>
      <c r="AA359" t="s">
        <v>77</v>
      </c>
      <c r="AB359" s="4">
        <v>151</v>
      </c>
      <c r="AC359" s="4">
        <v>89</v>
      </c>
      <c r="AD359" s="4">
        <v>64</v>
      </c>
      <c r="AE359" s="4">
        <v>170</v>
      </c>
      <c r="AF359" s="4">
        <v>76</v>
      </c>
      <c r="AG359" s="4">
        <v>95</v>
      </c>
      <c r="AH359" s="4">
        <v>101</v>
      </c>
      <c r="AI359" s="4">
        <v>114</v>
      </c>
      <c r="AJ359" s="4">
        <v>50</v>
      </c>
      <c r="AK359" t="s">
        <v>78</v>
      </c>
      <c r="AL359" t="s">
        <v>79</v>
      </c>
      <c r="AM359" t="s">
        <v>108</v>
      </c>
      <c r="AN359" t="s">
        <v>109</v>
      </c>
      <c r="AO359" t="s">
        <v>82</v>
      </c>
      <c r="AP359" t="s">
        <v>85</v>
      </c>
      <c r="AQ359" t="s">
        <v>85</v>
      </c>
      <c r="AR359" t="s">
        <v>85</v>
      </c>
      <c r="AS359" t="s">
        <v>102</v>
      </c>
      <c r="AT359" t="s">
        <v>85</v>
      </c>
      <c r="AU359" t="s">
        <v>85</v>
      </c>
      <c r="AV359" t="s">
        <v>85</v>
      </c>
      <c r="AW359" s="4">
        <v>2</v>
      </c>
      <c r="AX359" s="4">
        <v>1</v>
      </c>
      <c r="AY359" s="4">
        <v>1</v>
      </c>
      <c r="AZ359" s="3">
        <v>1.7</v>
      </c>
      <c r="BA359" s="3">
        <v>2.8899999999999997</v>
      </c>
      <c r="BB359" s="3">
        <v>22.145328719723185</v>
      </c>
      <c r="BC359" t="s">
        <v>85</v>
      </c>
      <c r="BD359" t="s">
        <v>86</v>
      </c>
      <c r="BE359" s="4">
        <v>2</v>
      </c>
      <c r="BF359" t="s">
        <v>87</v>
      </c>
      <c r="BG359" s="1" t="e">
        <v>#NULL!</v>
      </c>
      <c r="BH359" s="4">
        <v>0</v>
      </c>
      <c r="BI359" t="s">
        <v>85</v>
      </c>
      <c r="BJ359" s="4">
        <v>2</v>
      </c>
      <c r="BK359" t="s">
        <v>88</v>
      </c>
    </row>
    <row r="360" spans="1:63" x14ac:dyDescent="0.35">
      <c r="A360" s="4">
        <v>308</v>
      </c>
      <c r="B360" s="4">
        <v>51</v>
      </c>
      <c r="C360" t="s">
        <v>120</v>
      </c>
      <c r="D360" t="s">
        <v>89</v>
      </c>
      <c r="E360" t="s">
        <v>104</v>
      </c>
      <c r="F360" t="s">
        <v>66</v>
      </c>
      <c r="G360" t="s">
        <v>67</v>
      </c>
      <c r="H360" s="2">
        <v>300</v>
      </c>
      <c r="I360" t="s">
        <v>68</v>
      </c>
      <c r="J360" t="s">
        <v>69</v>
      </c>
      <c r="K360" t="s">
        <v>69</v>
      </c>
      <c r="L360" t="s">
        <v>69</v>
      </c>
      <c r="M360" s="4">
        <v>2</v>
      </c>
      <c r="N360" t="s">
        <v>71</v>
      </c>
      <c r="O360" s="4">
        <v>2</v>
      </c>
      <c r="P360" t="s">
        <v>71</v>
      </c>
      <c r="Q360" s="4">
        <v>0</v>
      </c>
      <c r="R360" t="s">
        <v>71</v>
      </c>
      <c r="S360" s="4">
        <v>0</v>
      </c>
      <c r="T360" t="s">
        <v>71</v>
      </c>
      <c r="U360" t="s">
        <v>92</v>
      </c>
      <c r="V360" t="s">
        <v>93</v>
      </c>
      <c r="W360" t="s">
        <v>93</v>
      </c>
      <c r="X360" t="s">
        <v>94</v>
      </c>
      <c r="Y360" t="s">
        <v>69</v>
      </c>
      <c r="Z360" s="4">
        <v>5</v>
      </c>
      <c r="AA360" t="s">
        <v>77</v>
      </c>
      <c r="AB360" s="4">
        <v>122</v>
      </c>
      <c r="AC360" s="4">
        <v>80</v>
      </c>
      <c r="AD360" s="4">
        <v>78</v>
      </c>
      <c r="AE360" s="4">
        <v>172</v>
      </c>
      <c r="AF360" s="4">
        <v>90</v>
      </c>
      <c r="AG360" s="4">
        <v>110</v>
      </c>
      <c r="AH360" s="4">
        <v>252</v>
      </c>
      <c r="AI360" s="4">
        <v>92</v>
      </c>
      <c r="AJ360" s="4">
        <v>54</v>
      </c>
      <c r="AK360" t="s">
        <v>78</v>
      </c>
      <c r="AL360" t="s">
        <v>95</v>
      </c>
      <c r="AM360" t="s">
        <v>80</v>
      </c>
      <c r="AN360" t="s">
        <v>96</v>
      </c>
      <c r="AO360" t="s">
        <v>97</v>
      </c>
      <c r="AP360" t="s">
        <v>85</v>
      </c>
      <c r="AQ360" t="s">
        <v>85</v>
      </c>
      <c r="AR360" t="s">
        <v>85</v>
      </c>
      <c r="AS360" t="s">
        <v>102</v>
      </c>
      <c r="AT360" t="s">
        <v>85</v>
      </c>
      <c r="AU360" t="s">
        <v>83</v>
      </c>
      <c r="AV360" t="s">
        <v>83</v>
      </c>
      <c r="AW360" s="4">
        <v>1</v>
      </c>
      <c r="AX360" s="4">
        <v>0</v>
      </c>
      <c r="AY360" s="4">
        <v>1</v>
      </c>
      <c r="AZ360" s="3">
        <v>1.72</v>
      </c>
      <c r="BA360" s="3">
        <v>2.9583999999999997</v>
      </c>
      <c r="BB360" s="3">
        <v>26.365603028664147</v>
      </c>
      <c r="BC360" t="s">
        <v>98</v>
      </c>
      <c r="BD360" t="s">
        <v>99</v>
      </c>
      <c r="BE360" s="4">
        <v>2</v>
      </c>
      <c r="BF360" t="s">
        <v>87</v>
      </c>
      <c r="BG360" s="1" t="e">
        <v>#NULL!</v>
      </c>
      <c r="BH360" s="4">
        <v>1</v>
      </c>
      <c r="BI360" t="s">
        <v>83</v>
      </c>
      <c r="BJ360" s="4">
        <v>2</v>
      </c>
      <c r="BK360" t="s">
        <v>88</v>
      </c>
    </row>
    <row r="361" spans="1:63" x14ac:dyDescent="0.35">
      <c r="A361" s="4">
        <v>314</v>
      </c>
      <c r="B361" s="4">
        <v>51</v>
      </c>
      <c r="C361" t="s">
        <v>120</v>
      </c>
      <c r="D361" t="s">
        <v>89</v>
      </c>
      <c r="E361" t="s">
        <v>104</v>
      </c>
      <c r="F361" t="s">
        <v>66</v>
      </c>
      <c r="G361" t="s">
        <v>67</v>
      </c>
      <c r="H361" s="2">
        <v>230</v>
      </c>
      <c r="I361" t="s">
        <v>68</v>
      </c>
      <c r="J361" t="s">
        <v>69</v>
      </c>
      <c r="K361" t="s">
        <v>69</v>
      </c>
      <c r="L361" t="s">
        <v>69</v>
      </c>
      <c r="M361" s="4">
        <v>1</v>
      </c>
      <c r="N361" t="s">
        <v>71</v>
      </c>
      <c r="O361" s="4">
        <v>2</v>
      </c>
      <c r="P361" t="s">
        <v>71</v>
      </c>
      <c r="Q361" s="4">
        <v>1</v>
      </c>
      <c r="R361" t="s">
        <v>71</v>
      </c>
      <c r="S361" s="4">
        <v>3</v>
      </c>
      <c r="T361" t="s">
        <v>91</v>
      </c>
      <c r="U361" t="s">
        <v>92</v>
      </c>
      <c r="V361" t="s">
        <v>93</v>
      </c>
      <c r="W361" t="s">
        <v>93</v>
      </c>
      <c r="X361" t="s">
        <v>94</v>
      </c>
      <c r="Y361" t="s">
        <v>69</v>
      </c>
      <c r="Z361" s="4">
        <v>6</v>
      </c>
      <c r="AA361" t="s">
        <v>77</v>
      </c>
      <c r="AB361" s="4">
        <v>147</v>
      </c>
      <c r="AC361" s="4">
        <v>79</v>
      </c>
      <c r="AD361" s="4">
        <v>42</v>
      </c>
      <c r="AE361" s="4">
        <v>150</v>
      </c>
      <c r="AF361" s="4">
        <v>88</v>
      </c>
      <c r="AG361" s="4">
        <v>86</v>
      </c>
      <c r="AH361" s="4">
        <v>175</v>
      </c>
      <c r="AI361" s="4">
        <v>312</v>
      </c>
      <c r="AJ361" s="4">
        <v>40</v>
      </c>
      <c r="AK361" t="s">
        <v>107</v>
      </c>
      <c r="AL361" t="s">
        <v>79</v>
      </c>
      <c r="AM361" t="s">
        <v>80</v>
      </c>
      <c r="AN361" t="s">
        <v>81</v>
      </c>
      <c r="AO361" t="s">
        <v>82</v>
      </c>
      <c r="AP361" t="s">
        <v>83</v>
      </c>
      <c r="AQ361" t="s">
        <v>85</v>
      </c>
      <c r="AR361" t="s">
        <v>83</v>
      </c>
      <c r="AS361" t="s">
        <v>102</v>
      </c>
      <c r="AT361" t="s">
        <v>85</v>
      </c>
      <c r="AU361" t="s">
        <v>83</v>
      </c>
      <c r="AV361" t="s">
        <v>83</v>
      </c>
      <c r="AW361" s="4">
        <v>4</v>
      </c>
      <c r="AX361" s="4">
        <v>1</v>
      </c>
      <c r="AY361" s="4">
        <v>2</v>
      </c>
      <c r="AZ361" s="3">
        <v>1.5</v>
      </c>
      <c r="BA361" s="3">
        <v>2.25</v>
      </c>
      <c r="BB361" s="3">
        <v>18.666666666666668</v>
      </c>
      <c r="BC361" t="s">
        <v>85</v>
      </c>
      <c r="BD361" t="s">
        <v>86</v>
      </c>
      <c r="BE361" s="4">
        <v>5</v>
      </c>
      <c r="BF361" t="s">
        <v>111</v>
      </c>
      <c r="BG361" s="1" t="e">
        <v>#NULL!</v>
      </c>
      <c r="BH361" s="4">
        <v>1</v>
      </c>
      <c r="BI361" t="s">
        <v>83</v>
      </c>
      <c r="BJ361" s="4">
        <v>5</v>
      </c>
      <c r="BK361" t="s">
        <v>112</v>
      </c>
    </row>
    <row r="362" spans="1:63" x14ac:dyDescent="0.35">
      <c r="A362" s="4">
        <v>340</v>
      </c>
      <c r="B362" s="4">
        <v>51</v>
      </c>
      <c r="C362" t="s">
        <v>120</v>
      </c>
      <c r="D362" t="s">
        <v>89</v>
      </c>
      <c r="E362" t="s">
        <v>104</v>
      </c>
      <c r="F362" t="s">
        <v>115</v>
      </c>
      <c r="G362" t="s">
        <v>67</v>
      </c>
      <c r="H362" s="2">
        <v>100</v>
      </c>
      <c r="I362" t="s">
        <v>68</v>
      </c>
      <c r="J362" t="s">
        <v>69</v>
      </c>
      <c r="K362" t="s">
        <v>69</v>
      </c>
      <c r="L362" t="s">
        <v>69</v>
      </c>
      <c r="M362" s="4">
        <v>1</v>
      </c>
      <c r="N362" t="s">
        <v>71</v>
      </c>
      <c r="O362" s="4">
        <v>3</v>
      </c>
      <c r="P362" t="s">
        <v>91</v>
      </c>
      <c r="Q362" s="4">
        <v>1</v>
      </c>
      <c r="R362" t="s">
        <v>71</v>
      </c>
      <c r="S362" s="4">
        <v>2</v>
      </c>
      <c r="T362" t="s">
        <v>71</v>
      </c>
      <c r="U362" t="s">
        <v>73</v>
      </c>
      <c r="V362" t="s">
        <v>93</v>
      </c>
      <c r="W362" t="s">
        <v>93</v>
      </c>
      <c r="X362" t="s">
        <v>94</v>
      </c>
      <c r="Y362" t="s">
        <v>69</v>
      </c>
      <c r="Z362" s="4">
        <v>4</v>
      </c>
      <c r="AA362" t="s">
        <v>77</v>
      </c>
      <c r="AB362" s="4">
        <v>155</v>
      </c>
      <c r="AC362" s="4">
        <v>99</v>
      </c>
      <c r="AD362" s="4">
        <v>76</v>
      </c>
      <c r="AE362" s="4">
        <v>163</v>
      </c>
      <c r="AF362" s="4">
        <v>98</v>
      </c>
      <c r="AG362" s="4">
        <v>111</v>
      </c>
      <c r="AH362" s="4">
        <v>97</v>
      </c>
      <c r="AI362" s="4">
        <v>181</v>
      </c>
      <c r="AJ362" s="4">
        <v>66</v>
      </c>
      <c r="AK362" t="s">
        <v>107</v>
      </c>
      <c r="AL362" t="s">
        <v>79</v>
      </c>
      <c r="AM362" t="s">
        <v>108</v>
      </c>
      <c r="AN362" t="s">
        <v>109</v>
      </c>
      <c r="AO362" t="s">
        <v>82</v>
      </c>
      <c r="AP362" t="s">
        <v>85</v>
      </c>
      <c r="AQ362" t="s">
        <v>85</v>
      </c>
      <c r="AR362" t="s">
        <v>85</v>
      </c>
      <c r="AS362" t="s">
        <v>84</v>
      </c>
      <c r="AT362" t="s">
        <v>83</v>
      </c>
      <c r="AU362" t="s">
        <v>83</v>
      </c>
      <c r="AV362" t="s">
        <v>83</v>
      </c>
      <c r="AW362" s="4">
        <v>2</v>
      </c>
      <c r="AX362" s="4">
        <v>1</v>
      </c>
      <c r="AY362" s="4">
        <v>2</v>
      </c>
      <c r="AZ362" s="3">
        <v>1.63</v>
      </c>
      <c r="BA362" s="3">
        <v>2.6568999999999998</v>
      </c>
      <c r="BB362" s="3">
        <v>28.604764951635367</v>
      </c>
      <c r="BC362" t="s">
        <v>98</v>
      </c>
      <c r="BD362" t="s">
        <v>99</v>
      </c>
      <c r="BE362" s="4">
        <v>3</v>
      </c>
      <c r="BF362" t="s">
        <v>111</v>
      </c>
      <c r="BG362" s="1" t="e">
        <v>#NULL!</v>
      </c>
      <c r="BH362" s="4">
        <v>1</v>
      </c>
      <c r="BI362" t="s">
        <v>83</v>
      </c>
      <c r="BJ362" s="4">
        <v>3</v>
      </c>
      <c r="BK362" t="s">
        <v>112</v>
      </c>
    </row>
    <row r="363" spans="1:63" x14ac:dyDescent="0.35">
      <c r="A363" s="4">
        <v>358</v>
      </c>
      <c r="B363" s="4">
        <v>51</v>
      </c>
      <c r="C363" t="s">
        <v>120</v>
      </c>
      <c r="D363" t="s">
        <v>89</v>
      </c>
      <c r="E363" t="s">
        <v>104</v>
      </c>
      <c r="F363" t="s">
        <v>90</v>
      </c>
      <c r="G363" t="s">
        <v>67</v>
      </c>
      <c r="H363" s="2">
        <v>800</v>
      </c>
      <c r="I363" t="s">
        <v>105</v>
      </c>
      <c r="J363" t="s">
        <v>69</v>
      </c>
      <c r="K363" t="s">
        <v>69</v>
      </c>
      <c r="L363" t="s">
        <v>69</v>
      </c>
      <c r="M363" s="4">
        <v>3</v>
      </c>
      <c r="N363" t="s">
        <v>91</v>
      </c>
      <c r="O363" s="4">
        <v>3</v>
      </c>
      <c r="P363" t="s">
        <v>91</v>
      </c>
      <c r="Q363" s="4">
        <v>3</v>
      </c>
      <c r="R363" t="s">
        <v>91</v>
      </c>
      <c r="S363" s="4">
        <v>1</v>
      </c>
      <c r="T363" t="s">
        <v>71</v>
      </c>
      <c r="U363" t="s">
        <v>73</v>
      </c>
      <c r="V363" t="s">
        <v>93</v>
      </c>
      <c r="W363" t="s">
        <v>93</v>
      </c>
      <c r="X363" t="s">
        <v>94</v>
      </c>
      <c r="Y363" t="s">
        <v>69</v>
      </c>
      <c r="Z363" s="4">
        <v>1</v>
      </c>
      <c r="AA363" t="s">
        <v>77</v>
      </c>
      <c r="AB363" s="4">
        <v>159</v>
      </c>
      <c r="AC363" s="4">
        <v>89</v>
      </c>
      <c r="AD363" s="4">
        <v>45</v>
      </c>
      <c r="AE363" s="4">
        <v>167</v>
      </c>
      <c r="AF363" s="4">
        <v>76</v>
      </c>
      <c r="AG363" s="4">
        <v>84</v>
      </c>
      <c r="AH363" s="4">
        <v>96</v>
      </c>
      <c r="AI363" s="4">
        <v>93</v>
      </c>
      <c r="AJ363" s="4">
        <v>51</v>
      </c>
      <c r="AK363" t="s">
        <v>78</v>
      </c>
      <c r="AL363" t="s">
        <v>79</v>
      </c>
      <c r="AM363" t="s">
        <v>108</v>
      </c>
      <c r="AN363" t="s">
        <v>109</v>
      </c>
      <c r="AO363" t="s">
        <v>82</v>
      </c>
      <c r="AP363" t="s">
        <v>85</v>
      </c>
      <c r="AQ363" t="s">
        <v>85</v>
      </c>
      <c r="AR363" t="s">
        <v>85</v>
      </c>
      <c r="AS363" t="s">
        <v>84</v>
      </c>
      <c r="AT363" t="s">
        <v>85</v>
      </c>
      <c r="AU363" t="s">
        <v>85</v>
      </c>
      <c r="AV363" t="s">
        <v>85</v>
      </c>
      <c r="AW363" s="4">
        <v>1</v>
      </c>
      <c r="AX363" s="4">
        <v>0</v>
      </c>
      <c r="AY363" s="4">
        <v>0</v>
      </c>
      <c r="AZ363" s="3">
        <v>1.67</v>
      </c>
      <c r="BA363" s="3">
        <v>2.7888999999999999</v>
      </c>
      <c r="BB363" s="3">
        <v>16.135393882892899</v>
      </c>
      <c r="BC363" t="s">
        <v>100</v>
      </c>
      <c r="BD363" t="s">
        <v>86</v>
      </c>
      <c r="BE363" s="4">
        <v>1</v>
      </c>
      <c r="BF363" t="s">
        <v>87</v>
      </c>
      <c r="BG363" s="1" t="e">
        <v>#NULL!</v>
      </c>
      <c r="BH363" s="4">
        <v>0</v>
      </c>
      <c r="BI363" t="s">
        <v>85</v>
      </c>
      <c r="BJ363" s="4">
        <v>1</v>
      </c>
      <c r="BK363" t="s">
        <v>88</v>
      </c>
    </row>
    <row r="364" spans="1:63" x14ac:dyDescent="0.35">
      <c r="A364" s="4">
        <v>374</v>
      </c>
      <c r="B364" s="4">
        <v>51</v>
      </c>
      <c r="C364" t="s">
        <v>120</v>
      </c>
      <c r="D364" t="s">
        <v>89</v>
      </c>
      <c r="E364" t="s">
        <v>104</v>
      </c>
      <c r="F364" t="s">
        <v>115</v>
      </c>
      <c r="G364" t="s">
        <v>67</v>
      </c>
      <c r="H364" s="2">
        <v>200</v>
      </c>
      <c r="I364" t="s">
        <v>68</v>
      </c>
      <c r="J364" t="s">
        <v>69</v>
      </c>
      <c r="K364" t="s">
        <v>69</v>
      </c>
      <c r="L364" t="s">
        <v>69</v>
      </c>
      <c r="M364" s="4">
        <v>2</v>
      </c>
      <c r="N364" t="s">
        <v>71</v>
      </c>
      <c r="O364" s="4">
        <v>3</v>
      </c>
      <c r="P364" t="s">
        <v>91</v>
      </c>
      <c r="Q364" s="4">
        <v>3</v>
      </c>
      <c r="R364" t="s">
        <v>91</v>
      </c>
      <c r="S364" s="4">
        <v>5</v>
      </c>
      <c r="T364" t="s">
        <v>72</v>
      </c>
      <c r="U364" t="s">
        <v>73</v>
      </c>
      <c r="V364" t="s">
        <v>93</v>
      </c>
      <c r="W364" t="s">
        <v>93</v>
      </c>
      <c r="X364" t="s">
        <v>94</v>
      </c>
      <c r="Y364" t="s">
        <v>69</v>
      </c>
      <c r="Z364" s="4">
        <v>2</v>
      </c>
      <c r="AA364" t="s">
        <v>77</v>
      </c>
      <c r="AB364" s="4">
        <v>148</v>
      </c>
      <c r="AC364" s="4">
        <v>77</v>
      </c>
      <c r="AD364" s="4">
        <v>101</v>
      </c>
      <c r="AE364" s="4">
        <v>158</v>
      </c>
      <c r="AF364" s="4">
        <v>115</v>
      </c>
      <c r="AG364" s="4">
        <v>100</v>
      </c>
      <c r="AH364" s="4">
        <v>103</v>
      </c>
      <c r="AI364" s="4">
        <v>192</v>
      </c>
      <c r="AJ364" s="4">
        <v>31</v>
      </c>
      <c r="AK364" t="s">
        <v>107</v>
      </c>
      <c r="AL364" t="s">
        <v>79</v>
      </c>
      <c r="AM364" t="s">
        <v>80</v>
      </c>
      <c r="AN364" t="s">
        <v>81</v>
      </c>
      <c r="AO364" t="s">
        <v>82</v>
      </c>
      <c r="AP364" t="s">
        <v>83</v>
      </c>
      <c r="AQ364" t="s">
        <v>83</v>
      </c>
      <c r="AR364" t="s">
        <v>83</v>
      </c>
      <c r="AS364" t="s">
        <v>102</v>
      </c>
      <c r="AT364" t="s">
        <v>83</v>
      </c>
      <c r="AU364" t="s">
        <v>83</v>
      </c>
      <c r="AV364" t="s">
        <v>83</v>
      </c>
      <c r="AW364" s="4">
        <v>4</v>
      </c>
      <c r="AX364" s="4">
        <v>1</v>
      </c>
      <c r="AY364" s="4">
        <v>2</v>
      </c>
      <c r="AZ364" s="3">
        <v>1.58</v>
      </c>
      <c r="BA364" s="3">
        <v>2.4964000000000004</v>
      </c>
      <c r="BB364" s="3">
        <v>40.458259894247711</v>
      </c>
      <c r="BC364" t="s">
        <v>110</v>
      </c>
      <c r="BD364" t="s">
        <v>99</v>
      </c>
      <c r="BE364" s="4">
        <v>5</v>
      </c>
      <c r="BF364" t="s">
        <v>111</v>
      </c>
      <c r="BG364" s="1" t="e">
        <v>#NULL!</v>
      </c>
      <c r="BH364" s="4">
        <v>1</v>
      </c>
      <c r="BI364" t="s">
        <v>83</v>
      </c>
      <c r="BJ364" s="4">
        <v>5</v>
      </c>
      <c r="BK364" t="s">
        <v>112</v>
      </c>
    </row>
    <row r="365" spans="1:63" x14ac:dyDescent="0.35">
      <c r="A365" s="4">
        <v>448</v>
      </c>
      <c r="B365" s="4">
        <v>51</v>
      </c>
      <c r="C365" t="s">
        <v>120</v>
      </c>
      <c r="D365" t="s">
        <v>64</v>
      </c>
      <c r="E365" t="s">
        <v>113</v>
      </c>
      <c r="F365" t="s">
        <v>101</v>
      </c>
      <c r="G365" t="s">
        <v>67</v>
      </c>
      <c r="H365" s="2">
        <v>600</v>
      </c>
      <c r="I365" t="s">
        <v>105</v>
      </c>
      <c r="J365" t="s">
        <v>69</v>
      </c>
      <c r="K365" t="s">
        <v>69</v>
      </c>
      <c r="L365" t="s">
        <v>69</v>
      </c>
      <c r="M365" s="4">
        <v>4</v>
      </c>
      <c r="N365" t="s">
        <v>91</v>
      </c>
      <c r="O365" s="4">
        <v>3</v>
      </c>
      <c r="P365" t="s">
        <v>91</v>
      </c>
      <c r="Q365" s="4">
        <v>4</v>
      </c>
      <c r="R365" t="s">
        <v>91</v>
      </c>
      <c r="S365" s="4">
        <v>5</v>
      </c>
      <c r="T365" t="s">
        <v>72</v>
      </c>
      <c r="U365" t="s">
        <v>92</v>
      </c>
      <c r="V365" t="s">
        <v>93</v>
      </c>
      <c r="W365" t="s">
        <v>75</v>
      </c>
      <c r="X365" t="s">
        <v>76</v>
      </c>
      <c r="Y365" t="s">
        <v>69</v>
      </c>
      <c r="Z365" s="4">
        <v>3</v>
      </c>
      <c r="AA365" t="s">
        <v>77</v>
      </c>
      <c r="AB365" s="4">
        <v>110</v>
      </c>
      <c r="AC365" s="4">
        <v>78</v>
      </c>
      <c r="AD365" s="4">
        <v>72</v>
      </c>
      <c r="AE365" s="4">
        <v>176</v>
      </c>
      <c r="AF365" s="4">
        <v>89</v>
      </c>
      <c r="AG365" s="4">
        <v>96</v>
      </c>
      <c r="AH365" s="4">
        <v>97</v>
      </c>
      <c r="AI365" s="4">
        <v>122</v>
      </c>
      <c r="AJ365" s="4">
        <v>56</v>
      </c>
      <c r="AK365" t="s">
        <v>78</v>
      </c>
      <c r="AL365" t="s">
        <v>95</v>
      </c>
      <c r="AM365" t="s">
        <v>80</v>
      </c>
      <c r="AN365" t="s">
        <v>96</v>
      </c>
      <c r="AO365" t="s">
        <v>97</v>
      </c>
      <c r="AP365" t="s">
        <v>85</v>
      </c>
      <c r="AQ365" t="s">
        <v>85</v>
      </c>
      <c r="AR365" t="s">
        <v>85</v>
      </c>
      <c r="AS365" t="s">
        <v>84</v>
      </c>
      <c r="AT365" t="s">
        <v>85</v>
      </c>
      <c r="AU365" t="s">
        <v>83</v>
      </c>
      <c r="AV365" t="s">
        <v>85</v>
      </c>
      <c r="AW365" s="4">
        <v>0</v>
      </c>
      <c r="AX365" s="4">
        <v>0</v>
      </c>
      <c r="AY365" s="4">
        <v>0</v>
      </c>
      <c r="AZ365" s="3">
        <v>1.76</v>
      </c>
      <c r="BA365" s="3">
        <v>3.0975999999999999</v>
      </c>
      <c r="BB365" s="3">
        <v>23.243801652892564</v>
      </c>
      <c r="BC365" t="s">
        <v>85</v>
      </c>
      <c r="BD365" t="s">
        <v>86</v>
      </c>
      <c r="BE365" s="4">
        <v>0</v>
      </c>
      <c r="BF365" t="s">
        <v>87</v>
      </c>
      <c r="BG365" s="4">
        <v>0</v>
      </c>
      <c r="BH365" s="1" t="e">
        <v>#NULL!</v>
      </c>
      <c r="BI365" t="s">
        <v>85</v>
      </c>
      <c r="BJ365" s="4">
        <v>0</v>
      </c>
      <c r="BK365" t="s">
        <v>88</v>
      </c>
    </row>
    <row r="366" spans="1:63" x14ac:dyDescent="0.35">
      <c r="A366" s="4">
        <v>326</v>
      </c>
      <c r="B366" s="4">
        <v>51</v>
      </c>
      <c r="C366" t="s">
        <v>120</v>
      </c>
      <c r="D366" t="s">
        <v>89</v>
      </c>
      <c r="E366" t="s">
        <v>104</v>
      </c>
      <c r="F366" t="s">
        <v>115</v>
      </c>
      <c r="G366" t="s">
        <v>67</v>
      </c>
      <c r="H366" s="2">
        <v>380</v>
      </c>
      <c r="I366" t="s">
        <v>68</v>
      </c>
      <c r="J366" t="s">
        <v>69</v>
      </c>
      <c r="K366" t="s">
        <v>69</v>
      </c>
      <c r="L366" t="s">
        <v>69</v>
      </c>
      <c r="M366" s="4">
        <v>7</v>
      </c>
      <c r="N366" t="s">
        <v>72</v>
      </c>
      <c r="O366" s="4">
        <v>5</v>
      </c>
      <c r="P366" t="s">
        <v>72</v>
      </c>
      <c r="Q366" s="4">
        <v>7</v>
      </c>
      <c r="R366" t="s">
        <v>72</v>
      </c>
      <c r="S366" s="4">
        <v>7</v>
      </c>
      <c r="T366" t="s">
        <v>72</v>
      </c>
      <c r="U366" t="s">
        <v>92</v>
      </c>
      <c r="V366" t="s">
        <v>74</v>
      </c>
      <c r="W366" t="s">
        <v>74</v>
      </c>
      <c r="X366" t="s">
        <v>76</v>
      </c>
      <c r="Y366" t="s">
        <v>69</v>
      </c>
      <c r="Z366" s="4">
        <v>1</v>
      </c>
      <c r="AA366" t="s">
        <v>77</v>
      </c>
      <c r="AB366" s="4">
        <v>178</v>
      </c>
      <c r="AC366" s="4">
        <v>103</v>
      </c>
      <c r="AD366" s="4">
        <v>65</v>
      </c>
      <c r="AE366" s="4">
        <v>158</v>
      </c>
      <c r="AF366" s="4">
        <v>104</v>
      </c>
      <c r="AG366" s="4">
        <v>109</v>
      </c>
      <c r="AH366" s="4">
        <v>184</v>
      </c>
      <c r="AI366" s="4">
        <v>256</v>
      </c>
      <c r="AJ366" s="4">
        <v>33</v>
      </c>
      <c r="AK366" t="s">
        <v>107</v>
      </c>
      <c r="AL366" t="s">
        <v>79</v>
      </c>
      <c r="AM366" t="s">
        <v>108</v>
      </c>
      <c r="AN366" t="s">
        <v>109</v>
      </c>
      <c r="AO366" t="s">
        <v>82</v>
      </c>
      <c r="AP366" t="s">
        <v>83</v>
      </c>
      <c r="AQ366" t="s">
        <v>83</v>
      </c>
      <c r="AR366" t="s">
        <v>83</v>
      </c>
      <c r="AS366" t="s">
        <v>102</v>
      </c>
      <c r="AT366" t="s">
        <v>83</v>
      </c>
      <c r="AU366" t="s">
        <v>83</v>
      </c>
      <c r="AV366" t="s">
        <v>83</v>
      </c>
      <c r="AW366" s="4">
        <v>4</v>
      </c>
      <c r="AX366" s="4">
        <v>1</v>
      </c>
      <c r="AY366" s="4">
        <v>2</v>
      </c>
      <c r="AZ366" s="3">
        <v>1.58</v>
      </c>
      <c r="BA366" s="3">
        <v>2.4964000000000004</v>
      </c>
      <c r="BB366" s="3">
        <v>26.037493991347535</v>
      </c>
      <c r="BC366" t="s">
        <v>98</v>
      </c>
      <c r="BD366" t="s">
        <v>99</v>
      </c>
      <c r="BE366" s="4">
        <v>5</v>
      </c>
      <c r="BF366" t="s">
        <v>111</v>
      </c>
      <c r="BG366" s="1" t="e">
        <v>#NULL!</v>
      </c>
      <c r="BH366" s="4">
        <v>1</v>
      </c>
      <c r="BI366" t="s">
        <v>83</v>
      </c>
      <c r="BJ366" s="4">
        <v>5</v>
      </c>
      <c r="BK366" t="s">
        <v>112</v>
      </c>
    </row>
    <row r="367" spans="1:63" x14ac:dyDescent="0.35">
      <c r="A367" s="4">
        <v>26</v>
      </c>
      <c r="B367" s="4">
        <v>52</v>
      </c>
      <c r="C367" t="s">
        <v>120</v>
      </c>
      <c r="D367" t="s">
        <v>89</v>
      </c>
      <c r="E367" t="s">
        <v>104</v>
      </c>
      <c r="F367" t="s">
        <v>115</v>
      </c>
      <c r="G367" t="s">
        <v>67</v>
      </c>
      <c r="H367" s="2">
        <v>300</v>
      </c>
      <c r="I367" t="s">
        <v>68</v>
      </c>
      <c r="J367" t="s">
        <v>69</v>
      </c>
      <c r="K367" t="s">
        <v>70</v>
      </c>
      <c r="L367" t="s">
        <v>69</v>
      </c>
      <c r="M367" s="4">
        <v>4</v>
      </c>
      <c r="N367" t="s">
        <v>91</v>
      </c>
      <c r="O367" s="4">
        <v>4</v>
      </c>
      <c r="P367" t="s">
        <v>91</v>
      </c>
      <c r="Q367" s="4">
        <v>3</v>
      </c>
      <c r="R367" t="s">
        <v>91</v>
      </c>
      <c r="S367" s="4">
        <v>3</v>
      </c>
      <c r="T367" t="s">
        <v>91</v>
      </c>
      <c r="U367" t="s">
        <v>103</v>
      </c>
      <c r="V367" t="s">
        <v>93</v>
      </c>
      <c r="W367" t="s">
        <v>93</v>
      </c>
      <c r="X367" t="s">
        <v>94</v>
      </c>
      <c r="Y367" t="s">
        <v>69</v>
      </c>
      <c r="Z367" s="4">
        <v>2</v>
      </c>
      <c r="AA367" t="s">
        <v>77</v>
      </c>
      <c r="AB367" s="4">
        <v>135</v>
      </c>
      <c r="AC367" s="4">
        <v>86</v>
      </c>
      <c r="AD367" s="4">
        <v>89</v>
      </c>
      <c r="AE367" s="4">
        <v>169</v>
      </c>
      <c r="AF367" s="4">
        <v>107</v>
      </c>
      <c r="AG367" s="4">
        <v>124</v>
      </c>
      <c r="AH367" s="4">
        <v>103</v>
      </c>
      <c r="AI367" s="4">
        <v>111</v>
      </c>
      <c r="AJ367" s="4">
        <v>60</v>
      </c>
      <c r="AK367" t="s">
        <v>78</v>
      </c>
      <c r="AL367" t="s">
        <v>79</v>
      </c>
      <c r="AM367" t="s">
        <v>108</v>
      </c>
      <c r="AN367" t="s">
        <v>109</v>
      </c>
      <c r="AO367" t="s">
        <v>82</v>
      </c>
      <c r="AP367" t="s">
        <v>85</v>
      </c>
      <c r="AQ367" t="s">
        <v>85</v>
      </c>
      <c r="AR367" t="s">
        <v>85</v>
      </c>
      <c r="AS367" t="s">
        <v>102</v>
      </c>
      <c r="AT367" t="s">
        <v>83</v>
      </c>
      <c r="AU367" t="s">
        <v>83</v>
      </c>
      <c r="AV367" t="s">
        <v>83</v>
      </c>
      <c r="AW367" s="4">
        <v>2</v>
      </c>
      <c r="AX367" s="4">
        <v>1</v>
      </c>
      <c r="AY367" s="4">
        <v>2</v>
      </c>
      <c r="AZ367" s="3">
        <v>1.69</v>
      </c>
      <c r="BA367" s="3">
        <v>2.8560999999999996</v>
      </c>
      <c r="BB367" s="3">
        <v>31.161373901474043</v>
      </c>
      <c r="BC367" t="s">
        <v>110</v>
      </c>
      <c r="BD367" t="s">
        <v>99</v>
      </c>
      <c r="BE367" s="4">
        <v>3</v>
      </c>
      <c r="BF367" t="s">
        <v>111</v>
      </c>
      <c r="BG367" s="1" t="e">
        <v>#NULL!</v>
      </c>
      <c r="BH367" s="4">
        <v>1</v>
      </c>
      <c r="BI367" t="s">
        <v>83</v>
      </c>
      <c r="BJ367" s="4">
        <v>3</v>
      </c>
      <c r="BK367" t="s">
        <v>112</v>
      </c>
    </row>
    <row r="368" spans="1:63" x14ac:dyDescent="0.35">
      <c r="A368" s="4">
        <v>203</v>
      </c>
      <c r="B368" s="4">
        <v>52</v>
      </c>
      <c r="C368" t="s">
        <v>120</v>
      </c>
      <c r="D368" t="s">
        <v>64</v>
      </c>
      <c r="E368" t="s">
        <v>104</v>
      </c>
      <c r="F368" t="s">
        <v>101</v>
      </c>
      <c r="G368" t="s">
        <v>67</v>
      </c>
      <c r="H368" s="2">
        <v>300</v>
      </c>
      <c r="I368" t="s">
        <v>68</v>
      </c>
      <c r="J368" t="s">
        <v>69</v>
      </c>
      <c r="K368" t="s">
        <v>69</v>
      </c>
      <c r="L368" t="s">
        <v>69</v>
      </c>
      <c r="M368" s="4">
        <v>2</v>
      </c>
      <c r="N368" t="s">
        <v>71</v>
      </c>
      <c r="O368" s="4">
        <v>2</v>
      </c>
      <c r="P368" t="s">
        <v>71</v>
      </c>
      <c r="Q368" s="4">
        <v>2</v>
      </c>
      <c r="R368" t="s">
        <v>71</v>
      </c>
      <c r="S368" s="4">
        <v>1</v>
      </c>
      <c r="T368" t="s">
        <v>71</v>
      </c>
      <c r="U368" t="s">
        <v>103</v>
      </c>
      <c r="V368" t="s">
        <v>74</v>
      </c>
      <c r="W368" t="s">
        <v>93</v>
      </c>
      <c r="X368" t="s">
        <v>94</v>
      </c>
      <c r="Y368" t="s">
        <v>70</v>
      </c>
      <c r="Z368" s="4">
        <v>4</v>
      </c>
      <c r="AA368" t="s">
        <v>77</v>
      </c>
      <c r="AB368" s="4">
        <v>110</v>
      </c>
      <c r="AC368" s="4">
        <v>72</v>
      </c>
      <c r="AD368" s="4">
        <v>85</v>
      </c>
      <c r="AE368" s="4">
        <v>182</v>
      </c>
      <c r="AF368" s="4">
        <v>90</v>
      </c>
      <c r="AG368" s="4">
        <v>105</v>
      </c>
      <c r="AH368" s="4">
        <v>87</v>
      </c>
      <c r="AI368" s="4">
        <v>140</v>
      </c>
      <c r="AJ368" s="4">
        <v>80</v>
      </c>
      <c r="AK368" t="s">
        <v>78</v>
      </c>
      <c r="AL368" t="s">
        <v>95</v>
      </c>
      <c r="AM368" t="s">
        <v>80</v>
      </c>
      <c r="AN368" t="s">
        <v>96</v>
      </c>
      <c r="AO368" t="s">
        <v>97</v>
      </c>
      <c r="AP368" t="s">
        <v>85</v>
      </c>
      <c r="AQ368" t="s">
        <v>85</v>
      </c>
      <c r="AR368" t="s">
        <v>85</v>
      </c>
      <c r="AS368" t="s">
        <v>84</v>
      </c>
      <c r="AT368" t="s">
        <v>85</v>
      </c>
      <c r="AU368" t="s">
        <v>83</v>
      </c>
      <c r="AV368" t="s">
        <v>85</v>
      </c>
      <c r="AW368" s="4">
        <v>0</v>
      </c>
      <c r="AX368" s="4">
        <v>0</v>
      </c>
      <c r="AY368" s="4">
        <v>0</v>
      </c>
      <c r="AZ368" s="3">
        <v>1.82</v>
      </c>
      <c r="BA368" s="3">
        <v>3.3124000000000002</v>
      </c>
      <c r="BB368" s="3">
        <v>25.661152034778407</v>
      </c>
      <c r="BC368" t="s">
        <v>98</v>
      </c>
      <c r="BD368" t="s">
        <v>99</v>
      </c>
      <c r="BE368" s="4">
        <v>0</v>
      </c>
      <c r="BF368" t="s">
        <v>87</v>
      </c>
      <c r="BG368" s="4">
        <v>0</v>
      </c>
      <c r="BH368" s="1" t="e">
        <v>#NULL!</v>
      </c>
      <c r="BI368" t="s">
        <v>85</v>
      </c>
      <c r="BJ368" s="4">
        <v>0</v>
      </c>
      <c r="BK368" t="s">
        <v>88</v>
      </c>
    </row>
    <row r="369" spans="1:63" x14ac:dyDescent="0.35">
      <c r="A369" s="4">
        <v>232</v>
      </c>
      <c r="B369" s="4">
        <v>52</v>
      </c>
      <c r="C369" t="s">
        <v>120</v>
      </c>
      <c r="D369" t="s">
        <v>64</v>
      </c>
      <c r="E369" t="s">
        <v>104</v>
      </c>
      <c r="F369" t="s">
        <v>101</v>
      </c>
      <c r="G369" t="s">
        <v>67</v>
      </c>
      <c r="H369" s="2">
        <v>400</v>
      </c>
      <c r="I369" t="s">
        <v>68</v>
      </c>
      <c r="J369" t="s">
        <v>69</v>
      </c>
      <c r="K369" t="s">
        <v>70</v>
      </c>
      <c r="L369" t="s">
        <v>69</v>
      </c>
      <c r="M369" s="4">
        <v>2</v>
      </c>
      <c r="N369" t="s">
        <v>71</v>
      </c>
      <c r="O369" s="4">
        <v>3</v>
      </c>
      <c r="P369" t="s">
        <v>91</v>
      </c>
      <c r="Q369" s="4">
        <v>4</v>
      </c>
      <c r="R369" t="s">
        <v>91</v>
      </c>
      <c r="S369" s="4">
        <v>4</v>
      </c>
      <c r="T369" t="s">
        <v>91</v>
      </c>
      <c r="U369" t="s">
        <v>103</v>
      </c>
      <c r="V369" t="s">
        <v>93</v>
      </c>
      <c r="W369" t="s">
        <v>93</v>
      </c>
      <c r="X369" t="s">
        <v>94</v>
      </c>
      <c r="Y369" t="s">
        <v>69</v>
      </c>
      <c r="Z369" s="4">
        <v>2</v>
      </c>
      <c r="AA369" t="s">
        <v>77</v>
      </c>
      <c r="AB369" s="4">
        <v>108</v>
      </c>
      <c r="AC369" s="4">
        <v>80</v>
      </c>
      <c r="AD369" s="4">
        <v>82</v>
      </c>
      <c r="AE369" s="4">
        <v>172</v>
      </c>
      <c r="AF369" s="4">
        <v>90</v>
      </c>
      <c r="AG369" s="4">
        <v>96</v>
      </c>
      <c r="AH369" s="4">
        <v>94</v>
      </c>
      <c r="AI369" s="4">
        <v>120</v>
      </c>
      <c r="AJ369" s="4">
        <v>60</v>
      </c>
      <c r="AK369" t="s">
        <v>78</v>
      </c>
      <c r="AL369" t="s">
        <v>95</v>
      </c>
      <c r="AM369" t="s">
        <v>80</v>
      </c>
      <c r="AN369" t="s">
        <v>96</v>
      </c>
      <c r="AO369" t="s">
        <v>97</v>
      </c>
      <c r="AP369" t="s">
        <v>85</v>
      </c>
      <c r="AQ369" t="s">
        <v>85</v>
      </c>
      <c r="AR369" t="s">
        <v>85</v>
      </c>
      <c r="AS369" t="s">
        <v>84</v>
      </c>
      <c r="AT369" t="s">
        <v>85</v>
      </c>
      <c r="AU369" t="s">
        <v>83</v>
      </c>
      <c r="AV369" t="s">
        <v>85</v>
      </c>
      <c r="AW369" s="4">
        <v>0</v>
      </c>
      <c r="AX369" s="4">
        <v>0</v>
      </c>
      <c r="AY369" s="4">
        <v>0</v>
      </c>
      <c r="AZ369" s="3">
        <v>1.72</v>
      </c>
      <c r="BA369" s="3">
        <v>2.9583999999999997</v>
      </c>
      <c r="BB369" s="3">
        <v>27.717685235262305</v>
      </c>
      <c r="BC369" t="s">
        <v>98</v>
      </c>
      <c r="BD369" t="s">
        <v>99</v>
      </c>
      <c r="BE369" s="4">
        <v>0</v>
      </c>
      <c r="BF369" t="s">
        <v>87</v>
      </c>
      <c r="BG369" s="4">
        <v>0</v>
      </c>
      <c r="BH369" s="1" t="e">
        <v>#NULL!</v>
      </c>
      <c r="BI369" t="s">
        <v>85</v>
      </c>
      <c r="BJ369" s="4">
        <v>0</v>
      </c>
      <c r="BK369" t="s">
        <v>88</v>
      </c>
    </row>
    <row r="370" spans="1:63" x14ac:dyDescent="0.35">
      <c r="A370" s="4">
        <v>242</v>
      </c>
      <c r="B370" s="4">
        <v>52</v>
      </c>
      <c r="C370" t="s">
        <v>120</v>
      </c>
      <c r="D370" t="s">
        <v>89</v>
      </c>
      <c r="E370" t="s">
        <v>104</v>
      </c>
      <c r="F370" t="s">
        <v>101</v>
      </c>
      <c r="G370" t="s">
        <v>67</v>
      </c>
      <c r="H370" s="2">
        <v>800</v>
      </c>
      <c r="I370" t="s">
        <v>105</v>
      </c>
      <c r="J370" t="s">
        <v>70</v>
      </c>
      <c r="K370" t="s">
        <v>69</v>
      </c>
      <c r="L370" t="s">
        <v>69</v>
      </c>
      <c r="M370" s="4">
        <v>2</v>
      </c>
      <c r="N370" t="s">
        <v>71</v>
      </c>
      <c r="O370" s="4">
        <v>2</v>
      </c>
      <c r="P370" t="s">
        <v>71</v>
      </c>
      <c r="Q370" s="4">
        <v>2</v>
      </c>
      <c r="R370" t="s">
        <v>71</v>
      </c>
      <c r="S370" s="4">
        <v>1</v>
      </c>
      <c r="T370" t="s">
        <v>71</v>
      </c>
      <c r="U370" t="s">
        <v>92</v>
      </c>
      <c r="V370" t="s">
        <v>93</v>
      </c>
      <c r="W370" t="s">
        <v>93</v>
      </c>
      <c r="X370" t="s">
        <v>94</v>
      </c>
      <c r="Y370" t="s">
        <v>69</v>
      </c>
      <c r="Z370" s="4">
        <v>4</v>
      </c>
      <c r="AA370" t="s">
        <v>77</v>
      </c>
      <c r="AB370" s="4">
        <v>118</v>
      </c>
      <c r="AC370" s="4">
        <v>78</v>
      </c>
      <c r="AD370" s="4">
        <v>80</v>
      </c>
      <c r="AE370" s="4">
        <v>168</v>
      </c>
      <c r="AF370" s="4">
        <v>93</v>
      </c>
      <c r="AG370" s="4">
        <v>105</v>
      </c>
      <c r="AH370" s="4">
        <v>124</v>
      </c>
      <c r="AI370" s="4">
        <v>142</v>
      </c>
      <c r="AJ370" s="4">
        <v>38</v>
      </c>
      <c r="AK370" t="s">
        <v>78</v>
      </c>
      <c r="AL370" t="s">
        <v>95</v>
      </c>
      <c r="AM370" t="s">
        <v>80</v>
      </c>
      <c r="AN370" t="s">
        <v>96</v>
      </c>
      <c r="AO370" t="s">
        <v>97</v>
      </c>
      <c r="AP370" t="s">
        <v>83</v>
      </c>
      <c r="AQ370" t="s">
        <v>83</v>
      </c>
      <c r="AR370" t="s">
        <v>83</v>
      </c>
      <c r="AS370" t="s">
        <v>102</v>
      </c>
      <c r="AT370" t="s">
        <v>85</v>
      </c>
      <c r="AU370" t="s">
        <v>83</v>
      </c>
      <c r="AV370" t="s">
        <v>83</v>
      </c>
      <c r="AW370" s="4">
        <v>2</v>
      </c>
      <c r="AX370" s="4">
        <v>1</v>
      </c>
      <c r="AY370" s="4">
        <v>2</v>
      </c>
      <c r="AZ370" s="3">
        <v>1.68</v>
      </c>
      <c r="BA370" s="3">
        <v>2.8223999999999996</v>
      </c>
      <c r="BB370" s="3">
        <v>28.344671201814062</v>
      </c>
      <c r="BC370" t="s">
        <v>98</v>
      </c>
      <c r="BD370" t="s">
        <v>99</v>
      </c>
      <c r="BE370" s="4">
        <v>3</v>
      </c>
      <c r="BF370" t="s">
        <v>111</v>
      </c>
      <c r="BG370" s="1" t="e">
        <v>#NULL!</v>
      </c>
      <c r="BH370" s="4">
        <v>1</v>
      </c>
      <c r="BI370" t="s">
        <v>83</v>
      </c>
      <c r="BJ370" s="4">
        <v>3</v>
      </c>
      <c r="BK370" t="s">
        <v>112</v>
      </c>
    </row>
    <row r="371" spans="1:63" x14ac:dyDescent="0.35">
      <c r="A371" s="4">
        <v>247</v>
      </c>
      <c r="B371" s="4">
        <v>52</v>
      </c>
      <c r="C371" t="s">
        <v>120</v>
      </c>
      <c r="D371" t="s">
        <v>64</v>
      </c>
      <c r="E371" t="s">
        <v>104</v>
      </c>
      <c r="F371" t="s">
        <v>101</v>
      </c>
      <c r="G371" t="s">
        <v>67</v>
      </c>
      <c r="H371" s="2">
        <v>600</v>
      </c>
      <c r="I371" t="s">
        <v>105</v>
      </c>
      <c r="J371" t="s">
        <v>69</v>
      </c>
      <c r="K371" t="s">
        <v>69</v>
      </c>
      <c r="L371" t="s">
        <v>69</v>
      </c>
      <c r="M371" s="4">
        <v>4</v>
      </c>
      <c r="N371" t="s">
        <v>91</v>
      </c>
      <c r="O371" s="4">
        <v>3</v>
      </c>
      <c r="P371" t="s">
        <v>91</v>
      </c>
      <c r="Q371" s="4">
        <v>4</v>
      </c>
      <c r="R371" t="s">
        <v>91</v>
      </c>
      <c r="S371" s="4">
        <v>5</v>
      </c>
      <c r="T371" t="s">
        <v>72</v>
      </c>
      <c r="U371" t="s">
        <v>92</v>
      </c>
      <c r="V371" t="s">
        <v>93</v>
      </c>
      <c r="W371" t="s">
        <v>75</v>
      </c>
      <c r="X371" t="s">
        <v>76</v>
      </c>
      <c r="Y371" t="s">
        <v>69</v>
      </c>
      <c r="Z371" s="4">
        <v>3</v>
      </c>
      <c r="AA371" t="s">
        <v>77</v>
      </c>
      <c r="AB371" s="4">
        <v>110</v>
      </c>
      <c r="AC371" s="4">
        <v>78</v>
      </c>
      <c r="AD371" s="4">
        <v>72</v>
      </c>
      <c r="AE371" s="4">
        <v>176</v>
      </c>
      <c r="AF371" s="4">
        <v>89</v>
      </c>
      <c r="AG371" s="4">
        <v>96</v>
      </c>
      <c r="AH371" s="4">
        <v>97</v>
      </c>
      <c r="AI371" s="4">
        <v>122</v>
      </c>
      <c r="AJ371" s="4">
        <v>56</v>
      </c>
      <c r="AK371" t="s">
        <v>78</v>
      </c>
      <c r="AL371" t="s">
        <v>95</v>
      </c>
      <c r="AM371" t="s">
        <v>80</v>
      </c>
      <c r="AN371" t="s">
        <v>96</v>
      </c>
      <c r="AO371" t="s">
        <v>97</v>
      </c>
      <c r="AP371" t="s">
        <v>85</v>
      </c>
      <c r="AQ371" t="s">
        <v>85</v>
      </c>
      <c r="AR371" t="s">
        <v>85</v>
      </c>
      <c r="AS371" t="s">
        <v>84</v>
      </c>
      <c r="AT371" t="s">
        <v>85</v>
      </c>
      <c r="AU371" t="s">
        <v>83</v>
      </c>
      <c r="AV371" t="s">
        <v>85</v>
      </c>
      <c r="AW371" s="4">
        <v>0</v>
      </c>
      <c r="AX371" s="4">
        <v>0</v>
      </c>
      <c r="AY371" s="4">
        <v>0</v>
      </c>
      <c r="AZ371" s="3">
        <v>1.76</v>
      </c>
      <c r="BA371" s="3">
        <v>3.0975999999999999</v>
      </c>
      <c r="BB371" s="3">
        <v>23.243801652892564</v>
      </c>
      <c r="BC371" t="s">
        <v>85</v>
      </c>
      <c r="BD371" t="s">
        <v>86</v>
      </c>
      <c r="BE371" s="4">
        <v>0</v>
      </c>
      <c r="BF371" t="s">
        <v>87</v>
      </c>
      <c r="BG371" s="4">
        <v>0</v>
      </c>
      <c r="BH371" s="1" t="e">
        <v>#NULL!</v>
      </c>
      <c r="BI371" t="s">
        <v>85</v>
      </c>
      <c r="BJ371" s="4">
        <v>0</v>
      </c>
      <c r="BK371" t="s">
        <v>88</v>
      </c>
    </row>
    <row r="372" spans="1:63" x14ac:dyDescent="0.35">
      <c r="A372" s="4">
        <v>370</v>
      </c>
      <c r="B372" s="4">
        <v>52</v>
      </c>
      <c r="C372" t="s">
        <v>120</v>
      </c>
      <c r="D372" t="s">
        <v>64</v>
      </c>
      <c r="E372" t="s">
        <v>104</v>
      </c>
      <c r="F372" t="s">
        <v>90</v>
      </c>
      <c r="G372" t="s">
        <v>67</v>
      </c>
      <c r="H372" s="2">
        <v>800</v>
      </c>
      <c r="I372" t="s">
        <v>105</v>
      </c>
      <c r="J372" t="s">
        <v>69</v>
      </c>
      <c r="K372" t="s">
        <v>69</v>
      </c>
      <c r="L372" t="s">
        <v>69</v>
      </c>
      <c r="M372" s="4">
        <v>4</v>
      </c>
      <c r="N372" t="s">
        <v>91</v>
      </c>
      <c r="O372" s="4">
        <v>3</v>
      </c>
      <c r="P372" t="s">
        <v>91</v>
      </c>
      <c r="Q372" s="4">
        <v>4</v>
      </c>
      <c r="R372" t="s">
        <v>91</v>
      </c>
      <c r="S372" s="4">
        <v>4</v>
      </c>
      <c r="T372" t="s">
        <v>91</v>
      </c>
      <c r="U372" t="s">
        <v>103</v>
      </c>
      <c r="V372" t="s">
        <v>93</v>
      </c>
      <c r="W372" t="s">
        <v>93</v>
      </c>
      <c r="X372" t="s">
        <v>94</v>
      </c>
      <c r="Y372" t="s">
        <v>70</v>
      </c>
      <c r="Z372" s="4">
        <v>4</v>
      </c>
      <c r="AA372" t="s">
        <v>77</v>
      </c>
      <c r="AB372" s="4">
        <v>107</v>
      </c>
      <c r="AC372" s="4">
        <v>78</v>
      </c>
      <c r="AD372" s="4">
        <v>86</v>
      </c>
      <c r="AE372" s="4">
        <v>176</v>
      </c>
      <c r="AF372" s="4">
        <v>90</v>
      </c>
      <c r="AG372" s="4">
        <v>102</v>
      </c>
      <c r="AH372" s="4">
        <v>88</v>
      </c>
      <c r="AI372" s="4">
        <v>122</v>
      </c>
      <c r="AJ372" s="4">
        <v>50</v>
      </c>
      <c r="AK372" t="s">
        <v>78</v>
      </c>
      <c r="AL372" t="s">
        <v>95</v>
      </c>
      <c r="AM372" t="s">
        <v>80</v>
      </c>
      <c r="AN372" t="s">
        <v>96</v>
      </c>
      <c r="AO372" t="s">
        <v>97</v>
      </c>
      <c r="AP372" t="s">
        <v>85</v>
      </c>
      <c r="AQ372" t="s">
        <v>85</v>
      </c>
      <c r="AR372" t="s">
        <v>85</v>
      </c>
      <c r="AS372" t="s">
        <v>84</v>
      </c>
      <c r="AT372" t="s">
        <v>85</v>
      </c>
      <c r="AU372" t="s">
        <v>83</v>
      </c>
      <c r="AV372" t="s">
        <v>85</v>
      </c>
      <c r="AW372" s="4">
        <v>0</v>
      </c>
      <c r="AX372" s="4">
        <v>0</v>
      </c>
      <c r="AY372" s="4">
        <v>0</v>
      </c>
      <c r="AZ372" s="3">
        <v>1.76</v>
      </c>
      <c r="BA372" s="3">
        <v>3.0975999999999999</v>
      </c>
      <c r="BB372" s="3">
        <v>27.763429752066116</v>
      </c>
      <c r="BC372" t="s">
        <v>98</v>
      </c>
      <c r="BD372" t="s">
        <v>99</v>
      </c>
      <c r="BE372" s="4">
        <v>0</v>
      </c>
      <c r="BF372" t="s">
        <v>87</v>
      </c>
      <c r="BG372" s="4">
        <v>0</v>
      </c>
      <c r="BH372" s="1" t="e">
        <v>#NULL!</v>
      </c>
      <c r="BI372" t="s">
        <v>85</v>
      </c>
      <c r="BJ372" s="4">
        <v>0</v>
      </c>
      <c r="BK372" t="s">
        <v>88</v>
      </c>
    </row>
    <row r="373" spans="1:63" x14ac:dyDescent="0.35">
      <c r="A373" s="4">
        <v>427</v>
      </c>
      <c r="B373" s="4">
        <v>52</v>
      </c>
      <c r="C373" t="s">
        <v>120</v>
      </c>
      <c r="D373" t="s">
        <v>89</v>
      </c>
      <c r="E373" t="s">
        <v>104</v>
      </c>
      <c r="F373" t="s">
        <v>90</v>
      </c>
      <c r="G373" t="s">
        <v>67</v>
      </c>
      <c r="H373" s="2">
        <v>600</v>
      </c>
      <c r="I373" t="s">
        <v>105</v>
      </c>
      <c r="J373" t="s">
        <v>69</v>
      </c>
      <c r="K373" t="s">
        <v>69</v>
      </c>
      <c r="L373" t="s">
        <v>69</v>
      </c>
      <c r="M373" s="4">
        <v>2</v>
      </c>
      <c r="N373" t="s">
        <v>71</v>
      </c>
      <c r="O373" s="4">
        <v>2</v>
      </c>
      <c r="P373" t="s">
        <v>71</v>
      </c>
      <c r="Q373" s="4">
        <v>3</v>
      </c>
      <c r="R373" t="s">
        <v>91</v>
      </c>
      <c r="S373" s="4">
        <v>2</v>
      </c>
      <c r="T373" t="s">
        <v>71</v>
      </c>
      <c r="U373" t="s">
        <v>73</v>
      </c>
      <c r="V373" t="s">
        <v>93</v>
      </c>
      <c r="W373" t="s">
        <v>93</v>
      </c>
      <c r="X373" t="s">
        <v>94</v>
      </c>
      <c r="Y373" t="s">
        <v>69</v>
      </c>
      <c r="Z373" s="4">
        <v>10</v>
      </c>
      <c r="AA373" t="s">
        <v>117</v>
      </c>
      <c r="AB373" s="4">
        <v>124</v>
      </c>
      <c r="AC373" s="4">
        <v>55</v>
      </c>
      <c r="AD373" s="4">
        <v>121</v>
      </c>
      <c r="AE373" s="4">
        <v>168</v>
      </c>
      <c r="AF373" s="4">
        <v>106</v>
      </c>
      <c r="AG373" s="4">
        <v>132</v>
      </c>
      <c r="AH373" s="4">
        <v>119</v>
      </c>
      <c r="AI373" s="4">
        <v>124</v>
      </c>
      <c r="AJ373" s="4">
        <v>40</v>
      </c>
      <c r="AK373" t="s">
        <v>78</v>
      </c>
      <c r="AL373" t="s">
        <v>95</v>
      </c>
      <c r="AM373" t="s">
        <v>80</v>
      </c>
      <c r="AN373" t="s">
        <v>96</v>
      </c>
      <c r="AO373" t="s">
        <v>97</v>
      </c>
      <c r="AP373" t="s">
        <v>83</v>
      </c>
      <c r="AQ373" t="s">
        <v>85</v>
      </c>
      <c r="AR373" t="s">
        <v>83</v>
      </c>
      <c r="AS373" t="s">
        <v>102</v>
      </c>
      <c r="AT373" t="s">
        <v>83</v>
      </c>
      <c r="AU373" t="s">
        <v>83</v>
      </c>
      <c r="AV373" t="s">
        <v>83</v>
      </c>
      <c r="AW373" s="4">
        <v>2</v>
      </c>
      <c r="AX373" s="4">
        <v>1</v>
      </c>
      <c r="AY373" s="4">
        <v>2</v>
      </c>
      <c r="AZ373" s="3">
        <v>1.68</v>
      </c>
      <c r="BA373" s="3">
        <v>2.8223999999999996</v>
      </c>
      <c r="BB373" s="3">
        <v>42.871315192743772</v>
      </c>
      <c r="BC373" t="s">
        <v>110</v>
      </c>
      <c r="BD373" t="s">
        <v>99</v>
      </c>
      <c r="BE373" s="4">
        <v>3</v>
      </c>
      <c r="BF373" t="s">
        <v>111</v>
      </c>
      <c r="BG373" s="1" t="e">
        <v>#NULL!</v>
      </c>
      <c r="BH373" s="4">
        <v>1</v>
      </c>
      <c r="BI373" t="s">
        <v>83</v>
      </c>
      <c r="BJ373" s="4">
        <v>3</v>
      </c>
      <c r="BK373" t="s">
        <v>112</v>
      </c>
    </row>
    <row r="374" spans="1:63" x14ac:dyDescent="0.35">
      <c r="A374" s="4">
        <v>454</v>
      </c>
      <c r="B374" s="4">
        <v>52</v>
      </c>
      <c r="C374" t="s">
        <v>120</v>
      </c>
      <c r="D374" t="s">
        <v>64</v>
      </c>
      <c r="E374" t="s">
        <v>104</v>
      </c>
      <c r="F374" t="s">
        <v>90</v>
      </c>
      <c r="G374" t="s">
        <v>67</v>
      </c>
      <c r="H374" s="2">
        <v>300</v>
      </c>
      <c r="I374" t="s">
        <v>68</v>
      </c>
      <c r="J374" t="s">
        <v>69</v>
      </c>
      <c r="K374" t="s">
        <v>70</v>
      </c>
      <c r="L374" t="s">
        <v>69</v>
      </c>
      <c r="M374" s="4">
        <v>4</v>
      </c>
      <c r="N374" t="s">
        <v>91</v>
      </c>
      <c r="O374" s="4">
        <v>3</v>
      </c>
      <c r="P374" t="s">
        <v>91</v>
      </c>
      <c r="Q374" s="4">
        <v>4</v>
      </c>
      <c r="R374" t="s">
        <v>91</v>
      </c>
      <c r="S374" s="4">
        <v>3</v>
      </c>
      <c r="T374" t="s">
        <v>91</v>
      </c>
      <c r="U374" t="s">
        <v>92</v>
      </c>
      <c r="V374" t="s">
        <v>93</v>
      </c>
      <c r="W374" t="s">
        <v>93</v>
      </c>
      <c r="X374" t="s">
        <v>94</v>
      </c>
      <c r="Y374" t="s">
        <v>69</v>
      </c>
      <c r="Z374" s="4">
        <v>3</v>
      </c>
      <c r="AA374" t="s">
        <v>77</v>
      </c>
      <c r="AB374" s="4">
        <v>110</v>
      </c>
      <c r="AC374" s="4">
        <v>72</v>
      </c>
      <c r="AD374" s="4">
        <v>86</v>
      </c>
      <c r="AE374" s="4">
        <v>176</v>
      </c>
      <c r="AF374" s="4">
        <v>88</v>
      </c>
      <c r="AG374" s="4">
        <v>96</v>
      </c>
      <c r="AH374" s="4">
        <v>88</v>
      </c>
      <c r="AI374" s="4">
        <v>140</v>
      </c>
      <c r="AJ374" s="4">
        <v>38</v>
      </c>
      <c r="AK374" t="s">
        <v>78</v>
      </c>
      <c r="AL374" t="s">
        <v>95</v>
      </c>
      <c r="AM374" t="s">
        <v>80</v>
      </c>
      <c r="AN374" t="s">
        <v>96</v>
      </c>
      <c r="AO374" t="s">
        <v>97</v>
      </c>
      <c r="AP374" t="s">
        <v>83</v>
      </c>
      <c r="AQ374" t="s">
        <v>83</v>
      </c>
      <c r="AR374" t="s">
        <v>83</v>
      </c>
      <c r="AS374" t="s">
        <v>84</v>
      </c>
      <c r="AT374" t="s">
        <v>85</v>
      </c>
      <c r="AU374" t="s">
        <v>83</v>
      </c>
      <c r="AV374" t="s">
        <v>85</v>
      </c>
      <c r="AW374" s="4">
        <v>1</v>
      </c>
      <c r="AX374" s="4">
        <v>0</v>
      </c>
      <c r="AY374" s="4">
        <v>0</v>
      </c>
      <c r="AZ374" s="3">
        <v>1.76</v>
      </c>
      <c r="BA374" s="3">
        <v>3.0975999999999999</v>
      </c>
      <c r="BB374" s="3">
        <v>27.763429752066116</v>
      </c>
      <c r="BC374" t="s">
        <v>98</v>
      </c>
      <c r="BD374" t="s">
        <v>99</v>
      </c>
      <c r="BE374" s="4">
        <v>1</v>
      </c>
      <c r="BF374" t="s">
        <v>87</v>
      </c>
      <c r="BG374" s="4">
        <v>0</v>
      </c>
      <c r="BH374" s="1" t="e">
        <v>#NULL!</v>
      </c>
      <c r="BI374" t="s">
        <v>85</v>
      </c>
      <c r="BJ374" s="4">
        <v>1</v>
      </c>
      <c r="BK374" t="s">
        <v>88</v>
      </c>
    </row>
    <row r="375" spans="1:63" x14ac:dyDescent="0.35">
      <c r="A375" s="4">
        <v>37</v>
      </c>
      <c r="B375" s="4">
        <v>53</v>
      </c>
      <c r="C375" t="s">
        <v>120</v>
      </c>
      <c r="D375" t="s">
        <v>89</v>
      </c>
      <c r="E375" t="s">
        <v>104</v>
      </c>
      <c r="F375" t="s">
        <v>90</v>
      </c>
      <c r="G375" t="s">
        <v>67</v>
      </c>
      <c r="H375" s="2">
        <v>600</v>
      </c>
      <c r="I375" t="s">
        <v>105</v>
      </c>
      <c r="J375" t="s">
        <v>69</v>
      </c>
      <c r="K375" t="s">
        <v>70</v>
      </c>
      <c r="L375" t="s">
        <v>69</v>
      </c>
      <c r="M375" s="4">
        <v>2</v>
      </c>
      <c r="N375" t="s">
        <v>71</v>
      </c>
      <c r="O375" s="4">
        <v>2</v>
      </c>
      <c r="P375" t="s">
        <v>71</v>
      </c>
      <c r="Q375" s="4">
        <v>3</v>
      </c>
      <c r="R375" t="s">
        <v>91</v>
      </c>
      <c r="S375" s="4">
        <v>3</v>
      </c>
      <c r="T375" t="s">
        <v>91</v>
      </c>
      <c r="U375" t="s">
        <v>73</v>
      </c>
      <c r="V375" t="s">
        <v>93</v>
      </c>
      <c r="W375" t="s">
        <v>93</v>
      </c>
      <c r="X375" t="s">
        <v>94</v>
      </c>
      <c r="Y375" t="s">
        <v>69</v>
      </c>
      <c r="Z375" s="4">
        <v>10</v>
      </c>
      <c r="AA375" t="s">
        <v>117</v>
      </c>
      <c r="AB375" s="4">
        <v>124</v>
      </c>
      <c r="AC375" s="4">
        <v>55</v>
      </c>
      <c r="AD375" s="4">
        <v>121</v>
      </c>
      <c r="AE375" s="4">
        <v>168</v>
      </c>
      <c r="AF375" s="4">
        <v>106</v>
      </c>
      <c r="AG375" s="4">
        <v>132</v>
      </c>
      <c r="AH375" s="4">
        <v>119</v>
      </c>
      <c r="AI375" s="4">
        <v>124</v>
      </c>
      <c r="AJ375" s="4">
        <v>40</v>
      </c>
      <c r="AK375" t="s">
        <v>78</v>
      </c>
      <c r="AL375" t="s">
        <v>95</v>
      </c>
      <c r="AM375" t="s">
        <v>80</v>
      </c>
      <c r="AN375" t="s">
        <v>96</v>
      </c>
      <c r="AO375" t="s">
        <v>97</v>
      </c>
      <c r="AP375" t="s">
        <v>83</v>
      </c>
      <c r="AQ375" t="s">
        <v>85</v>
      </c>
      <c r="AR375" t="s">
        <v>83</v>
      </c>
      <c r="AS375" t="s">
        <v>102</v>
      </c>
      <c r="AT375" t="s">
        <v>83</v>
      </c>
      <c r="AU375" t="s">
        <v>83</v>
      </c>
      <c r="AV375" t="s">
        <v>83</v>
      </c>
      <c r="AW375" s="4">
        <v>2</v>
      </c>
      <c r="AX375" s="4">
        <v>1</v>
      </c>
      <c r="AY375" s="4">
        <v>2</v>
      </c>
      <c r="AZ375" s="3">
        <v>1.68</v>
      </c>
      <c r="BA375" s="3">
        <v>2.8223999999999996</v>
      </c>
      <c r="BB375" s="3">
        <v>42.871315192743772</v>
      </c>
      <c r="BC375" t="s">
        <v>110</v>
      </c>
      <c r="BD375" t="s">
        <v>99</v>
      </c>
      <c r="BE375" s="4">
        <v>3</v>
      </c>
      <c r="BF375" t="s">
        <v>111</v>
      </c>
      <c r="BG375" s="1" t="e">
        <v>#NULL!</v>
      </c>
      <c r="BH375" s="4">
        <v>1</v>
      </c>
      <c r="BI375" t="s">
        <v>83</v>
      </c>
      <c r="BJ375" s="4">
        <v>3</v>
      </c>
      <c r="BK375" t="s">
        <v>112</v>
      </c>
    </row>
    <row r="376" spans="1:63" x14ac:dyDescent="0.35">
      <c r="A376" s="4">
        <v>228</v>
      </c>
      <c r="B376" s="4">
        <v>53</v>
      </c>
      <c r="C376" t="s">
        <v>120</v>
      </c>
      <c r="D376" t="s">
        <v>64</v>
      </c>
      <c r="E376" t="s">
        <v>104</v>
      </c>
      <c r="F376" t="s">
        <v>90</v>
      </c>
      <c r="G376" t="s">
        <v>67</v>
      </c>
      <c r="H376" s="2">
        <v>300</v>
      </c>
      <c r="I376" t="s">
        <v>68</v>
      </c>
      <c r="J376" t="s">
        <v>69</v>
      </c>
      <c r="K376" t="s">
        <v>70</v>
      </c>
      <c r="L376" t="s">
        <v>69</v>
      </c>
      <c r="M376" s="4">
        <v>4</v>
      </c>
      <c r="N376" t="s">
        <v>91</v>
      </c>
      <c r="O376" s="4">
        <v>3</v>
      </c>
      <c r="P376" t="s">
        <v>91</v>
      </c>
      <c r="Q376" s="4">
        <v>4</v>
      </c>
      <c r="R376" t="s">
        <v>91</v>
      </c>
      <c r="S376" s="4">
        <v>3</v>
      </c>
      <c r="T376" t="s">
        <v>91</v>
      </c>
      <c r="U376" t="s">
        <v>92</v>
      </c>
      <c r="V376" t="s">
        <v>93</v>
      </c>
      <c r="W376" t="s">
        <v>93</v>
      </c>
      <c r="X376" t="s">
        <v>94</v>
      </c>
      <c r="Y376" t="s">
        <v>69</v>
      </c>
      <c r="Z376" s="4">
        <v>3</v>
      </c>
      <c r="AA376" t="s">
        <v>77</v>
      </c>
      <c r="AB376" s="4">
        <v>110</v>
      </c>
      <c r="AC376" s="4">
        <v>72</v>
      </c>
      <c r="AD376" s="4">
        <v>86</v>
      </c>
      <c r="AE376" s="4">
        <v>176</v>
      </c>
      <c r="AF376" s="4">
        <v>88</v>
      </c>
      <c r="AG376" s="4">
        <v>96</v>
      </c>
      <c r="AH376" s="4">
        <v>88</v>
      </c>
      <c r="AI376" s="4">
        <v>140</v>
      </c>
      <c r="AJ376" s="4">
        <v>38</v>
      </c>
      <c r="AK376" t="s">
        <v>78</v>
      </c>
      <c r="AL376" t="s">
        <v>95</v>
      </c>
      <c r="AM376" t="s">
        <v>80</v>
      </c>
      <c r="AN376" t="s">
        <v>96</v>
      </c>
      <c r="AO376" t="s">
        <v>97</v>
      </c>
      <c r="AP376" t="s">
        <v>83</v>
      </c>
      <c r="AQ376" t="s">
        <v>83</v>
      </c>
      <c r="AR376" t="s">
        <v>83</v>
      </c>
      <c r="AS376" t="s">
        <v>84</v>
      </c>
      <c r="AT376" t="s">
        <v>85</v>
      </c>
      <c r="AU376" t="s">
        <v>83</v>
      </c>
      <c r="AV376" t="s">
        <v>85</v>
      </c>
      <c r="AW376" s="4">
        <v>1</v>
      </c>
      <c r="AX376" s="4">
        <v>0</v>
      </c>
      <c r="AY376" s="4">
        <v>0</v>
      </c>
      <c r="AZ376" s="3">
        <v>1.76</v>
      </c>
      <c r="BA376" s="3">
        <v>3.0975999999999999</v>
      </c>
      <c r="BB376" s="3">
        <v>27.763429752066116</v>
      </c>
      <c r="BC376" t="s">
        <v>98</v>
      </c>
      <c r="BD376" t="s">
        <v>99</v>
      </c>
      <c r="BE376" s="4">
        <v>1</v>
      </c>
      <c r="BF376" t="s">
        <v>87</v>
      </c>
      <c r="BG376" s="4">
        <v>0</v>
      </c>
      <c r="BH376" s="1" t="e">
        <v>#NULL!</v>
      </c>
      <c r="BI376" t="s">
        <v>85</v>
      </c>
      <c r="BJ376" s="4">
        <v>1</v>
      </c>
      <c r="BK376" t="s">
        <v>88</v>
      </c>
    </row>
    <row r="377" spans="1:63" x14ac:dyDescent="0.35">
      <c r="A377" s="4">
        <v>322</v>
      </c>
      <c r="B377" s="4">
        <v>53</v>
      </c>
      <c r="C377" t="s">
        <v>120</v>
      </c>
      <c r="D377" t="s">
        <v>64</v>
      </c>
      <c r="E377" t="s">
        <v>104</v>
      </c>
      <c r="F377" t="s">
        <v>101</v>
      </c>
      <c r="G377" t="s">
        <v>67</v>
      </c>
      <c r="H377" s="2">
        <v>400</v>
      </c>
      <c r="I377" t="s">
        <v>68</v>
      </c>
      <c r="J377" t="s">
        <v>69</v>
      </c>
      <c r="K377" t="s">
        <v>70</v>
      </c>
      <c r="L377" t="s">
        <v>69</v>
      </c>
      <c r="M377" s="4">
        <v>2</v>
      </c>
      <c r="N377" t="s">
        <v>71</v>
      </c>
      <c r="O377" s="4">
        <v>3</v>
      </c>
      <c r="P377" t="s">
        <v>91</v>
      </c>
      <c r="Q377" s="4">
        <v>4</v>
      </c>
      <c r="R377" t="s">
        <v>91</v>
      </c>
      <c r="S377" s="4">
        <v>4</v>
      </c>
      <c r="T377" t="s">
        <v>91</v>
      </c>
      <c r="U377" t="s">
        <v>103</v>
      </c>
      <c r="V377" t="s">
        <v>93</v>
      </c>
      <c r="W377" t="s">
        <v>93</v>
      </c>
      <c r="X377" t="s">
        <v>94</v>
      </c>
      <c r="Y377" t="s">
        <v>69</v>
      </c>
      <c r="Z377" s="4">
        <v>2</v>
      </c>
      <c r="AA377" t="s">
        <v>77</v>
      </c>
      <c r="AB377" s="4">
        <v>108</v>
      </c>
      <c r="AC377" s="4">
        <v>80</v>
      </c>
      <c r="AD377" s="4">
        <v>82</v>
      </c>
      <c r="AE377" s="4">
        <v>172</v>
      </c>
      <c r="AF377" s="4">
        <v>90</v>
      </c>
      <c r="AG377" s="4">
        <v>96</v>
      </c>
      <c r="AH377" s="4">
        <v>94</v>
      </c>
      <c r="AI377" s="4">
        <v>120</v>
      </c>
      <c r="AJ377" s="4">
        <v>60</v>
      </c>
      <c r="AK377" t="s">
        <v>78</v>
      </c>
      <c r="AL377" t="s">
        <v>95</v>
      </c>
      <c r="AM377" t="s">
        <v>80</v>
      </c>
      <c r="AN377" t="s">
        <v>96</v>
      </c>
      <c r="AO377" t="s">
        <v>97</v>
      </c>
      <c r="AP377" t="s">
        <v>85</v>
      </c>
      <c r="AQ377" t="s">
        <v>85</v>
      </c>
      <c r="AR377" t="s">
        <v>85</v>
      </c>
      <c r="AS377" t="s">
        <v>84</v>
      </c>
      <c r="AT377" t="s">
        <v>85</v>
      </c>
      <c r="AU377" t="s">
        <v>83</v>
      </c>
      <c r="AV377" t="s">
        <v>85</v>
      </c>
      <c r="AW377" s="4">
        <v>0</v>
      </c>
      <c r="AX377" s="4">
        <v>0</v>
      </c>
      <c r="AY377" s="4">
        <v>0</v>
      </c>
      <c r="AZ377" s="3">
        <v>1.72</v>
      </c>
      <c r="BA377" s="3">
        <v>2.9583999999999997</v>
      </c>
      <c r="BB377" s="3">
        <v>27.717685235262305</v>
      </c>
      <c r="BC377" t="s">
        <v>98</v>
      </c>
      <c r="BD377" t="s">
        <v>99</v>
      </c>
      <c r="BE377" s="4">
        <v>0</v>
      </c>
      <c r="BF377" t="s">
        <v>87</v>
      </c>
      <c r="BG377" s="4">
        <v>0</v>
      </c>
      <c r="BH377" s="1" t="e">
        <v>#NULL!</v>
      </c>
      <c r="BI377" t="s">
        <v>85</v>
      </c>
      <c r="BJ377" s="4">
        <v>0</v>
      </c>
      <c r="BK377" t="s">
        <v>88</v>
      </c>
    </row>
    <row r="378" spans="1:63" x14ac:dyDescent="0.35">
      <c r="A378" s="4">
        <v>323</v>
      </c>
      <c r="B378" s="4">
        <v>53</v>
      </c>
      <c r="C378" t="s">
        <v>120</v>
      </c>
      <c r="D378" t="s">
        <v>89</v>
      </c>
      <c r="E378" t="s">
        <v>104</v>
      </c>
      <c r="F378" t="s">
        <v>101</v>
      </c>
      <c r="G378" t="s">
        <v>67</v>
      </c>
      <c r="H378" s="2">
        <v>800</v>
      </c>
      <c r="I378" t="s">
        <v>105</v>
      </c>
      <c r="J378" t="s">
        <v>70</v>
      </c>
      <c r="K378" t="s">
        <v>69</v>
      </c>
      <c r="L378" t="s">
        <v>69</v>
      </c>
      <c r="M378" s="4">
        <v>2</v>
      </c>
      <c r="N378" t="s">
        <v>71</v>
      </c>
      <c r="O378" s="4">
        <v>2</v>
      </c>
      <c r="P378" t="s">
        <v>71</v>
      </c>
      <c r="Q378" s="4">
        <v>2</v>
      </c>
      <c r="R378" t="s">
        <v>71</v>
      </c>
      <c r="S378" s="4">
        <v>1</v>
      </c>
      <c r="T378" t="s">
        <v>71</v>
      </c>
      <c r="U378" t="s">
        <v>92</v>
      </c>
      <c r="V378" t="s">
        <v>93</v>
      </c>
      <c r="W378" t="s">
        <v>93</v>
      </c>
      <c r="X378" t="s">
        <v>94</v>
      </c>
      <c r="Y378" t="s">
        <v>69</v>
      </c>
      <c r="Z378" s="4">
        <v>4</v>
      </c>
      <c r="AA378" t="s">
        <v>77</v>
      </c>
      <c r="AB378" s="4">
        <v>118</v>
      </c>
      <c r="AC378" s="4">
        <v>78</v>
      </c>
      <c r="AD378" s="4">
        <v>80</v>
      </c>
      <c r="AE378" s="4">
        <v>168</v>
      </c>
      <c r="AF378" s="4">
        <v>93</v>
      </c>
      <c r="AG378" s="4">
        <v>105</v>
      </c>
      <c r="AH378" s="4">
        <v>124</v>
      </c>
      <c r="AI378" s="4">
        <v>142</v>
      </c>
      <c r="AJ378" s="4">
        <v>38</v>
      </c>
      <c r="AK378" t="s">
        <v>78</v>
      </c>
      <c r="AL378" t="s">
        <v>95</v>
      </c>
      <c r="AM378" t="s">
        <v>80</v>
      </c>
      <c r="AN378" t="s">
        <v>96</v>
      </c>
      <c r="AO378" t="s">
        <v>97</v>
      </c>
      <c r="AP378" t="s">
        <v>83</v>
      </c>
      <c r="AQ378" t="s">
        <v>83</v>
      </c>
      <c r="AR378" t="s">
        <v>83</v>
      </c>
      <c r="AS378" t="s">
        <v>102</v>
      </c>
      <c r="AT378" t="s">
        <v>85</v>
      </c>
      <c r="AU378" t="s">
        <v>83</v>
      </c>
      <c r="AV378" t="s">
        <v>83</v>
      </c>
      <c r="AW378" s="4">
        <v>2</v>
      </c>
      <c r="AX378" s="4">
        <v>1</v>
      </c>
      <c r="AY378" s="4">
        <v>2</v>
      </c>
      <c r="AZ378" s="3">
        <v>1.68</v>
      </c>
      <c r="BA378" s="3">
        <v>2.8223999999999996</v>
      </c>
      <c r="BB378" s="3">
        <v>28.344671201814062</v>
      </c>
      <c r="BC378" t="s">
        <v>98</v>
      </c>
      <c r="BD378" t="s">
        <v>99</v>
      </c>
      <c r="BE378" s="4">
        <v>3</v>
      </c>
      <c r="BF378" t="s">
        <v>111</v>
      </c>
      <c r="BG378" s="1" t="e">
        <v>#NULL!</v>
      </c>
      <c r="BH378" s="4">
        <v>1</v>
      </c>
      <c r="BI378" t="s">
        <v>83</v>
      </c>
      <c r="BJ378" s="4">
        <v>3</v>
      </c>
      <c r="BK378" t="s">
        <v>112</v>
      </c>
    </row>
    <row r="379" spans="1:63" x14ac:dyDescent="0.35">
      <c r="A379" s="4">
        <v>344</v>
      </c>
      <c r="B379" s="4">
        <v>53</v>
      </c>
      <c r="C379" t="s">
        <v>120</v>
      </c>
      <c r="D379" t="s">
        <v>64</v>
      </c>
      <c r="E379" t="s">
        <v>104</v>
      </c>
      <c r="F379" t="s">
        <v>101</v>
      </c>
      <c r="G379" t="s">
        <v>67</v>
      </c>
      <c r="H379" s="2">
        <v>300</v>
      </c>
      <c r="I379" t="s">
        <v>68</v>
      </c>
      <c r="J379" t="s">
        <v>69</v>
      </c>
      <c r="K379" t="s">
        <v>69</v>
      </c>
      <c r="L379" t="s">
        <v>69</v>
      </c>
      <c r="M379" s="4">
        <v>2</v>
      </c>
      <c r="N379" t="s">
        <v>71</v>
      </c>
      <c r="O379" s="4">
        <v>2</v>
      </c>
      <c r="P379" t="s">
        <v>71</v>
      </c>
      <c r="Q379" s="4">
        <v>2</v>
      </c>
      <c r="R379" t="s">
        <v>71</v>
      </c>
      <c r="S379" s="4">
        <v>1</v>
      </c>
      <c r="T379" t="s">
        <v>71</v>
      </c>
      <c r="U379" t="s">
        <v>103</v>
      </c>
      <c r="V379" t="s">
        <v>74</v>
      </c>
      <c r="W379" t="s">
        <v>93</v>
      </c>
      <c r="X379" t="s">
        <v>94</v>
      </c>
      <c r="Y379" t="s">
        <v>70</v>
      </c>
      <c r="Z379" s="4">
        <v>4</v>
      </c>
      <c r="AA379" t="s">
        <v>77</v>
      </c>
      <c r="AB379" s="4">
        <v>110</v>
      </c>
      <c r="AC379" s="4">
        <v>72</v>
      </c>
      <c r="AD379" s="4">
        <v>85</v>
      </c>
      <c r="AE379" s="4">
        <v>182</v>
      </c>
      <c r="AF379" s="4">
        <v>90</v>
      </c>
      <c r="AG379" s="4">
        <v>105</v>
      </c>
      <c r="AH379" s="4">
        <v>87</v>
      </c>
      <c r="AI379" s="4">
        <v>140</v>
      </c>
      <c r="AJ379" s="4">
        <v>80</v>
      </c>
      <c r="AK379" t="s">
        <v>78</v>
      </c>
      <c r="AL379" t="s">
        <v>95</v>
      </c>
      <c r="AM379" t="s">
        <v>80</v>
      </c>
      <c r="AN379" t="s">
        <v>96</v>
      </c>
      <c r="AO379" t="s">
        <v>97</v>
      </c>
      <c r="AP379" t="s">
        <v>85</v>
      </c>
      <c r="AQ379" t="s">
        <v>85</v>
      </c>
      <c r="AR379" t="s">
        <v>85</v>
      </c>
      <c r="AS379" t="s">
        <v>84</v>
      </c>
      <c r="AT379" t="s">
        <v>85</v>
      </c>
      <c r="AU379" t="s">
        <v>83</v>
      </c>
      <c r="AV379" t="s">
        <v>85</v>
      </c>
      <c r="AW379" s="4">
        <v>0</v>
      </c>
      <c r="AX379" s="4">
        <v>0</v>
      </c>
      <c r="AY379" s="4">
        <v>0</v>
      </c>
      <c r="AZ379" s="3">
        <v>1.82</v>
      </c>
      <c r="BA379" s="3">
        <v>3.3124000000000002</v>
      </c>
      <c r="BB379" s="3">
        <v>25.661152034778407</v>
      </c>
      <c r="BC379" t="s">
        <v>98</v>
      </c>
      <c r="BD379" t="s">
        <v>99</v>
      </c>
      <c r="BE379" s="4">
        <v>0</v>
      </c>
      <c r="BF379" t="s">
        <v>87</v>
      </c>
      <c r="BG379" s="4">
        <v>0</v>
      </c>
      <c r="BH379" s="1" t="e">
        <v>#NULL!</v>
      </c>
      <c r="BI379" t="s">
        <v>85</v>
      </c>
      <c r="BJ379" s="4">
        <v>0</v>
      </c>
      <c r="BK379" t="s">
        <v>88</v>
      </c>
    </row>
    <row r="380" spans="1:63" x14ac:dyDescent="0.35">
      <c r="A380" s="4">
        <v>376</v>
      </c>
      <c r="B380" s="4">
        <v>53</v>
      </c>
      <c r="C380" t="s">
        <v>120</v>
      </c>
      <c r="D380" t="s">
        <v>89</v>
      </c>
      <c r="E380" t="s">
        <v>104</v>
      </c>
      <c r="F380" t="s">
        <v>115</v>
      </c>
      <c r="G380" t="s">
        <v>67</v>
      </c>
      <c r="H380" s="2">
        <v>300</v>
      </c>
      <c r="I380" t="s">
        <v>68</v>
      </c>
      <c r="J380" t="s">
        <v>69</v>
      </c>
      <c r="K380" t="s">
        <v>69</v>
      </c>
      <c r="L380" t="s">
        <v>69</v>
      </c>
      <c r="M380" s="4">
        <v>4</v>
      </c>
      <c r="N380" t="s">
        <v>91</v>
      </c>
      <c r="O380" s="4">
        <v>4</v>
      </c>
      <c r="P380" t="s">
        <v>91</v>
      </c>
      <c r="Q380" s="4">
        <v>3</v>
      </c>
      <c r="R380" t="s">
        <v>91</v>
      </c>
      <c r="S380" s="4">
        <v>3</v>
      </c>
      <c r="T380" t="s">
        <v>91</v>
      </c>
      <c r="U380" t="s">
        <v>103</v>
      </c>
      <c r="V380" t="s">
        <v>93</v>
      </c>
      <c r="W380" t="s">
        <v>93</v>
      </c>
      <c r="X380" t="s">
        <v>94</v>
      </c>
      <c r="Y380" t="s">
        <v>69</v>
      </c>
      <c r="Z380" s="4">
        <v>2</v>
      </c>
      <c r="AA380" t="s">
        <v>77</v>
      </c>
      <c r="AB380" s="4">
        <v>135</v>
      </c>
      <c r="AC380" s="4">
        <v>86</v>
      </c>
      <c r="AD380" s="4">
        <v>89</v>
      </c>
      <c r="AE380" s="4">
        <v>169</v>
      </c>
      <c r="AF380" s="4">
        <v>107</v>
      </c>
      <c r="AG380" s="4">
        <v>124</v>
      </c>
      <c r="AH380" s="4">
        <v>103</v>
      </c>
      <c r="AI380" s="4">
        <v>111</v>
      </c>
      <c r="AJ380" s="4">
        <v>60</v>
      </c>
      <c r="AK380" t="s">
        <v>78</v>
      </c>
      <c r="AL380" t="s">
        <v>79</v>
      </c>
      <c r="AM380" t="s">
        <v>108</v>
      </c>
      <c r="AN380" t="s">
        <v>109</v>
      </c>
      <c r="AO380" t="s">
        <v>82</v>
      </c>
      <c r="AP380" t="s">
        <v>85</v>
      </c>
      <c r="AQ380" t="s">
        <v>85</v>
      </c>
      <c r="AR380" t="s">
        <v>85</v>
      </c>
      <c r="AS380" t="s">
        <v>102</v>
      </c>
      <c r="AT380" t="s">
        <v>83</v>
      </c>
      <c r="AU380" t="s">
        <v>83</v>
      </c>
      <c r="AV380" t="s">
        <v>83</v>
      </c>
      <c r="AW380" s="4">
        <v>2</v>
      </c>
      <c r="AX380" s="4">
        <v>1</v>
      </c>
      <c r="AY380" s="4">
        <v>2</v>
      </c>
      <c r="AZ380" s="3">
        <v>1.69</v>
      </c>
      <c r="BA380" s="3">
        <v>2.8560999999999996</v>
      </c>
      <c r="BB380" s="3">
        <v>31.161373901474043</v>
      </c>
      <c r="BC380" t="s">
        <v>110</v>
      </c>
      <c r="BD380" t="s">
        <v>99</v>
      </c>
      <c r="BE380" s="4">
        <v>3</v>
      </c>
      <c r="BF380" t="s">
        <v>111</v>
      </c>
      <c r="BG380" s="1" t="e">
        <v>#NULL!</v>
      </c>
      <c r="BH380" s="4">
        <v>1</v>
      </c>
      <c r="BI380" t="s">
        <v>83</v>
      </c>
      <c r="BJ380" s="4">
        <v>3</v>
      </c>
      <c r="BK380" t="s">
        <v>112</v>
      </c>
    </row>
    <row r="381" spans="1:63" x14ac:dyDescent="0.35">
      <c r="A381" s="4">
        <v>36</v>
      </c>
      <c r="B381" s="4">
        <v>54</v>
      </c>
      <c r="C381" t="s">
        <v>120</v>
      </c>
      <c r="D381" t="s">
        <v>89</v>
      </c>
      <c r="E381" t="s">
        <v>104</v>
      </c>
      <c r="F381" t="s">
        <v>115</v>
      </c>
      <c r="G381" t="s">
        <v>67</v>
      </c>
      <c r="H381" s="2">
        <v>200</v>
      </c>
      <c r="I381" t="s">
        <v>68</v>
      </c>
      <c r="J381" t="s">
        <v>69</v>
      </c>
      <c r="K381" t="s">
        <v>69</v>
      </c>
      <c r="L381" t="s">
        <v>69</v>
      </c>
      <c r="M381" s="4">
        <v>1</v>
      </c>
      <c r="N381" t="s">
        <v>71</v>
      </c>
      <c r="O381" s="4">
        <v>2</v>
      </c>
      <c r="P381" t="s">
        <v>71</v>
      </c>
      <c r="Q381" s="4">
        <v>2</v>
      </c>
      <c r="R381" t="s">
        <v>71</v>
      </c>
      <c r="S381" s="4">
        <v>2</v>
      </c>
      <c r="T381" t="s">
        <v>71</v>
      </c>
      <c r="U381" t="s">
        <v>92</v>
      </c>
      <c r="V381" t="s">
        <v>93</v>
      </c>
      <c r="W381" t="s">
        <v>93</v>
      </c>
      <c r="X381" t="s">
        <v>94</v>
      </c>
      <c r="Y381" t="s">
        <v>69</v>
      </c>
      <c r="Z381" s="4">
        <v>10</v>
      </c>
      <c r="AA381" t="s">
        <v>117</v>
      </c>
      <c r="AB381" s="4">
        <v>148</v>
      </c>
      <c r="AC381" s="4">
        <v>95</v>
      </c>
      <c r="AD381" s="4">
        <v>73</v>
      </c>
      <c r="AE381" s="4">
        <v>168</v>
      </c>
      <c r="AF381" s="4">
        <v>79</v>
      </c>
      <c r="AG381" s="4">
        <v>94</v>
      </c>
      <c r="AH381" s="4">
        <v>98</v>
      </c>
      <c r="AI381" s="4">
        <v>125</v>
      </c>
      <c r="AJ381" s="4">
        <v>51</v>
      </c>
      <c r="AK381" t="s">
        <v>78</v>
      </c>
      <c r="AL381" t="s">
        <v>79</v>
      </c>
      <c r="AM381" t="s">
        <v>108</v>
      </c>
      <c r="AN381" t="s">
        <v>109</v>
      </c>
      <c r="AO381" t="s">
        <v>82</v>
      </c>
      <c r="AP381" t="s">
        <v>85</v>
      </c>
      <c r="AQ381" t="s">
        <v>85</v>
      </c>
      <c r="AR381" t="s">
        <v>85</v>
      </c>
      <c r="AS381" t="s">
        <v>84</v>
      </c>
      <c r="AT381" t="s">
        <v>85</v>
      </c>
      <c r="AU381" t="s">
        <v>85</v>
      </c>
      <c r="AV381" t="s">
        <v>85</v>
      </c>
      <c r="AW381" s="4">
        <v>1</v>
      </c>
      <c r="AX381" s="4">
        <v>0</v>
      </c>
      <c r="AY381" s="4">
        <v>0</v>
      </c>
      <c r="AZ381" s="3">
        <v>1.68</v>
      </c>
      <c r="BA381" s="3">
        <v>2.8223999999999996</v>
      </c>
      <c r="BB381" s="3">
        <v>25.864512471655331</v>
      </c>
      <c r="BC381" t="s">
        <v>98</v>
      </c>
      <c r="BD381" t="s">
        <v>99</v>
      </c>
      <c r="BE381" s="4">
        <v>1</v>
      </c>
      <c r="BF381" t="s">
        <v>87</v>
      </c>
      <c r="BG381" s="1" t="e">
        <v>#NULL!</v>
      </c>
      <c r="BH381" s="4">
        <v>0</v>
      </c>
      <c r="BI381" t="s">
        <v>85</v>
      </c>
      <c r="BJ381" s="4">
        <v>1</v>
      </c>
      <c r="BK381" t="s">
        <v>88</v>
      </c>
    </row>
    <row r="382" spans="1:63" x14ac:dyDescent="0.35">
      <c r="A382" s="4">
        <v>220</v>
      </c>
      <c r="B382" s="4">
        <v>54</v>
      </c>
      <c r="C382" t="s">
        <v>120</v>
      </c>
      <c r="D382" t="s">
        <v>64</v>
      </c>
      <c r="E382" t="s">
        <v>104</v>
      </c>
      <c r="F382" t="s">
        <v>101</v>
      </c>
      <c r="G382" t="s">
        <v>67</v>
      </c>
      <c r="H382" s="2">
        <v>300</v>
      </c>
      <c r="I382" t="s">
        <v>68</v>
      </c>
      <c r="J382" t="s">
        <v>69</v>
      </c>
      <c r="K382" t="s">
        <v>70</v>
      </c>
      <c r="L382" t="s">
        <v>69</v>
      </c>
      <c r="M382" s="4">
        <v>3</v>
      </c>
      <c r="N382" t="s">
        <v>91</v>
      </c>
      <c r="O382" s="4">
        <v>2</v>
      </c>
      <c r="P382" t="s">
        <v>71</v>
      </c>
      <c r="Q382" s="4">
        <v>1</v>
      </c>
      <c r="R382" t="s">
        <v>71</v>
      </c>
      <c r="S382" s="4">
        <v>1</v>
      </c>
      <c r="T382" t="s">
        <v>71</v>
      </c>
      <c r="U382" t="s">
        <v>92</v>
      </c>
      <c r="V382" t="s">
        <v>93</v>
      </c>
      <c r="W382" t="s">
        <v>93</v>
      </c>
      <c r="X382" t="s">
        <v>94</v>
      </c>
      <c r="Y382" t="s">
        <v>69</v>
      </c>
      <c r="Z382" s="4">
        <v>3</v>
      </c>
      <c r="AA382" t="s">
        <v>77</v>
      </c>
      <c r="AB382" s="4">
        <v>100</v>
      </c>
      <c r="AC382" s="4">
        <v>80</v>
      </c>
      <c r="AD382" s="4">
        <v>70</v>
      </c>
      <c r="AE382" s="4">
        <v>172</v>
      </c>
      <c r="AF382" s="4">
        <v>81</v>
      </c>
      <c r="AG382" s="4">
        <v>90</v>
      </c>
      <c r="AH382" s="4">
        <v>80</v>
      </c>
      <c r="AI382" s="4">
        <v>140</v>
      </c>
      <c r="AJ382" s="4">
        <v>66</v>
      </c>
      <c r="AK382" t="s">
        <v>78</v>
      </c>
      <c r="AL382" t="s">
        <v>95</v>
      </c>
      <c r="AM382" t="s">
        <v>80</v>
      </c>
      <c r="AN382" t="s">
        <v>96</v>
      </c>
      <c r="AO382" t="s">
        <v>97</v>
      </c>
      <c r="AP382" t="s">
        <v>85</v>
      </c>
      <c r="AQ382" t="s">
        <v>85</v>
      </c>
      <c r="AR382" t="s">
        <v>85</v>
      </c>
      <c r="AS382" t="s">
        <v>84</v>
      </c>
      <c r="AT382" t="s">
        <v>85</v>
      </c>
      <c r="AU382" t="s">
        <v>83</v>
      </c>
      <c r="AV382" t="s">
        <v>85</v>
      </c>
      <c r="AW382" s="4">
        <v>0</v>
      </c>
      <c r="AX382" s="4">
        <v>0</v>
      </c>
      <c r="AY382" s="4">
        <v>0</v>
      </c>
      <c r="AZ382" s="3">
        <v>1.72</v>
      </c>
      <c r="BA382" s="3">
        <v>2.9583999999999997</v>
      </c>
      <c r="BB382" s="3">
        <v>23.661438615467823</v>
      </c>
      <c r="BC382" t="s">
        <v>85</v>
      </c>
      <c r="BD382" t="s">
        <v>86</v>
      </c>
      <c r="BE382" s="4">
        <v>0</v>
      </c>
      <c r="BF382" t="s">
        <v>87</v>
      </c>
      <c r="BG382" s="4">
        <v>0</v>
      </c>
      <c r="BH382" s="1" t="e">
        <v>#NULL!</v>
      </c>
      <c r="BI382" t="s">
        <v>85</v>
      </c>
      <c r="BJ382" s="4">
        <v>0</v>
      </c>
      <c r="BK382" t="s">
        <v>88</v>
      </c>
    </row>
    <row r="383" spans="1:63" x14ac:dyDescent="0.35">
      <c r="A383" s="4">
        <v>244</v>
      </c>
      <c r="B383" s="4">
        <v>54</v>
      </c>
      <c r="C383" t="s">
        <v>120</v>
      </c>
      <c r="D383" t="s">
        <v>89</v>
      </c>
      <c r="E383" t="s">
        <v>104</v>
      </c>
      <c r="F383" t="s">
        <v>90</v>
      </c>
      <c r="G383" t="s">
        <v>67</v>
      </c>
      <c r="H383" s="2">
        <v>1200</v>
      </c>
      <c r="I383" t="s">
        <v>116</v>
      </c>
      <c r="J383" t="s">
        <v>69</v>
      </c>
      <c r="K383" t="s">
        <v>69</v>
      </c>
      <c r="L383" t="s">
        <v>69</v>
      </c>
      <c r="M383" s="4">
        <v>2</v>
      </c>
      <c r="N383" t="s">
        <v>71</v>
      </c>
      <c r="O383" s="4">
        <v>2</v>
      </c>
      <c r="P383" t="s">
        <v>71</v>
      </c>
      <c r="Q383" s="4">
        <v>2</v>
      </c>
      <c r="R383" t="s">
        <v>71</v>
      </c>
      <c r="S383" s="4">
        <v>1</v>
      </c>
      <c r="T383" t="s">
        <v>71</v>
      </c>
      <c r="U383" t="s">
        <v>92</v>
      </c>
      <c r="V383" t="s">
        <v>93</v>
      </c>
      <c r="W383" t="s">
        <v>93</v>
      </c>
      <c r="X383" t="s">
        <v>94</v>
      </c>
      <c r="Y383" t="s">
        <v>69</v>
      </c>
      <c r="Z383" s="4">
        <v>5</v>
      </c>
      <c r="AA383" t="s">
        <v>77</v>
      </c>
      <c r="AB383" s="4">
        <v>125</v>
      </c>
      <c r="AC383" s="4">
        <v>88</v>
      </c>
      <c r="AD383" s="4">
        <v>88</v>
      </c>
      <c r="AE383" s="4">
        <v>171</v>
      </c>
      <c r="AF383" s="4">
        <v>96</v>
      </c>
      <c r="AG383" s="4">
        <v>112</v>
      </c>
      <c r="AH383" s="4">
        <v>184</v>
      </c>
      <c r="AI383" s="4">
        <v>180</v>
      </c>
      <c r="AJ383" s="4">
        <v>42</v>
      </c>
      <c r="AK383" t="s">
        <v>107</v>
      </c>
      <c r="AL383" t="s">
        <v>95</v>
      </c>
      <c r="AM383" t="s">
        <v>108</v>
      </c>
      <c r="AN383" t="s">
        <v>81</v>
      </c>
      <c r="AO383" t="s">
        <v>82</v>
      </c>
      <c r="AP383" t="s">
        <v>83</v>
      </c>
      <c r="AQ383" t="s">
        <v>85</v>
      </c>
      <c r="AR383" t="s">
        <v>83</v>
      </c>
      <c r="AS383" t="s">
        <v>102</v>
      </c>
      <c r="AT383" t="s">
        <v>83</v>
      </c>
      <c r="AU383" t="s">
        <v>83</v>
      </c>
      <c r="AV383" t="s">
        <v>83</v>
      </c>
      <c r="AW383" s="4">
        <v>4</v>
      </c>
      <c r="AX383" s="4">
        <v>1</v>
      </c>
      <c r="AY383" s="4">
        <v>2</v>
      </c>
      <c r="AZ383" s="3">
        <v>1.71</v>
      </c>
      <c r="BA383" s="3">
        <v>2.9240999999999997</v>
      </c>
      <c r="BB383" s="3">
        <v>30.094730002393902</v>
      </c>
      <c r="BC383" t="s">
        <v>110</v>
      </c>
      <c r="BD383" t="s">
        <v>99</v>
      </c>
      <c r="BE383" s="4">
        <v>5</v>
      </c>
      <c r="BF383" t="s">
        <v>111</v>
      </c>
      <c r="BG383" s="1" t="e">
        <v>#NULL!</v>
      </c>
      <c r="BH383" s="4">
        <v>1</v>
      </c>
      <c r="BI383" t="s">
        <v>83</v>
      </c>
      <c r="BJ383" s="4">
        <v>5</v>
      </c>
      <c r="BK383" t="s">
        <v>112</v>
      </c>
    </row>
    <row r="384" spans="1:63" x14ac:dyDescent="0.35">
      <c r="A384" s="4">
        <v>409</v>
      </c>
      <c r="B384" s="4">
        <v>54</v>
      </c>
      <c r="C384" t="s">
        <v>120</v>
      </c>
      <c r="D384" t="s">
        <v>64</v>
      </c>
      <c r="E384" t="s">
        <v>104</v>
      </c>
      <c r="F384" t="s">
        <v>66</v>
      </c>
      <c r="G384" t="s">
        <v>67</v>
      </c>
      <c r="H384" s="2">
        <v>500</v>
      </c>
      <c r="I384" t="s">
        <v>68</v>
      </c>
      <c r="J384" t="s">
        <v>69</v>
      </c>
      <c r="K384" t="s">
        <v>69</v>
      </c>
      <c r="L384" t="s">
        <v>69</v>
      </c>
      <c r="M384" s="4">
        <v>0</v>
      </c>
      <c r="N384" t="s">
        <v>71</v>
      </c>
      <c r="O384" s="4">
        <v>0</v>
      </c>
      <c r="P384" t="s">
        <v>71</v>
      </c>
      <c r="Q384" s="4">
        <v>1</v>
      </c>
      <c r="R384" t="s">
        <v>71</v>
      </c>
      <c r="S384" s="4">
        <v>1</v>
      </c>
      <c r="T384" t="s">
        <v>71</v>
      </c>
      <c r="U384" t="s">
        <v>92</v>
      </c>
      <c r="V384" t="s">
        <v>93</v>
      </c>
      <c r="W384" t="s">
        <v>93</v>
      </c>
      <c r="X384" t="s">
        <v>94</v>
      </c>
      <c r="Y384" t="s">
        <v>69</v>
      </c>
      <c r="Z384" s="4">
        <v>5</v>
      </c>
      <c r="AA384" t="s">
        <v>77</v>
      </c>
      <c r="AB384" s="4">
        <v>125</v>
      </c>
      <c r="AC384" s="4">
        <v>83</v>
      </c>
      <c r="AD384" s="4">
        <v>96</v>
      </c>
      <c r="AE384" s="4">
        <v>174</v>
      </c>
      <c r="AF384" s="4">
        <v>105</v>
      </c>
      <c r="AG384" s="4">
        <v>129</v>
      </c>
      <c r="AH384" s="4">
        <v>210</v>
      </c>
      <c r="AI384" s="4">
        <v>144</v>
      </c>
      <c r="AJ384" s="4">
        <v>52</v>
      </c>
      <c r="AK384" t="s">
        <v>78</v>
      </c>
      <c r="AL384" t="s">
        <v>95</v>
      </c>
      <c r="AM384" t="s">
        <v>80</v>
      </c>
      <c r="AN384" t="s">
        <v>96</v>
      </c>
      <c r="AO384" t="s">
        <v>97</v>
      </c>
      <c r="AP384" t="s">
        <v>85</v>
      </c>
      <c r="AQ384" t="s">
        <v>85</v>
      </c>
      <c r="AR384" t="s">
        <v>85</v>
      </c>
      <c r="AS384" t="s">
        <v>102</v>
      </c>
      <c r="AT384" t="s">
        <v>83</v>
      </c>
      <c r="AU384" t="s">
        <v>83</v>
      </c>
      <c r="AV384" t="s">
        <v>83</v>
      </c>
      <c r="AW384" s="4">
        <v>1</v>
      </c>
      <c r="AX384" s="4">
        <v>0</v>
      </c>
      <c r="AY384" s="4">
        <v>1</v>
      </c>
      <c r="AZ384" s="3">
        <v>1.74</v>
      </c>
      <c r="BA384" s="3">
        <v>3.0276000000000001</v>
      </c>
      <c r="BB384" s="3">
        <v>31.708283789139912</v>
      </c>
      <c r="BC384" t="s">
        <v>110</v>
      </c>
      <c r="BD384" t="s">
        <v>99</v>
      </c>
      <c r="BE384" s="4">
        <v>2</v>
      </c>
      <c r="BF384" t="s">
        <v>87</v>
      </c>
      <c r="BG384" s="4">
        <v>1</v>
      </c>
      <c r="BH384" s="1" t="e">
        <v>#NULL!</v>
      </c>
      <c r="BI384" t="s">
        <v>83</v>
      </c>
      <c r="BJ384" s="4">
        <v>2</v>
      </c>
      <c r="BK384" t="s">
        <v>88</v>
      </c>
    </row>
    <row r="385" spans="1:63" x14ac:dyDescent="0.35">
      <c r="A385" s="4">
        <v>426</v>
      </c>
      <c r="B385" s="4">
        <v>54</v>
      </c>
      <c r="C385" t="s">
        <v>120</v>
      </c>
      <c r="D385" t="s">
        <v>89</v>
      </c>
      <c r="E385" t="s">
        <v>104</v>
      </c>
      <c r="F385" t="s">
        <v>115</v>
      </c>
      <c r="G385" t="s">
        <v>67</v>
      </c>
      <c r="H385" s="2">
        <v>300</v>
      </c>
      <c r="I385" t="s">
        <v>68</v>
      </c>
      <c r="J385" t="s">
        <v>69</v>
      </c>
      <c r="K385" t="s">
        <v>69</v>
      </c>
      <c r="L385" t="s">
        <v>69</v>
      </c>
      <c r="M385" s="4">
        <v>3</v>
      </c>
      <c r="N385" t="s">
        <v>91</v>
      </c>
      <c r="O385" s="4">
        <v>2</v>
      </c>
      <c r="P385" t="s">
        <v>71</v>
      </c>
      <c r="Q385" s="4">
        <v>2</v>
      </c>
      <c r="R385" t="s">
        <v>71</v>
      </c>
      <c r="S385" s="4">
        <v>1</v>
      </c>
      <c r="T385" t="s">
        <v>71</v>
      </c>
      <c r="U385" t="s">
        <v>92</v>
      </c>
      <c r="V385" t="s">
        <v>93</v>
      </c>
      <c r="W385" t="s">
        <v>74</v>
      </c>
      <c r="X385" t="s">
        <v>76</v>
      </c>
      <c r="Y385" t="s">
        <v>69</v>
      </c>
      <c r="Z385" s="4">
        <v>1</v>
      </c>
      <c r="AA385" t="s">
        <v>77</v>
      </c>
      <c r="AB385" s="4">
        <v>121</v>
      </c>
      <c r="AC385" s="4">
        <v>77</v>
      </c>
      <c r="AD385" s="4">
        <v>70</v>
      </c>
      <c r="AE385" s="4">
        <v>161</v>
      </c>
      <c r="AF385" s="4">
        <v>97</v>
      </c>
      <c r="AG385" s="4">
        <v>116</v>
      </c>
      <c r="AH385" s="4">
        <v>105</v>
      </c>
      <c r="AI385" s="4">
        <v>181</v>
      </c>
      <c r="AJ385" s="4">
        <v>42</v>
      </c>
      <c r="AK385" t="s">
        <v>107</v>
      </c>
      <c r="AL385" t="s">
        <v>95</v>
      </c>
      <c r="AM385" t="s">
        <v>80</v>
      </c>
      <c r="AN385" t="s">
        <v>96</v>
      </c>
      <c r="AO385" t="s">
        <v>97</v>
      </c>
      <c r="AP385" t="s">
        <v>83</v>
      </c>
      <c r="AQ385" t="s">
        <v>85</v>
      </c>
      <c r="AR385" t="s">
        <v>83</v>
      </c>
      <c r="AS385" t="s">
        <v>102</v>
      </c>
      <c r="AT385" t="s">
        <v>83</v>
      </c>
      <c r="AU385" t="s">
        <v>83</v>
      </c>
      <c r="AV385" t="s">
        <v>83</v>
      </c>
      <c r="AW385" s="4">
        <v>3</v>
      </c>
      <c r="AX385" s="4">
        <v>1</v>
      </c>
      <c r="AY385" s="4">
        <v>2</v>
      </c>
      <c r="AZ385" s="3">
        <v>1.61</v>
      </c>
      <c r="BA385" s="3">
        <v>2.5921000000000003</v>
      </c>
      <c r="BB385" s="3">
        <v>27.005130974885226</v>
      </c>
      <c r="BC385" t="s">
        <v>98</v>
      </c>
      <c r="BD385" t="s">
        <v>99</v>
      </c>
      <c r="BE385" s="4">
        <v>4</v>
      </c>
      <c r="BF385" t="s">
        <v>111</v>
      </c>
      <c r="BG385" s="1" t="e">
        <v>#NULL!</v>
      </c>
      <c r="BH385" s="4">
        <v>1</v>
      </c>
      <c r="BI385" t="s">
        <v>83</v>
      </c>
      <c r="BJ385" s="4">
        <v>4</v>
      </c>
      <c r="BK385" t="s">
        <v>112</v>
      </c>
    </row>
    <row r="386" spans="1:63" x14ac:dyDescent="0.35">
      <c r="A386" s="4">
        <v>461</v>
      </c>
      <c r="B386" s="4">
        <v>54</v>
      </c>
      <c r="C386" t="s">
        <v>120</v>
      </c>
      <c r="D386" t="s">
        <v>64</v>
      </c>
      <c r="E386" t="s">
        <v>104</v>
      </c>
      <c r="F386" t="s">
        <v>101</v>
      </c>
      <c r="G386" t="s">
        <v>67</v>
      </c>
      <c r="H386" s="2">
        <v>1000</v>
      </c>
      <c r="I386" t="s">
        <v>105</v>
      </c>
      <c r="J386" t="s">
        <v>69</v>
      </c>
      <c r="K386" t="s">
        <v>69</v>
      </c>
      <c r="L386" t="s">
        <v>69</v>
      </c>
      <c r="M386" s="4">
        <v>4</v>
      </c>
      <c r="N386" t="s">
        <v>91</v>
      </c>
      <c r="O386" s="4">
        <v>5</v>
      </c>
      <c r="P386" t="s">
        <v>72</v>
      </c>
      <c r="Q386" s="4">
        <v>2</v>
      </c>
      <c r="R386" t="s">
        <v>71</v>
      </c>
      <c r="S386" s="4">
        <v>1</v>
      </c>
      <c r="T386" t="s">
        <v>71</v>
      </c>
      <c r="U386" t="s">
        <v>103</v>
      </c>
      <c r="V386" t="s">
        <v>93</v>
      </c>
      <c r="W386" t="s">
        <v>93</v>
      </c>
      <c r="X386" t="s">
        <v>94</v>
      </c>
      <c r="Y386" t="s">
        <v>70</v>
      </c>
      <c r="Z386" s="4">
        <v>5</v>
      </c>
      <c r="AA386" t="s">
        <v>77</v>
      </c>
      <c r="AB386" s="4">
        <v>140</v>
      </c>
      <c r="AC386" s="4">
        <v>80</v>
      </c>
      <c r="AD386" s="4">
        <v>85</v>
      </c>
      <c r="AE386" s="4">
        <v>179</v>
      </c>
      <c r="AF386" s="4">
        <v>96</v>
      </c>
      <c r="AG386" s="4">
        <v>115</v>
      </c>
      <c r="AH386" s="4">
        <v>103</v>
      </c>
      <c r="AI386" s="4">
        <v>68</v>
      </c>
      <c r="AJ386" s="4">
        <v>82</v>
      </c>
      <c r="AK386" t="s">
        <v>78</v>
      </c>
      <c r="AL386" t="s">
        <v>79</v>
      </c>
      <c r="AM386" t="s">
        <v>80</v>
      </c>
      <c r="AN386" t="s">
        <v>81</v>
      </c>
      <c r="AO386" t="s">
        <v>82</v>
      </c>
      <c r="AP386" t="s">
        <v>85</v>
      </c>
      <c r="AQ386" t="s">
        <v>85</v>
      </c>
      <c r="AR386" t="s">
        <v>85</v>
      </c>
      <c r="AS386" t="s">
        <v>102</v>
      </c>
      <c r="AT386" t="s">
        <v>83</v>
      </c>
      <c r="AU386" t="s">
        <v>83</v>
      </c>
      <c r="AV386" t="s">
        <v>83</v>
      </c>
      <c r="AW386" s="4">
        <v>2</v>
      </c>
      <c r="AX386" s="4">
        <v>1</v>
      </c>
      <c r="AY386" s="4">
        <v>2</v>
      </c>
      <c r="AZ386" s="3">
        <v>1.79</v>
      </c>
      <c r="BA386" s="3">
        <v>3.2040999999999999</v>
      </c>
      <c r="BB386" s="3">
        <v>26.528510346119035</v>
      </c>
      <c r="BC386" t="s">
        <v>98</v>
      </c>
      <c r="BD386" t="s">
        <v>99</v>
      </c>
      <c r="BE386" s="4">
        <v>3</v>
      </c>
      <c r="BF386" t="s">
        <v>111</v>
      </c>
      <c r="BG386" s="4">
        <v>0</v>
      </c>
      <c r="BH386" s="1" t="e">
        <v>#NULL!</v>
      </c>
      <c r="BI386" t="s">
        <v>85</v>
      </c>
      <c r="BJ386" s="4">
        <v>2</v>
      </c>
      <c r="BK386" t="s">
        <v>88</v>
      </c>
    </row>
    <row r="387" spans="1:63" x14ac:dyDescent="0.35">
      <c r="A387" s="4">
        <v>485</v>
      </c>
      <c r="B387" s="4">
        <v>54</v>
      </c>
      <c r="C387" t="s">
        <v>120</v>
      </c>
      <c r="D387" t="s">
        <v>64</v>
      </c>
      <c r="E387" t="s">
        <v>104</v>
      </c>
      <c r="F387" t="s">
        <v>66</v>
      </c>
      <c r="G387" t="s">
        <v>67</v>
      </c>
      <c r="H387" s="2">
        <v>500</v>
      </c>
      <c r="I387" t="s">
        <v>68</v>
      </c>
      <c r="J387" t="s">
        <v>69</v>
      </c>
      <c r="K387" t="s">
        <v>69</v>
      </c>
      <c r="L387" t="s">
        <v>69</v>
      </c>
      <c r="M387" s="4">
        <v>0</v>
      </c>
      <c r="N387" t="s">
        <v>71</v>
      </c>
      <c r="O387" s="4">
        <v>0</v>
      </c>
      <c r="P387" t="s">
        <v>71</v>
      </c>
      <c r="Q387" s="4">
        <v>1</v>
      </c>
      <c r="R387" t="s">
        <v>71</v>
      </c>
      <c r="S387" s="4">
        <v>1</v>
      </c>
      <c r="T387" t="s">
        <v>71</v>
      </c>
      <c r="U387" t="s">
        <v>92</v>
      </c>
      <c r="V387" t="s">
        <v>93</v>
      </c>
      <c r="W387" t="s">
        <v>93</v>
      </c>
      <c r="X387" t="s">
        <v>94</v>
      </c>
      <c r="Y387" t="s">
        <v>70</v>
      </c>
      <c r="Z387" s="4">
        <v>5</v>
      </c>
      <c r="AA387" t="s">
        <v>77</v>
      </c>
      <c r="AB387" s="4">
        <v>125</v>
      </c>
      <c r="AC387" s="4">
        <v>83</v>
      </c>
      <c r="AD387" s="4">
        <v>96</v>
      </c>
      <c r="AE387" s="4">
        <v>174</v>
      </c>
      <c r="AF387" s="4">
        <v>105</v>
      </c>
      <c r="AG387" s="4">
        <v>129</v>
      </c>
      <c r="AH387" s="4">
        <v>210</v>
      </c>
      <c r="AI387" s="4">
        <v>144</v>
      </c>
      <c r="AJ387" s="4">
        <v>52</v>
      </c>
      <c r="AK387" t="s">
        <v>78</v>
      </c>
      <c r="AL387" t="s">
        <v>95</v>
      </c>
      <c r="AM387" t="s">
        <v>80</v>
      </c>
      <c r="AN387" t="s">
        <v>96</v>
      </c>
      <c r="AO387" t="s">
        <v>97</v>
      </c>
      <c r="AP387" t="s">
        <v>85</v>
      </c>
      <c r="AQ387" t="s">
        <v>85</v>
      </c>
      <c r="AR387" t="s">
        <v>85</v>
      </c>
      <c r="AS387" t="s">
        <v>102</v>
      </c>
      <c r="AT387" t="s">
        <v>83</v>
      </c>
      <c r="AU387" t="s">
        <v>83</v>
      </c>
      <c r="AV387" t="s">
        <v>83</v>
      </c>
      <c r="AW387" s="4">
        <v>1</v>
      </c>
      <c r="AX387" s="4">
        <v>0</v>
      </c>
      <c r="AY387" s="4">
        <v>1</v>
      </c>
      <c r="AZ387" s="3">
        <v>1.74</v>
      </c>
      <c r="BA387" s="3">
        <v>3.0276000000000001</v>
      </c>
      <c r="BB387" s="3">
        <v>31.708283789139912</v>
      </c>
      <c r="BC387" t="s">
        <v>110</v>
      </c>
      <c r="BD387" t="s">
        <v>99</v>
      </c>
      <c r="BE387" s="4">
        <v>2</v>
      </c>
      <c r="BF387" t="s">
        <v>87</v>
      </c>
      <c r="BG387" s="4">
        <v>1</v>
      </c>
      <c r="BH387" s="1" t="e">
        <v>#NULL!</v>
      </c>
      <c r="BI387" t="s">
        <v>83</v>
      </c>
      <c r="BJ387" s="4">
        <v>2</v>
      </c>
      <c r="BK387" t="s">
        <v>88</v>
      </c>
    </row>
    <row r="388" spans="1:63" x14ac:dyDescent="0.35">
      <c r="A388" s="4">
        <v>496</v>
      </c>
      <c r="B388" s="4">
        <v>54</v>
      </c>
      <c r="C388" t="s">
        <v>120</v>
      </c>
      <c r="D388" t="s">
        <v>64</v>
      </c>
      <c r="E388" t="s">
        <v>104</v>
      </c>
      <c r="F388" t="s">
        <v>101</v>
      </c>
      <c r="G388" t="s">
        <v>67</v>
      </c>
      <c r="H388" s="2">
        <v>600</v>
      </c>
      <c r="I388" t="s">
        <v>105</v>
      </c>
      <c r="J388" t="s">
        <v>70</v>
      </c>
      <c r="K388" t="s">
        <v>70</v>
      </c>
      <c r="L388" t="s">
        <v>69</v>
      </c>
      <c r="M388" s="4">
        <v>2</v>
      </c>
      <c r="N388" t="s">
        <v>71</v>
      </c>
      <c r="O388" s="4">
        <v>3</v>
      </c>
      <c r="P388" t="s">
        <v>91</v>
      </c>
      <c r="Q388" s="4">
        <v>1</v>
      </c>
      <c r="R388" t="s">
        <v>71</v>
      </c>
      <c r="S388" s="4">
        <v>2</v>
      </c>
      <c r="T388" t="s">
        <v>71</v>
      </c>
      <c r="U388" t="s">
        <v>92</v>
      </c>
      <c r="V388" t="s">
        <v>93</v>
      </c>
      <c r="W388" t="s">
        <v>74</v>
      </c>
      <c r="X388" t="s">
        <v>76</v>
      </c>
      <c r="Y388" t="s">
        <v>69</v>
      </c>
      <c r="Z388" s="4">
        <v>4</v>
      </c>
      <c r="AA388" t="s">
        <v>77</v>
      </c>
      <c r="AB388" s="4">
        <v>120</v>
      </c>
      <c r="AC388" s="4">
        <v>82</v>
      </c>
      <c r="AD388" s="4">
        <v>78</v>
      </c>
      <c r="AE388" s="4">
        <v>179</v>
      </c>
      <c r="AF388" s="4">
        <v>80</v>
      </c>
      <c r="AG388" s="4">
        <v>103</v>
      </c>
      <c r="AH388" s="4">
        <v>104</v>
      </c>
      <c r="AI388" s="4">
        <v>162</v>
      </c>
      <c r="AJ388" s="4">
        <v>80</v>
      </c>
      <c r="AK388" t="s">
        <v>107</v>
      </c>
      <c r="AL388" t="s">
        <v>95</v>
      </c>
      <c r="AM388" t="s">
        <v>80</v>
      </c>
      <c r="AN388" t="s">
        <v>96</v>
      </c>
      <c r="AO388" t="s">
        <v>97</v>
      </c>
      <c r="AP388" t="s">
        <v>85</v>
      </c>
      <c r="AQ388" t="s">
        <v>85</v>
      </c>
      <c r="AR388" t="s">
        <v>85</v>
      </c>
      <c r="AS388" t="s">
        <v>102</v>
      </c>
      <c r="AT388" t="s">
        <v>85</v>
      </c>
      <c r="AU388" t="s">
        <v>83</v>
      </c>
      <c r="AV388" t="s">
        <v>85</v>
      </c>
      <c r="AW388" s="4">
        <v>2</v>
      </c>
      <c r="AX388" s="4">
        <v>1</v>
      </c>
      <c r="AY388" s="4">
        <v>1</v>
      </c>
      <c r="AZ388" s="3">
        <v>1.79</v>
      </c>
      <c r="BA388" s="3">
        <v>3.2040999999999999</v>
      </c>
      <c r="BB388" s="3">
        <v>24.343809494085704</v>
      </c>
      <c r="BC388" t="s">
        <v>85</v>
      </c>
      <c r="BD388" t="s">
        <v>86</v>
      </c>
      <c r="BE388" s="4">
        <v>2</v>
      </c>
      <c r="BF388" t="s">
        <v>87</v>
      </c>
      <c r="BG388" s="4">
        <v>0</v>
      </c>
      <c r="BH388" s="1" t="e">
        <v>#NULL!</v>
      </c>
      <c r="BI388" t="s">
        <v>85</v>
      </c>
      <c r="BJ388" s="4">
        <v>2</v>
      </c>
      <c r="BK388" t="s">
        <v>88</v>
      </c>
    </row>
    <row r="389" spans="1:63" x14ac:dyDescent="0.35">
      <c r="A389" s="4">
        <v>27</v>
      </c>
      <c r="B389" s="4">
        <v>55</v>
      </c>
      <c r="C389" t="s">
        <v>121</v>
      </c>
      <c r="D389" t="s">
        <v>89</v>
      </c>
      <c r="E389" t="s">
        <v>104</v>
      </c>
      <c r="F389" t="s">
        <v>115</v>
      </c>
      <c r="G389" t="s">
        <v>67</v>
      </c>
      <c r="H389" s="2">
        <v>300</v>
      </c>
      <c r="I389" t="s">
        <v>68</v>
      </c>
      <c r="J389" t="s">
        <v>69</v>
      </c>
      <c r="K389" t="s">
        <v>69</v>
      </c>
      <c r="L389" t="s">
        <v>69</v>
      </c>
      <c r="M389" s="4">
        <v>3</v>
      </c>
      <c r="N389" t="s">
        <v>91</v>
      </c>
      <c r="O389" s="4">
        <v>2</v>
      </c>
      <c r="P389" t="s">
        <v>71</v>
      </c>
      <c r="Q389" s="4">
        <v>2</v>
      </c>
      <c r="R389" t="s">
        <v>71</v>
      </c>
      <c r="S389" s="4">
        <v>1</v>
      </c>
      <c r="T389" t="s">
        <v>71</v>
      </c>
      <c r="U389" t="s">
        <v>92</v>
      </c>
      <c r="V389" t="s">
        <v>93</v>
      </c>
      <c r="W389" t="s">
        <v>74</v>
      </c>
      <c r="X389" t="s">
        <v>76</v>
      </c>
      <c r="Y389" t="s">
        <v>69</v>
      </c>
      <c r="Z389" s="4">
        <v>1</v>
      </c>
      <c r="AA389" t="s">
        <v>77</v>
      </c>
      <c r="AB389" s="4">
        <v>121</v>
      </c>
      <c r="AC389" s="4">
        <v>77</v>
      </c>
      <c r="AD389" s="4">
        <v>70</v>
      </c>
      <c r="AE389" s="4">
        <v>161</v>
      </c>
      <c r="AF389" s="4">
        <v>97</v>
      </c>
      <c r="AG389" s="4">
        <v>116</v>
      </c>
      <c r="AH389" s="4">
        <v>105</v>
      </c>
      <c r="AI389" s="4">
        <v>181</v>
      </c>
      <c r="AJ389" s="4">
        <v>42</v>
      </c>
      <c r="AK389" t="s">
        <v>107</v>
      </c>
      <c r="AL389" t="s">
        <v>95</v>
      </c>
      <c r="AM389" t="s">
        <v>80</v>
      </c>
      <c r="AN389" t="s">
        <v>96</v>
      </c>
      <c r="AO389" t="s">
        <v>97</v>
      </c>
      <c r="AP389" t="s">
        <v>83</v>
      </c>
      <c r="AQ389" t="s">
        <v>85</v>
      </c>
      <c r="AR389" t="s">
        <v>83</v>
      </c>
      <c r="AS389" t="s">
        <v>102</v>
      </c>
      <c r="AT389" t="s">
        <v>83</v>
      </c>
      <c r="AU389" t="s">
        <v>83</v>
      </c>
      <c r="AV389" t="s">
        <v>83</v>
      </c>
      <c r="AW389" s="4">
        <v>3</v>
      </c>
      <c r="AX389" s="4">
        <v>1</v>
      </c>
      <c r="AY389" s="4">
        <v>2</v>
      </c>
      <c r="AZ389" s="3">
        <v>1.61</v>
      </c>
      <c r="BA389" s="3">
        <v>2.5921000000000003</v>
      </c>
      <c r="BB389" s="3">
        <v>27.005130974885226</v>
      </c>
      <c r="BC389" t="s">
        <v>98</v>
      </c>
      <c r="BD389" t="s">
        <v>99</v>
      </c>
      <c r="BE389" s="4">
        <v>4</v>
      </c>
      <c r="BF389" t="s">
        <v>111</v>
      </c>
      <c r="BG389" s="1" t="e">
        <v>#NULL!</v>
      </c>
      <c r="BH389" s="4">
        <v>1</v>
      </c>
      <c r="BI389" t="s">
        <v>83</v>
      </c>
      <c r="BJ389" s="4">
        <v>4</v>
      </c>
      <c r="BK389" t="s">
        <v>112</v>
      </c>
    </row>
    <row r="390" spans="1:63" x14ac:dyDescent="0.35">
      <c r="A390" s="4">
        <v>62</v>
      </c>
      <c r="B390" s="4">
        <v>55</v>
      </c>
      <c r="C390" t="s">
        <v>121</v>
      </c>
      <c r="D390" t="s">
        <v>89</v>
      </c>
      <c r="E390" t="s">
        <v>104</v>
      </c>
      <c r="F390" t="s">
        <v>66</v>
      </c>
      <c r="G390" t="s">
        <v>67</v>
      </c>
      <c r="H390" s="2">
        <v>700</v>
      </c>
      <c r="I390" t="s">
        <v>105</v>
      </c>
      <c r="J390" t="s">
        <v>69</v>
      </c>
      <c r="K390" t="s">
        <v>69</v>
      </c>
      <c r="L390" t="s">
        <v>69</v>
      </c>
      <c r="M390" s="4">
        <v>3</v>
      </c>
      <c r="N390" t="s">
        <v>91</v>
      </c>
      <c r="O390" s="4">
        <v>5</v>
      </c>
      <c r="P390" t="s">
        <v>72</v>
      </c>
      <c r="Q390" s="4">
        <v>5</v>
      </c>
      <c r="R390" t="s">
        <v>72</v>
      </c>
      <c r="S390" s="4">
        <v>5</v>
      </c>
      <c r="T390" t="s">
        <v>72</v>
      </c>
      <c r="U390" t="s">
        <v>103</v>
      </c>
      <c r="V390" t="s">
        <v>93</v>
      </c>
      <c r="W390" t="s">
        <v>74</v>
      </c>
      <c r="X390" t="s">
        <v>76</v>
      </c>
      <c r="Y390" t="s">
        <v>69</v>
      </c>
      <c r="Z390" s="4">
        <v>4</v>
      </c>
      <c r="AA390" t="s">
        <v>77</v>
      </c>
      <c r="AB390" s="4">
        <v>139</v>
      </c>
      <c r="AC390" s="4">
        <v>86</v>
      </c>
      <c r="AD390" s="4">
        <v>83</v>
      </c>
      <c r="AE390" s="4">
        <v>165</v>
      </c>
      <c r="AF390" s="4">
        <v>99</v>
      </c>
      <c r="AG390" s="4">
        <v>119</v>
      </c>
      <c r="AH390" s="4">
        <v>75</v>
      </c>
      <c r="AI390" s="4">
        <v>107</v>
      </c>
      <c r="AJ390" s="4">
        <v>53</v>
      </c>
      <c r="AK390" t="s">
        <v>78</v>
      </c>
      <c r="AL390" t="s">
        <v>79</v>
      </c>
      <c r="AM390" t="s">
        <v>108</v>
      </c>
      <c r="AN390" t="s">
        <v>109</v>
      </c>
      <c r="AO390" t="s">
        <v>82</v>
      </c>
      <c r="AP390" t="s">
        <v>85</v>
      </c>
      <c r="AQ390" t="s">
        <v>85</v>
      </c>
      <c r="AR390" t="s">
        <v>85</v>
      </c>
      <c r="AS390" t="s">
        <v>84</v>
      </c>
      <c r="AT390" t="s">
        <v>83</v>
      </c>
      <c r="AU390" t="s">
        <v>83</v>
      </c>
      <c r="AV390" t="s">
        <v>83</v>
      </c>
      <c r="AW390" s="4">
        <v>1</v>
      </c>
      <c r="AX390" s="4">
        <v>0</v>
      </c>
      <c r="AY390" s="4">
        <v>1</v>
      </c>
      <c r="AZ390" s="3">
        <v>1.65</v>
      </c>
      <c r="BA390" s="3">
        <v>2.7224999999999997</v>
      </c>
      <c r="BB390" s="3">
        <v>30.486685032139579</v>
      </c>
      <c r="BC390" t="s">
        <v>110</v>
      </c>
      <c r="BD390" t="s">
        <v>99</v>
      </c>
      <c r="BE390" s="4">
        <v>2</v>
      </c>
      <c r="BF390" t="s">
        <v>87</v>
      </c>
      <c r="BG390" s="1" t="e">
        <v>#NULL!</v>
      </c>
      <c r="BH390" s="4">
        <v>1</v>
      </c>
      <c r="BI390" t="s">
        <v>83</v>
      </c>
      <c r="BJ390" s="4">
        <v>2</v>
      </c>
      <c r="BK390" t="s">
        <v>88</v>
      </c>
    </row>
    <row r="391" spans="1:63" x14ac:dyDescent="0.35">
      <c r="A391" s="4">
        <v>105</v>
      </c>
      <c r="B391" s="4">
        <v>55</v>
      </c>
      <c r="C391" t="s">
        <v>121</v>
      </c>
      <c r="D391" t="s">
        <v>64</v>
      </c>
      <c r="E391" t="s">
        <v>104</v>
      </c>
      <c r="F391" t="s">
        <v>66</v>
      </c>
      <c r="G391" t="s">
        <v>67</v>
      </c>
      <c r="H391" s="2">
        <v>500</v>
      </c>
      <c r="I391" t="s">
        <v>68</v>
      </c>
      <c r="J391" t="s">
        <v>69</v>
      </c>
      <c r="K391" t="s">
        <v>69</v>
      </c>
      <c r="L391" t="s">
        <v>69</v>
      </c>
      <c r="M391" s="4">
        <v>0</v>
      </c>
      <c r="N391" t="s">
        <v>71</v>
      </c>
      <c r="O391" s="4">
        <v>0</v>
      </c>
      <c r="P391" t="s">
        <v>71</v>
      </c>
      <c r="Q391" s="4">
        <v>1</v>
      </c>
      <c r="R391" t="s">
        <v>71</v>
      </c>
      <c r="S391" s="4">
        <v>1</v>
      </c>
      <c r="T391" t="s">
        <v>71</v>
      </c>
      <c r="U391" t="s">
        <v>92</v>
      </c>
      <c r="V391" t="s">
        <v>93</v>
      </c>
      <c r="W391" t="s">
        <v>93</v>
      </c>
      <c r="X391" t="s">
        <v>94</v>
      </c>
      <c r="Y391" t="s">
        <v>70</v>
      </c>
      <c r="Z391" s="4">
        <v>5</v>
      </c>
      <c r="AA391" t="s">
        <v>77</v>
      </c>
      <c r="AB391" s="4">
        <v>125</v>
      </c>
      <c r="AC391" s="4">
        <v>83</v>
      </c>
      <c r="AD391" s="4">
        <v>96</v>
      </c>
      <c r="AE391" s="4">
        <v>174</v>
      </c>
      <c r="AF391" s="4">
        <v>104</v>
      </c>
      <c r="AG391" s="4">
        <v>129</v>
      </c>
      <c r="AH391" s="4">
        <v>210</v>
      </c>
      <c r="AI391" s="4">
        <v>144</v>
      </c>
      <c r="AJ391" s="4">
        <v>52</v>
      </c>
      <c r="AK391" t="s">
        <v>78</v>
      </c>
      <c r="AL391" t="s">
        <v>95</v>
      </c>
      <c r="AM391" t="s">
        <v>80</v>
      </c>
      <c r="AN391" t="s">
        <v>96</v>
      </c>
      <c r="AO391" t="s">
        <v>97</v>
      </c>
      <c r="AP391" t="s">
        <v>85</v>
      </c>
      <c r="AQ391" t="s">
        <v>85</v>
      </c>
      <c r="AR391" t="s">
        <v>85</v>
      </c>
      <c r="AS391" t="s">
        <v>102</v>
      </c>
      <c r="AT391" t="s">
        <v>83</v>
      </c>
      <c r="AU391" t="s">
        <v>83</v>
      </c>
      <c r="AV391" t="s">
        <v>83</v>
      </c>
      <c r="AW391" s="4">
        <v>1</v>
      </c>
      <c r="AX391" s="4">
        <v>0</v>
      </c>
      <c r="AY391" s="4">
        <v>1</v>
      </c>
      <c r="AZ391" s="3">
        <v>1.74</v>
      </c>
      <c r="BA391" s="3">
        <v>3.0276000000000001</v>
      </c>
      <c r="BB391" s="3">
        <v>31.708283789139912</v>
      </c>
      <c r="BC391" t="s">
        <v>110</v>
      </c>
      <c r="BD391" t="s">
        <v>99</v>
      </c>
      <c r="BE391" s="4">
        <v>2</v>
      </c>
      <c r="BF391" t="s">
        <v>87</v>
      </c>
      <c r="BG391" s="4">
        <v>1</v>
      </c>
      <c r="BH391" s="1" t="e">
        <v>#NULL!</v>
      </c>
      <c r="BI391" t="s">
        <v>83</v>
      </c>
      <c r="BJ391" s="4">
        <v>2</v>
      </c>
      <c r="BK391" t="s">
        <v>88</v>
      </c>
    </row>
    <row r="392" spans="1:63" x14ac:dyDescent="0.35">
      <c r="A392" s="4">
        <v>169</v>
      </c>
      <c r="B392" s="4">
        <v>55</v>
      </c>
      <c r="C392" t="s">
        <v>121</v>
      </c>
      <c r="D392" t="s">
        <v>64</v>
      </c>
      <c r="E392" t="s">
        <v>104</v>
      </c>
      <c r="F392" t="s">
        <v>101</v>
      </c>
      <c r="G392" t="s">
        <v>67</v>
      </c>
      <c r="H392" s="2">
        <v>1000</v>
      </c>
      <c r="I392" t="s">
        <v>105</v>
      </c>
      <c r="J392" t="s">
        <v>69</v>
      </c>
      <c r="K392" t="s">
        <v>70</v>
      </c>
      <c r="L392" t="s">
        <v>69</v>
      </c>
      <c r="M392" s="4">
        <v>4</v>
      </c>
      <c r="N392" t="s">
        <v>91</v>
      </c>
      <c r="O392" s="4">
        <v>5</v>
      </c>
      <c r="P392" t="s">
        <v>72</v>
      </c>
      <c r="Q392" s="4">
        <v>2</v>
      </c>
      <c r="R392" t="s">
        <v>71</v>
      </c>
      <c r="S392" s="4">
        <v>1</v>
      </c>
      <c r="T392" t="s">
        <v>71</v>
      </c>
      <c r="U392" t="s">
        <v>103</v>
      </c>
      <c r="V392" t="s">
        <v>93</v>
      </c>
      <c r="W392" t="s">
        <v>93</v>
      </c>
      <c r="X392" t="s">
        <v>94</v>
      </c>
      <c r="Y392" t="s">
        <v>70</v>
      </c>
      <c r="Z392" s="4">
        <v>5</v>
      </c>
      <c r="AA392" t="s">
        <v>77</v>
      </c>
      <c r="AB392" s="4">
        <v>140</v>
      </c>
      <c r="AC392" s="4">
        <v>80</v>
      </c>
      <c r="AD392" s="4">
        <v>85</v>
      </c>
      <c r="AE392" s="4">
        <v>179</v>
      </c>
      <c r="AF392" s="4">
        <v>95</v>
      </c>
      <c r="AG392" s="4">
        <v>115</v>
      </c>
      <c r="AH392" s="4">
        <v>102</v>
      </c>
      <c r="AI392" s="4">
        <v>68</v>
      </c>
      <c r="AJ392" s="4">
        <v>82</v>
      </c>
      <c r="AK392" t="s">
        <v>78</v>
      </c>
      <c r="AL392" t="s">
        <v>79</v>
      </c>
      <c r="AM392" t="s">
        <v>80</v>
      </c>
      <c r="AN392" t="s">
        <v>81</v>
      </c>
      <c r="AO392" t="s">
        <v>82</v>
      </c>
      <c r="AP392" t="s">
        <v>85</v>
      </c>
      <c r="AQ392" t="s">
        <v>85</v>
      </c>
      <c r="AR392" t="s">
        <v>85</v>
      </c>
      <c r="AS392" t="s">
        <v>102</v>
      </c>
      <c r="AT392" t="s">
        <v>83</v>
      </c>
      <c r="AU392" t="s">
        <v>83</v>
      </c>
      <c r="AV392" t="s">
        <v>83</v>
      </c>
      <c r="AW392" s="4">
        <v>2</v>
      </c>
      <c r="AX392" s="4">
        <v>1</v>
      </c>
      <c r="AY392" s="4">
        <v>2</v>
      </c>
      <c r="AZ392" s="3">
        <v>1.79</v>
      </c>
      <c r="BA392" s="3">
        <v>3.2040999999999999</v>
      </c>
      <c r="BB392" s="3">
        <v>26.528510346119035</v>
      </c>
      <c r="BC392" t="s">
        <v>98</v>
      </c>
      <c r="BD392" t="s">
        <v>99</v>
      </c>
      <c r="BE392" s="4">
        <v>3</v>
      </c>
      <c r="BF392" t="s">
        <v>111</v>
      </c>
      <c r="BG392" s="4">
        <v>0</v>
      </c>
      <c r="BH392" s="1" t="e">
        <v>#NULL!</v>
      </c>
      <c r="BI392" t="s">
        <v>85</v>
      </c>
      <c r="BJ392" s="4">
        <v>2</v>
      </c>
      <c r="BK392" t="s">
        <v>88</v>
      </c>
    </row>
    <row r="393" spans="1:63" x14ac:dyDescent="0.35">
      <c r="A393" s="4">
        <v>201</v>
      </c>
      <c r="B393" s="4">
        <v>55</v>
      </c>
      <c r="C393" t="s">
        <v>121</v>
      </c>
      <c r="D393" t="s">
        <v>64</v>
      </c>
      <c r="E393" t="s">
        <v>104</v>
      </c>
      <c r="F393" t="s">
        <v>101</v>
      </c>
      <c r="G393" t="s">
        <v>67</v>
      </c>
      <c r="H393" s="2">
        <v>600</v>
      </c>
      <c r="I393" t="s">
        <v>105</v>
      </c>
      <c r="J393" t="s">
        <v>70</v>
      </c>
      <c r="K393" t="s">
        <v>69</v>
      </c>
      <c r="L393" t="s">
        <v>69</v>
      </c>
      <c r="M393" s="4">
        <v>2</v>
      </c>
      <c r="N393" t="s">
        <v>71</v>
      </c>
      <c r="O393" s="4">
        <v>3</v>
      </c>
      <c r="P393" t="s">
        <v>91</v>
      </c>
      <c r="Q393" s="4">
        <v>1</v>
      </c>
      <c r="R393" t="s">
        <v>71</v>
      </c>
      <c r="S393" s="4">
        <v>2</v>
      </c>
      <c r="T393" t="s">
        <v>71</v>
      </c>
      <c r="U393" t="s">
        <v>92</v>
      </c>
      <c r="V393" t="s">
        <v>93</v>
      </c>
      <c r="W393" t="s">
        <v>74</v>
      </c>
      <c r="X393" t="s">
        <v>76</v>
      </c>
      <c r="Y393" t="s">
        <v>69</v>
      </c>
      <c r="Z393" s="4">
        <v>4</v>
      </c>
      <c r="AA393" t="s">
        <v>77</v>
      </c>
      <c r="AB393" s="4">
        <v>120</v>
      </c>
      <c r="AC393" s="4">
        <v>82</v>
      </c>
      <c r="AD393" s="4">
        <v>78</v>
      </c>
      <c r="AE393" s="4">
        <v>179</v>
      </c>
      <c r="AF393" s="4">
        <v>80</v>
      </c>
      <c r="AG393" s="4">
        <v>103</v>
      </c>
      <c r="AH393" s="4">
        <v>104</v>
      </c>
      <c r="AI393" s="4">
        <v>162</v>
      </c>
      <c r="AJ393" s="4">
        <v>80</v>
      </c>
      <c r="AK393" t="s">
        <v>107</v>
      </c>
      <c r="AL393" t="s">
        <v>95</v>
      </c>
      <c r="AM393" t="s">
        <v>80</v>
      </c>
      <c r="AN393" t="s">
        <v>96</v>
      </c>
      <c r="AO393" t="s">
        <v>97</v>
      </c>
      <c r="AP393" t="s">
        <v>85</v>
      </c>
      <c r="AQ393" t="s">
        <v>85</v>
      </c>
      <c r="AR393" t="s">
        <v>85</v>
      </c>
      <c r="AS393" t="s">
        <v>102</v>
      </c>
      <c r="AT393" t="s">
        <v>85</v>
      </c>
      <c r="AU393" t="s">
        <v>83</v>
      </c>
      <c r="AV393" t="s">
        <v>85</v>
      </c>
      <c r="AW393" s="4">
        <v>2</v>
      </c>
      <c r="AX393" s="4">
        <v>1</v>
      </c>
      <c r="AY393" s="4">
        <v>1</v>
      </c>
      <c r="AZ393" s="3">
        <v>1.79</v>
      </c>
      <c r="BA393" s="3">
        <v>3.2040999999999999</v>
      </c>
      <c r="BB393" s="3">
        <v>24.343809494085704</v>
      </c>
      <c r="BC393" t="s">
        <v>85</v>
      </c>
      <c r="BD393" t="s">
        <v>86</v>
      </c>
      <c r="BE393" s="4">
        <v>2</v>
      </c>
      <c r="BF393" t="s">
        <v>87</v>
      </c>
      <c r="BG393" s="4">
        <v>0</v>
      </c>
      <c r="BH393" s="1" t="e">
        <v>#NULL!</v>
      </c>
      <c r="BI393" t="s">
        <v>85</v>
      </c>
      <c r="BJ393" s="4">
        <v>2</v>
      </c>
      <c r="BK393" t="s">
        <v>88</v>
      </c>
    </row>
    <row r="394" spans="1:63" x14ac:dyDescent="0.35">
      <c r="A394" s="4">
        <v>271</v>
      </c>
      <c r="B394" s="4">
        <v>55</v>
      </c>
      <c r="C394" t="s">
        <v>121</v>
      </c>
      <c r="D394" t="s">
        <v>64</v>
      </c>
      <c r="E394" t="s">
        <v>104</v>
      </c>
      <c r="F394" t="s">
        <v>101</v>
      </c>
      <c r="G394" t="s">
        <v>67</v>
      </c>
      <c r="H394" s="2">
        <v>300</v>
      </c>
      <c r="I394" t="s">
        <v>68</v>
      </c>
      <c r="J394" t="s">
        <v>69</v>
      </c>
      <c r="K394" t="s">
        <v>70</v>
      </c>
      <c r="L394" t="s">
        <v>69</v>
      </c>
      <c r="M394" s="4">
        <v>2</v>
      </c>
      <c r="N394" t="s">
        <v>71</v>
      </c>
      <c r="O394" s="4">
        <v>2</v>
      </c>
      <c r="P394" t="s">
        <v>71</v>
      </c>
      <c r="Q394" s="4">
        <v>1</v>
      </c>
      <c r="R394" t="s">
        <v>71</v>
      </c>
      <c r="S394" s="4">
        <v>1</v>
      </c>
      <c r="T394" t="s">
        <v>71</v>
      </c>
      <c r="U394" t="s">
        <v>92</v>
      </c>
      <c r="V394" t="s">
        <v>93</v>
      </c>
      <c r="W394" t="s">
        <v>93</v>
      </c>
      <c r="X394" t="s">
        <v>94</v>
      </c>
      <c r="Y394" t="s">
        <v>69</v>
      </c>
      <c r="Z394" s="4">
        <v>3</v>
      </c>
      <c r="AA394" t="s">
        <v>77</v>
      </c>
      <c r="AB394" s="4">
        <v>100</v>
      </c>
      <c r="AC394" s="4">
        <v>80</v>
      </c>
      <c r="AD394" s="4">
        <v>70</v>
      </c>
      <c r="AE394" s="4">
        <v>172</v>
      </c>
      <c r="AF394" s="4">
        <v>81</v>
      </c>
      <c r="AG394" s="4">
        <v>90</v>
      </c>
      <c r="AH394" s="4">
        <v>80</v>
      </c>
      <c r="AI394" s="4">
        <v>140</v>
      </c>
      <c r="AJ394" s="4">
        <v>66</v>
      </c>
      <c r="AK394" t="s">
        <v>78</v>
      </c>
      <c r="AL394" t="s">
        <v>95</v>
      </c>
      <c r="AM394" t="s">
        <v>80</v>
      </c>
      <c r="AN394" t="s">
        <v>96</v>
      </c>
      <c r="AO394" t="s">
        <v>97</v>
      </c>
      <c r="AP394" t="s">
        <v>85</v>
      </c>
      <c r="AQ394" t="s">
        <v>85</v>
      </c>
      <c r="AR394" t="s">
        <v>85</v>
      </c>
      <c r="AS394" t="s">
        <v>84</v>
      </c>
      <c r="AT394" t="s">
        <v>85</v>
      </c>
      <c r="AU394" t="s">
        <v>83</v>
      </c>
      <c r="AV394" t="s">
        <v>85</v>
      </c>
      <c r="AW394" s="4">
        <v>0</v>
      </c>
      <c r="AX394" s="4">
        <v>0</v>
      </c>
      <c r="AY394" s="4">
        <v>0</v>
      </c>
      <c r="AZ394" s="3">
        <v>1.72</v>
      </c>
      <c r="BA394" s="3">
        <v>2.9583999999999997</v>
      </c>
      <c r="BB394" s="3">
        <v>23.661438615467823</v>
      </c>
      <c r="BC394" t="s">
        <v>85</v>
      </c>
      <c r="BD394" t="s">
        <v>86</v>
      </c>
      <c r="BE394" s="4">
        <v>0</v>
      </c>
      <c r="BF394" t="s">
        <v>87</v>
      </c>
      <c r="BG394" s="4">
        <v>0</v>
      </c>
      <c r="BH394" s="1" t="e">
        <v>#NULL!</v>
      </c>
      <c r="BI394" t="s">
        <v>85</v>
      </c>
      <c r="BJ394" s="4">
        <v>0</v>
      </c>
      <c r="BK394" t="s">
        <v>88</v>
      </c>
    </row>
    <row r="395" spans="1:63" x14ac:dyDescent="0.35">
      <c r="A395" s="4">
        <v>373</v>
      </c>
      <c r="B395" s="4">
        <v>55</v>
      </c>
      <c r="C395" t="s">
        <v>121</v>
      </c>
      <c r="D395" t="s">
        <v>89</v>
      </c>
      <c r="E395" t="s">
        <v>104</v>
      </c>
      <c r="F395" t="s">
        <v>90</v>
      </c>
      <c r="G395" t="s">
        <v>67</v>
      </c>
      <c r="H395" s="2">
        <v>1200</v>
      </c>
      <c r="I395" t="s">
        <v>116</v>
      </c>
      <c r="J395" t="s">
        <v>69</v>
      </c>
      <c r="K395" t="s">
        <v>69</v>
      </c>
      <c r="L395" t="s">
        <v>69</v>
      </c>
      <c r="M395" s="4">
        <v>2</v>
      </c>
      <c r="N395" t="s">
        <v>71</v>
      </c>
      <c r="O395" s="4">
        <v>2</v>
      </c>
      <c r="P395" t="s">
        <v>71</v>
      </c>
      <c r="Q395" s="4">
        <v>2</v>
      </c>
      <c r="R395" t="s">
        <v>71</v>
      </c>
      <c r="S395" s="4">
        <v>3</v>
      </c>
      <c r="T395" t="s">
        <v>91</v>
      </c>
      <c r="U395" t="s">
        <v>92</v>
      </c>
      <c r="V395" t="s">
        <v>93</v>
      </c>
      <c r="W395" t="s">
        <v>93</v>
      </c>
      <c r="X395" t="s">
        <v>94</v>
      </c>
      <c r="Y395" t="s">
        <v>69</v>
      </c>
      <c r="Z395" s="4">
        <v>5</v>
      </c>
      <c r="AA395" t="s">
        <v>77</v>
      </c>
      <c r="AB395" s="4">
        <v>125</v>
      </c>
      <c r="AC395" s="4">
        <v>88</v>
      </c>
      <c r="AD395" s="4">
        <v>88</v>
      </c>
      <c r="AE395" s="4">
        <v>171</v>
      </c>
      <c r="AF395" s="4">
        <v>96</v>
      </c>
      <c r="AG395" s="4">
        <v>112</v>
      </c>
      <c r="AH395" s="4">
        <v>184</v>
      </c>
      <c r="AI395" s="4">
        <v>180</v>
      </c>
      <c r="AJ395" s="4">
        <v>42</v>
      </c>
      <c r="AK395" t="s">
        <v>107</v>
      </c>
      <c r="AL395" t="s">
        <v>95</v>
      </c>
      <c r="AM395" t="s">
        <v>108</v>
      </c>
      <c r="AN395" t="s">
        <v>81</v>
      </c>
      <c r="AO395" t="s">
        <v>82</v>
      </c>
      <c r="AP395" t="s">
        <v>83</v>
      </c>
      <c r="AQ395" t="s">
        <v>85</v>
      </c>
      <c r="AR395" t="s">
        <v>83</v>
      </c>
      <c r="AS395" t="s">
        <v>102</v>
      </c>
      <c r="AT395" t="s">
        <v>83</v>
      </c>
      <c r="AU395" t="s">
        <v>83</v>
      </c>
      <c r="AV395" t="s">
        <v>83</v>
      </c>
      <c r="AW395" s="4">
        <v>4</v>
      </c>
      <c r="AX395" s="4">
        <v>1</v>
      </c>
      <c r="AY395" s="4">
        <v>2</v>
      </c>
      <c r="AZ395" s="3">
        <v>1.71</v>
      </c>
      <c r="BA395" s="3">
        <v>2.9240999999999997</v>
      </c>
      <c r="BB395" s="3">
        <v>30.094730002393902</v>
      </c>
      <c r="BC395" t="s">
        <v>110</v>
      </c>
      <c r="BD395" t="s">
        <v>99</v>
      </c>
      <c r="BE395" s="4">
        <v>5</v>
      </c>
      <c r="BF395" t="s">
        <v>111</v>
      </c>
      <c r="BG395" s="1" t="e">
        <v>#NULL!</v>
      </c>
      <c r="BH395" s="4">
        <v>1</v>
      </c>
      <c r="BI395" t="s">
        <v>83</v>
      </c>
      <c r="BJ395" s="4">
        <v>5</v>
      </c>
      <c r="BK395" t="s">
        <v>112</v>
      </c>
    </row>
    <row r="396" spans="1:63" x14ac:dyDescent="0.35">
      <c r="A396" s="4">
        <v>377</v>
      </c>
      <c r="B396" s="4">
        <v>55</v>
      </c>
      <c r="C396" t="s">
        <v>121</v>
      </c>
      <c r="D396" t="s">
        <v>89</v>
      </c>
      <c r="E396" t="s">
        <v>104</v>
      </c>
      <c r="F396" t="s">
        <v>115</v>
      </c>
      <c r="G396" t="s">
        <v>67</v>
      </c>
      <c r="H396" s="2">
        <v>200</v>
      </c>
      <c r="I396" t="s">
        <v>68</v>
      </c>
      <c r="J396" t="s">
        <v>69</v>
      </c>
      <c r="K396" t="s">
        <v>69</v>
      </c>
      <c r="L396" t="s">
        <v>69</v>
      </c>
      <c r="M396" s="4">
        <v>1</v>
      </c>
      <c r="N396" t="s">
        <v>71</v>
      </c>
      <c r="O396" s="4">
        <v>2</v>
      </c>
      <c r="P396" t="s">
        <v>71</v>
      </c>
      <c r="Q396" s="4">
        <v>2</v>
      </c>
      <c r="R396" t="s">
        <v>71</v>
      </c>
      <c r="S396" s="4">
        <v>2</v>
      </c>
      <c r="T396" t="s">
        <v>71</v>
      </c>
      <c r="U396" t="s">
        <v>92</v>
      </c>
      <c r="V396" t="s">
        <v>93</v>
      </c>
      <c r="W396" t="s">
        <v>93</v>
      </c>
      <c r="X396" t="s">
        <v>94</v>
      </c>
      <c r="Y396" t="s">
        <v>69</v>
      </c>
      <c r="Z396" s="4">
        <v>10</v>
      </c>
      <c r="AA396" t="s">
        <v>117</v>
      </c>
      <c r="AB396" s="4">
        <v>148</v>
      </c>
      <c r="AC396" s="4">
        <v>95</v>
      </c>
      <c r="AD396" s="4">
        <v>73</v>
      </c>
      <c r="AE396" s="4">
        <v>168</v>
      </c>
      <c r="AF396" s="4">
        <v>79</v>
      </c>
      <c r="AG396" s="4">
        <v>94</v>
      </c>
      <c r="AH396" s="4">
        <v>98</v>
      </c>
      <c r="AI396" s="4">
        <v>125</v>
      </c>
      <c r="AJ396" s="4">
        <v>51</v>
      </c>
      <c r="AK396" t="s">
        <v>78</v>
      </c>
      <c r="AL396" t="s">
        <v>79</v>
      </c>
      <c r="AM396" t="s">
        <v>108</v>
      </c>
      <c r="AN396" t="s">
        <v>109</v>
      </c>
      <c r="AO396" t="s">
        <v>82</v>
      </c>
      <c r="AP396" t="s">
        <v>85</v>
      </c>
      <c r="AQ396" t="s">
        <v>85</v>
      </c>
      <c r="AR396" t="s">
        <v>85</v>
      </c>
      <c r="AS396" t="s">
        <v>84</v>
      </c>
      <c r="AT396" t="s">
        <v>85</v>
      </c>
      <c r="AU396" t="s">
        <v>85</v>
      </c>
      <c r="AV396" t="s">
        <v>85</v>
      </c>
      <c r="AW396" s="4">
        <v>1</v>
      </c>
      <c r="AX396" s="4">
        <v>0</v>
      </c>
      <c r="AY396" s="4">
        <v>0</v>
      </c>
      <c r="AZ396" s="3">
        <v>1.68</v>
      </c>
      <c r="BA396" s="3">
        <v>2.8223999999999996</v>
      </c>
      <c r="BB396" s="3">
        <v>25.864512471655331</v>
      </c>
      <c r="BC396" t="s">
        <v>98</v>
      </c>
      <c r="BD396" t="s">
        <v>99</v>
      </c>
      <c r="BE396" s="4">
        <v>1</v>
      </c>
      <c r="BF396" t="s">
        <v>87</v>
      </c>
      <c r="BG396" s="1" t="e">
        <v>#NULL!</v>
      </c>
      <c r="BH396" s="4">
        <v>0</v>
      </c>
      <c r="BI396" t="s">
        <v>85</v>
      </c>
      <c r="BJ396" s="4">
        <v>1</v>
      </c>
      <c r="BK396" t="s">
        <v>88</v>
      </c>
    </row>
    <row r="397" spans="1:63" x14ac:dyDescent="0.35">
      <c r="A397" s="4">
        <v>453</v>
      </c>
      <c r="B397" s="4">
        <v>55</v>
      </c>
      <c r="C397" t="s">
        <v>121</v>
      </c>
      <c r="D397" t="s">
        <v>64</v>
      </c>
      <c r="E397" t="s">
        <v>104</v>
      </c>
      <c r="F397" t="s">
        <v>90</v>
      </c>
      <c r="G397" t="s">
        <v>67</v>
      </c>
      <c r="H397" s="2">
        <v>800</v>
      </c>
      <c r="I397" t="s">
        <v>105</v>
      </c>
      <c r="J397" t="s">
        <v>69</v>
      </c>
      <c r="K397" t="s">
        <v>69</v>
      </c>
      <c r="L397" t="s">
        <v>69</v>
      </c>
      <c r="M397" s="4">
        <v>4</v>
      </c>
      <c r="N397" t="s">
        <v>91</v>
      </c>
      <c r="O397" s="4">
        <v>3</v>
      </c>
      <c r="P397" t="s">
        <v>91</v>
      </c>
      <c r="Q397" s="4">
        <v>4</v>
      </c>
      <c r="R397" t="s">
        <v>91</v>
      </c>
      <c r="S397" s="4">
        <v>4</v>
      </c>
      <c r="T397" t="s">
        <v>91</v>
      </c>
      <c r="U397" t="s">
        <v>92</v>
      </c>
      <c r="V397" t="s">
        <v>93</v>
      </c>
      <c r="W397" t="s">
        <v>93</v>
      </c>
      <c r="X397" t="s">
        <v>94</v>
      </c>
      <c r="Y397" t="s">
        <v>70</v>
      </c>
      <c r="Z397" s="4">
        <v>4</v>
      </c>
      <c r="AA397" t="s">
        <v>77</v>
      </c>
      <c r="AB397" s="4">
        <v>110</v>
      </c>
      <c r="AC397" s="4">
        <v>72</v>
      </c>
      <c r="AD397" s="4">
        <v>80</v>
      </c>
      <c r="AE397" s="4">
        <v>176</v>
      </c>
      <c r="AF397" s="4">
        <v>88</v>
      </c>
      <c r="AG397" s="4">
        <v>100</v>
      </c>
      <c r="AH397" s="4">
        <v>97</v>
      </c>
      <c r="AI397" s="4">
        <v>140</v>
      </c>
      <c r="AJ397" s="4">
        <v>40</v>
      </c>
      <c r="AK397" t="s">
        <v>78</v>
      </c>
      <c r="AL397" t="s">
        <v>95</v>
      </c>
      <c r="AM397" t="s">
        <v>80</v>
      </c>
      <c r="AN397" t="s">
        <v>96</v>
      </c>
      <c r="AO397" t="s">
        <v>97</v>
      </c>
      <c r="AP397" t="s">
        <v>83</v>
      </c>
      <c r="AQ397" t="s">
        <v>85</v>
      </c>
      <c r="AR397" t="s">
        <v>85</v>
      </c>
      <c r="AS397" t="s">
        <v>84</v>
      </c>
      <c r="AT397" t="s">
        <v>85</v>
      </c>
      <c r="AU397" t="s">
        <v>83</v>
      </c>
      <c r="AV397" t="s">
        <v>85</v>
      </c>
      <c r="AW397" s="4">
        <v>0</v>
      </c>
      <c r="AX397" s="4">
        <v>0</v>
      </c>
      <c r="AY397" s="4">
        <v>0</v>
      </c>
      <c r="AZ397" s="3">
        <v>1.76</v>
      </c>
      <c r="BA397" s="3">
        <v>3.0975999999999999</v>
      </c>
      <c r="BB397" s="3">
        <v>25.826446280991735</v>
      </c>
      <c r="BC397" t="s">
        <v>98</v>
      </c>
      <c r="BD397" t="s">
        <v>99</v>
      </c>
      <c r="BE397" s="4">
        <v>0</v>
      </c>
      <c r="BF397" t="s">
        <v>87</v>
      </c>
      <c r="BG397" s="4">
        <v>0</v>
      </c>
      <c r="BH397" s="1" t="e">
        <v>#NULL!</v>
      </c>
      <c r="BI397" t="s">
        <v>85</v>
      </c>
      <c r="BJ397" s="4">
        <v>0</v>
      </c>
      <c r="BK397" t="s">
        <v>88</v>
      </c>
    </row>
    <row r="398" spans="1:63" x14ac:dyDescent="0.35">
      <c r="A398" s="4">
        <v>130</v>
      </c>
      <c r="B398" s="4">
        <v>56</v>
      </c>
      <c r="C398" t="s">
        <v>121</v>
      </c>
      <c r="D398" t="s">
        <v>89</v>
      </c>
      <c r="E398" t="s">
        <v>104</v>
      </c>
      <c r="F398" t="s">
        <v>115</v>
      </c>
      <c r="G398" t="s">
        <v>67</v>
      </c>
      <c r="H398" s="2">
        <v>300</v>
      </c>
      <c r="I398" t="s">
        <v>68</v>
      </c>
      <c r="J398" t="s">
        <v>69</v>
      </c>
      <c r="K398" t="s">
        <v>69</v>
      </c>
      <c r="L398" t="s">
        <v>69</v>
      </c>
      <c r="M398" s="4">
        <v>4</v>
      </c>
      <c r="N398" t="s">
        <v>91</v>
      </c>
      <c r="O398" s="4">
        <v>3</v>
      </c>
      <c r="P398" t="s">
        <v>91</v>
      </c>
      <c r="Q398" s="4">
        <v>3</v>
      </c>
      <c r="R398" t="s">
        <v>91</v>
      </c>
      <c r="S398" s="4">
        <v>5</v>
      </c>
      <c r="T398" t="s">
        <v>72</v>
      </c>
      <c r="U398" t="s">
        <v>73</v>
      </c>
      <c r="V398" t="s">
        <v>93</v>
      </c>
      <c r="W398" t="s">
        <v>93</v>
      </c>
      <c r="X398" t="s">
        <v>94</v>
      </c>
      <c r="Y398" t="s">
        <v>70</v>
      </c>
      <c r="Z398" s="4">
        <v>6</v>
      </c>
      <c r="AA398" t="s">
        <v>77</v>
      </c>
      <c r="AB398" s="4">
        <v>142</v>
      </c>
      <c r="AC398" s="4">
        <v>82</v>
      </c>
      <c r="AD398" s="4">
        <v>77</v>
      </c>
      <c r="AE398" s="4">
        <v>173</v>
      </c>
      <c r="AF398" s="4">
        <v>91</v>
      </c>
      <c r="AG398" s="4">
        <v>113</v>
      </c>
      <c r="AH398" s="4">
        <v>118</v>
      </c>
      <c r="AI398" s="4">
        <v>48</v>
      </c>
      <c r="AJ398" s="4">
        <v>36</v>
      </c>
      <c r="AK398" t="s">
        <v>78</v>
      </c>
      <c r="AL398" t="s">
        <v>79</v>
      </c>
      <c r="AM398" t="s">
        <v>80</v>
      </c>
      <c r="AN398" t="s">
        <v>81</v>
      </c>
      <c r="AO398" t="s">
        <v>82</v>
      </c>
      <c r="AP398" t="s">
        <v>83</v>
      </c>
      <c r="AQ398" t="s">
        <v>83</v>
      </c>
      <c r="AR398" t="s">
        <v>83</v>
      </c>
      <c r="AS398" t="s">
        <v>102</v>
      </c>
      <c r="AT398" t="s">
        <v>85</v>
      </c>
      <c r="AU398" t="s">
        <v>83</v>
      </c>
      <c r="AV398" t="s">
        <v>83</v>
      </c>
      <c r="AW398" s="4">
        <v>3</v>
      </c>
      <c r="AX398" s="4">
        <v>1</v>
      </c>
      <c r="AY398" s="4">
        <v>2</v>
      </c>
      <c r="AZ398" s="3">
        <v>1.73</v>
      </c>
      <c r="BA398" s="3">
        <v>2.9929000000000001</v>
      </c>
      <c r="BB398" s="3">
        <v>25.727555214006482</v>
      </c>
      <c r="BC398" t="s">
        <v>98</v>
      </c>
      <c r="BD398" t="s">
        <v>99</v>
      </c>
      <c r="BE398" s="4">
        <v>4</v>
      </c>
      <c r="BF398" t="s">
        <v>111</v>
      </c>
      <c r="BG398" s="1" t="e">
        <v>#NULL!</v>
      </c>
      <c r="BH398" s="4">
        <v>1</v>
      </c>
      <c r="BI398" t="s">
        <v>83</v>
      </c>
      <c r="BJ398" s="4">
        <v>4</v>
      </c>
      <c r="BK398" t="s">
        <v>112</v>
      </c>
    </row>
    <row r="399" spans="1:63" x14ac:dyDescent="0.35">
      <c r="A399" s="4">
        <v>218</v>
      </c>
      <c r="B399" s="4">
        <v>56</v>
      </c>
      <c r="C399" t="s">
        <v>121</v>
      </c>
      <c r="D399" t="s">
        <v>64</v>
      </c>
      <c r="E399" t="s">
        <v>104</v>
      </c>
      <c r="F399" t="s">
        <v>90</v>
      </c>
      <c r="G399" t="s">
        <v>67</v>
      </c>
      <c r="H399" s="2">
        <v>800</v>
      </c>
      <c r="I399" t="s">
        <v>105</v>
      </c>
      <c r="J399" t="s">
        <v>69</v>
      </c>
      <c r="K399" t="s">
        <v>70</v>
      </c>
      <c r="L399" t="s">
        <v>69</v>
      </c>
      <c r="M399" s="4">
        <v>4</v>
      </c>
      <c r="N399" t="s">
        <v>91</v>
      </c>
      <c r="O399" s="4">
        <v>3</v>
      </c>
      <c r="P399" t="s">
        <v>91</v>
      </c>
      <c r="Q399" s="4">
        <v>4</v>
      </c>
      <c r="R399" t="s">
        <v>91</v>
      </c>
      <c r="S399" s="4">
        <v>4</v>
      </c>
      <c r="T399" t="s">
        <v>91</v>
      </c>
      <c r="U399" t="s">
        <v>92</v>
      </c>
      <c r="V399" t="s">
        <v>93</v>
      </c>
      <c r="W399" t="s">
        <v>93</v>
      </c>
      <c r="X399" t="s">
        <v>94</v>
      </c>
      <c r="Y399" t="s">
        <v>70</v>
      </c>
      <c r="Z399" s="4">
        <v>4</v>
      </c>
      <c r="AA399" t="s">
        <v>77</v>
      </c>
      <c r="AB399" s="4">
        <v>110</v>
      </c>
      <c r="AC399" s="4">
        <v>72</v>
      </c>
      <c r="AD399" s="4">
        <v>80</v>
      </c>
      <c r="AE399" s="4">
        <v>176</v>
      </c>
      <c r="AF399" s="4">
        <v>88</v>
      </c>
      <c r="AG399" s="4">
        <v>100</v>
      </c>
      <c r="AH399" s="4">
        <v>96</v>
      </c>
      <c r="AI399" s="4">
        <v>140</v>
      </c>
      <c r="AJ399" s="4">
        <v>40</v>
      </c>
      <c r="AK399" t="s">
        <v>78</v>
      </c>
      <c r="AL399" t="s">
        <v>95</v>
      </c>
      <c r="AM399" t="s">
        <v>80</v>
      </c>
      <c r="AN399" t="s">
        <v>96</v>
      </c>
      <c r="AO399" t="s">
        <v>97</v>
      </c>
      <c r="AP399" t="s">
        <v>83</v>
      </c>
      <c r="AQ399" t="s">
        <v>85</v>
      </c>
      <c r="AR399" t="s">
        <v>85</v>
      </c>
      <c r="AS399" t="s">
        <v>84</v>
      </c>
      <c r="AT399" t="s">
        <v>85</v>
      </c>
      <c r="AU399" t="s">
        <v>83</v>
      </c>
      <c r="AV399" t="s">
        <v>85</v>
      </c>
      <c r="AW399" s="4">
        <v>0</v>
      </c>
      <c r="AX399" s="4">
        <v>0</v>
      </c>
      <c r="AY399" s="4">
        <v>0</v>
      </c>
      <c r="AZ399" s="3">
        <v>1.76</v>
      </c>
      <c r="BA399" s="3">
        <v>3.0975999999999999</v>
      </c>
      <c r="BB399" s="3">
        <v>25.826446280991735</v>
      </c>
      <c r="BC399" t="s">
        <v>98</v>
      </c>
      <c r="BD399" t="s">
        <v>99</v>
      </c>
      <c r="BE399" s="4">
        <v>0</v>
      </c>
      <c r="BF399" t="s">
        <v>87</v>
      </c>
      <c r="BG399" s="4">
        <v>0</v>
      </c>
      <c r="BH399" s="1" t="e">
        <v>#NULL!</v>
      </c>
      <c r="BI399" t="s">
        <v>85</v>
      </c>
      <c r="BJ399" s="4">
        <v>0</v>
      </c>
      <c r="BK399" t="s">
        <v>88</v>
      </c>
    </row>
    <row r="400" spans="1:63" x14ac:dyDescent="0.35">
      <c r="A400" s="4">
        <v>294</v>
      </c>
      <c r="B400" s="4">
        <v>56</v>
      </c>
      <c r="C400" t="s">
        <v>121</v>
      </c>
      <c r="D400" t="s">
        <v>64</v>
      </c>
      <c r="E400" t="s">
        <v>104</v>
      </c>
      <c r="F400" t="s">
        <v>101</v>
      </c>
      <c r="G400" t="s">
        <v>67</v>
      </c>
      <c r="H400" s="2">
        <v>600</v>
      </c>
      <c r="I400" t="s">
        <v>105</v>
      </c>
      <c r="J400" t="s">
        <v>70</v>
      </c>
      <c r="K400" t="s">
        <v>69</v>
      </c>
      <c r="L400" t="s">
        <v>69</v>
      </c>
      <c r="M400" s="4">
        <v>2</v>
      </c>
      <c r="N400" t="s">
        <v>71</v>
      </c>
      <c r="O400" s="4">
        <v>3</v>
      </c>
      <c r="P400" t="s">
        <v>91</v>
      </c>
      <c r="Q400" s="4">
        <v>1</v>
      </c>
      <c r="R400" t="s">
        <v>71</v>
      </c>
      <c r="S400" s="4">
        <v>2</v>
      </c>
      <c r="T400" t="s">
        <v>71</v>
      </c>
      <c r="U400" t="s">
        <v>92</v>
      </c>
      <c r="V400" t="s">
        <v>93</v>
      </c>
      <c r="W400" t="s">
        <v>74</v>
      </c>
      <c r="X400" t="s">
        <v>76</v>
      </c>
      <c r="Y400" t="s">
        <v>69</v>
      </c>
      <c r="Z400" s="4">
        <v>4</v>
      </c>
      <c r="AA400" t="s">
        <v>77</v>
      </c>
      <c r="AB400" s="4">
        <v>120</v>
      </c>
      <c r="AC400" s="4">
        <v>82</v>
      </c>
      <c r="AD400" s="4">
        <v>78</v>
      </c>
      <c r="AE400" s="4">
        <v>179</v>
      </c>
      <c r="AF400" s="4">
        <v>80</v>
      </c>
      <c r="AG400" s="4">
        <v>103</v>
      </c>
      <c r="AH400" s="4">
        <v>104</v>
      </c>
      <c r="AI400" s="4">
        <v>162</v>
      </c>
      <c r="AJ400" s="4">
        <v>80</v>
      </c>
      <c r="AK400" t="s">
        <v>107</v>
      </c>
      <c r="AL400" t="s">
        <v>95</v>
      </c>
      <c r="AM400" t="s">
        <v>80</v>
      </c>
      <c r="AN400" t="s">
        <v>96</v>
      </c>
      <c r="AO400" t="s">
        <v>97</v>
      </c>
      <c r="AP400" t="s">
        <v>85</v>
      </c>
      <c r="AQ400" t="s">
        <v>85</v>
      </c>
      <c r="AR400" t="s">
        <v>85</v>
      </c>
      <c r="AS400" t="s">
        <v>102</v>
      </c>
      <c r="AT400" t="s">
        <v>85</v>
      </c>
      <c r="AU400" t="s">
        <v>83</v>
      </c>
      <c r="AV400" t="s">
        <v>85</v>
      </c>
      <c r="AW400" s="4">
        <v>2</v>
      </c>
      <c r="AX400" s="4">
        <v>1</v>
      </c>
      <c r="AY400" s="4">
        <v>1</v>
      </c>
      <c r="AZ400" s="3">
        <v>1.79</v>
      </c>
      <c r="BA400" s="3">
        <v>3.2040999999999999</v>
      </c>
      <c r="BB400" s="3">
        <v>24.343809494085704</v>
      </c>
      <c r="BC400" t="s">
        <v>85</v>
      </c>
      <c r="BD400" t="s">
        <v>86</v>
      </c>
      <c r="BE400" s="4">
        <v>2</v>
      </c>
      <c r="BF400" t="s">
        <v>87</v>
      </c>
      <c r="BG400" s="4">
        <v>0</v>
      </c>
      <c r="BH400" s="1" t="e">
        <v>#NULL!</v>
      </c>
      <c r="BI400" t="s">
        <v>85</v>
      </c>
      <c r="BJ400" s="4">
        <v>2</v>
      </c>
      <c r="BK400" t="s">
        <v>88</v>
      </c>
    </row>
    <row r="401" spans="1:63" x14ac:dyDescent="0.35">
      <c r="A401" s="4">
        <v>305</v>
      </c>
      <c r="B401" s="4">
        <v>56</v>
      </c>
      <c r="C401" t="s">
        <v>121</v>
      </c>
      <c r="D401" t="s">
        <v>89</v>
      </c>
      <c r="E401" t="s">
        <v>104</v>
      </c>
      <c r="F401" t="s">
        <v>66</v>
      </c>
      <c r="G401" t="s">
        <v>67</v>
      </c>
      <c r="H401" s="2">
        <v>700</v>
      </c>
      <c r="I401" t="s">
        <v>105</v>
      </c>
      <c r="J401" t="s">
        <v>69</v>
      </c>
      <c r="K401" t="s">
        <v>69</v>
      </c>
      <c r="L401" t="s">
        <v>69</v>
      </c>
      <c r="M401" s="4">
        <v>3</v>
      </c>
      <c r="N401" t="s">
        <v>91</v>
      </c>
      <c r="O401" s="4">
        <v>5</v>
      </c>
      <c r="P401" t="s">
        <v>72</v>
      </c>
      <c r="Q401" s="4">
        <v>5</v>
      </c>
      <c r="R401" t="s">
        <v>72</v>
      </c>
      <c r="S401" s="4">
        <v>5</v>
      </c>
      <c r="T401" t="s">
        <v>72</v>
      </c>
      <c r="U401" t="s">
        <v>103</v>
      </c>
      <c r="V401" t="s">
        <v>93</v>
      </c>
      <c r="W401" t="s">
        <v>74</v>
      </c>
      <c r="X401" t="s">
        <v>76</v>
      </c>
      <c r="Y401" t="s">
        <v>69</v>
      </c>
      <c r="Z401" s="4">
        <v>4</v>
      </c>
      <c r="AA401" t="s">
        <v>77</v>
      </c>
      <c r="AB401" s="4">
        <v>139</v>
      </c>
      <c r="AC401" s="4">
        <v>86</v>
      </c>
      <c r="AD401" s="4">
        <v>83</v>
      </c>
      <c r="AE401" s="4">
        <v>165</v>
      </c>
      <c r="AF401" s="4">
        <v>99</v>
      </c>
      <c r="AG401" s="4">
        <v>119</v>
      </c>
      <c r="AH401" s="4">
        <v>75</v>
      </c>
      <c r="AI401" s="4">
        <v>107</v>
      </c>
      <c r="AJ401" s="4">
        <v>53</v>
      </c>
      <c r="AK401" t="s">
        <v>78</v>
      </c>
      <c r="AL401" t="s">
        <v>79</v>
      </c>
      <c r="AM401" t="s">
        <v>108</v>
      </c>
      <c r="AN401" t="s">
        <v>109</v>
      </c>
      <c r="AO401" t="s">
        <v>82</v>
      </c>
      <c r="AP401" t="s">
        <v>85</v>
      </c>
      <c r="AQ401" t="s">
        <v>85</v>
      </c>
      <c r="AR401" t="s">
        <v>85</v>
      </c>
      <c r="AS401" t="s">
        <v>84</v>
      </c>
      <c r="AT401" t="s">
        <v>83</v>
      </c>
      <c r="AU401" t="s">
        <v>83</v>
      </c>
      <c r="AV401" t="s">
        <v>83</v>
      </c>
      <c r="AW401" s="4">
        <v>1</v>
      </c>
      <c r="AX401" s="4">
        <v>0</v>
      </c>
      <c r="AY401" s="4">
        <v>1</v>
      </c>
      <c r="AZ401" s="3">
        <v>1.65</v>
      </c>
      <c r="BA401" s="3">
        <v>2.7224999999999997</v>
      </c>
      <c r="BB401" s="3">
        <v>30.486685032139579</v>
      </c>
      <c r="BC401" t="s">
        <v>110</v>
      </c>
      <c r="BD401" t="s">
        <v>99</v>
      </c>
      <c r="BE401" s="4">
        <v>2</v>
      </c>
      <c r="BF401" t="s">
        <v>87</v>
      </c>
      <c r="BG401" s="1" t="e">
        <v>#NULL!</v>
      </c>
      <c r="BH401" s="4">
        <v>1</v>
      </c>
      <c r="BI401" t="s">
        <v>83</v>
      </c>
      <c r="BJ401" s="4">
        <v>2</v>
      </c>
      <c r="BK401" t="s">
        <v>88</v>
      </c>
    </row>
    <row r="402" spans="1:63" x14ac:dyDescent="0.35">
      <c r="A402" s="4">
        <v>464</v>
      </c>
      <c r="B402" s="4">
        <v>56</v>
      </c>
      <c r="C402" t="s">
        <v>121</v>
      </c>
      <c r="D402" t="s">
        <v>64</v>
      </c>
      <c r="E402" t="s">
        <v>104</v>
      </c>
      <c r="F402" t="s">
        <v>101</v>
      </c>
      <c r="G402" t="s">
        <v>67</v>
      </c>
      <c r="H402" s="2">
        <v>600</v>
      </c>
      <c r="I402" t="s">
        <v>105</v>
      </c>
      <c r="J402" t="s">
        <v>69</v>
      </c>
      <c r="K402" t="s">
        <v>70</v>
      </c>
      <c r="L402" t="s">
        <v>69</v>
      </c>
      <c r="M402" s="4">
        <v>2</v>
      </c>
      <c r="N402" t="s">
        <v>71</v>
      </c>
      <c r="O402" s="4">
        <v>2</v>
      </c>
      <c r="P402" t="s">
        <v>71</v>
      </c>
      <c r="Q402" s="4">
        <v>2</v>
      </c>
      <c r="R402" t="s">
        <v>71</v>
      </c>
      <c r="S402" s="4">
        <v>1</v>
      </c>
      <c r="T402" t="s">
        <v>71</v>
      </c>
      <c r="U402" t="s">
        <v>92</v>
      </c>
      <c r="V402" t="s">
        <v>93</v>
      </c>
      <c r="W402" t="s">
        <v>74</v>
      </c>
      <c r="X402" t="s">
        <v>76</v>
      </c>
      <c r="Y402" t="s">
        <v>69</v>
      </c>
      <c r="Z402" s="4">
        <v>3</v>
      </c>
      <c r="AA402" t="s">
        <v>77</v>
      </c>
      <c r="AB402" s="4">
        <v>112</v>
      </c>
      <c r="AC402" s="4">
        <v>76</v>
      </c>
      <c r="AD402" s="4">
        <v>82</v>
      </c>
      <c r="AE402" s="4">
        <v>180</v>
      </c>
      <c r="AF402" s="4">
        <v>87</v>
      </c>
      <c r="AG402" s="4">
        <v>96</v>
      </c>
      <c r="AH402" s="4">
        <v>88</v>
      </c>
      <c r="AI402" s="4">
        <v>132</v>
      </c>
      <c r="AJ402" s="4">
        <v>58</v>
      </c>
      <c r="AK402" t="s">
        <v>78</v>
      </c>
      <c r="AL402" t="s">
        <v>95</v>
      </c>
      <c r="AM402" t="s">
        <v>80</v>
      </c>
      <c r="AN402" t="s">
        <v>96</v>
      </c>
      <c r="AO402" t="s">
        <v>97</v>
      </c>
      <c r="AP402" t="s">
        <v>85</v>
      </c>
      <c r="AQ402" t="s">
        <v>85</v>
      </c>
      <c r="AR402" t="s">
        <v>85</v>
      </c>
      <c r="AS402" t="s">
        <v>84</v>
      </c>
      <c r="AT402" t="s">
        <v>85</v>
      </c>
      <c r="AU402" t="s">
        <v>83</v>
      </c>
      <c r="AV402" t="s">
        <v>85</v>
      </c>
      <c r="AW402" s="4">
        <v>0</v>
      </c>
      <c r="AX402" s="4">
        <v>0</v>
      </c>
      <c r="AY402" s="4">
        <v>0</v>
      </c>
      <c r="AZ402" s="3">
        <v>1.8</v>
      </c>
      <c r="BA402" s="3">
        <v>3.24</v>
      </c>
      <c r="BB402" s="3">
        <v>25.308641975308639</v>
      </c>
      <c r="BC402" t="s">
        <v>98</v>
      </c>
      <c r="BD402" t="s">
        <v>99</v>
      </c>
      <c r="BE402" s="4">
        <v>0</v>
      </c>
      <c r="BF402" t="s">
        <v>87</v>
      </c>
      <c r="BG402" s="4">
        <v>0</v>
      </c>
      <c r="BH402" s="1" t="e">
        <v>#NULL!</v>
      </c>
      <c r="BI402" t="s">
        <v>85</v>
      </c>
      <c r="BJ402" s="4">
        <v>0</v>
      </c>
      <c r="BK402" t="s">
        <v>88</v>
      </c>
    </row>
    <row r="403" spans="1:63" x14ac:dyDescent="0.35">
      <c r="A403" s="4">
        <v>497</v>
      </c>
      <c r="B403" s="4">
        <v>56</v>
      </c>
      <c r="C403" t="s">
        <v>121</v>
      </c>
      <c r="D403" t="s">
        <v>64</v>
      </c>
      <c r="E403" t="s">
        <v>104</v>
      </c>
      <c r="F403" t="s">
        <v>101</v>
      </c>
      <c r="G403" t="s">
        <v>67</v>
      </c>
      <c r="H403" s="2">
        <v>600</v>
      </c>
      <c r="I403" t="s">
        <v>105</v>
      </c>
      <c r="J403" t="s">
        <v>69</v>
      </c>
      <c r="K403" t="s">
        <v>69</v>
      </c>
      <c r="L403" t="s">
        <v>69</v>
      </c>
      <c r="M403" s="4">
        <v>2</v>
      </c>
      <c r="N403" t="s">
        <v>71</v>
      </c>
      <c r="O403" s="4">
        <v>2</v>
      </c>
      <c r="P403" t="s">
        <v>71</v>
      </c>
      <c r="Q403" s="4">
        <v>2</v>
      </c>
      <c r="R403" t="s">
        <v>71</v>
      </c>
      <c r="S403" s="4">
        <v>1</v>
      </c>
      <c r="T403" t="s">
        <v>71</v>
      </c>
      <c r="U403" t="s">
        <v>92</v>
      </c>
      <c r="V403" t="s">
        <v>93</v>
      </c>
      <c r="W403" t="s">
        <v>74</v>
      </c>
      <c r="X403" t="s">
        <v>76</v>
      </c>
      <c r="Y403" t="s">
        <v>69</v>
      </c>
      <c r="Z403" s="4">
        <v>3</v>
      </c>
      <c r="AA403" t="s">
        <v>77</v>
      </c>
      <c r="AB403" s="4">
        <v>112</v>
      </c>
      <c r="AC403" s="4">
        <v>76</v>
      </c>
      <c r="AD403" s="4">
        <v>82</v>
      </c>
      <c r="AE403" s="4">
        <v>180</v>
      </c>
      <c r="AF403" s="4">
        <v>87</v>
      </c>
      <c r="AG403" s="4">
        <v>96</v>
      </c>
      <c r="AH403" s="4">
        <v>88</v>
      </c>
      <c r="AI403" s="4">
        <v>132</v>
      </c>
      <c r="AJ403" s="4">
        <v>58</v>
      </c>
      <c r="AK403" t="s">
        <v>78</v>
      </c>
      <c r="AL403" t="s">
        <v>95</v>
      </c>
      <c r="AM403" t="s">
        <v>80</v>
      </c>
      <c r="AN403" t="s">
        <v>96</v>
      </c>
      <c r="AO403" t="s">
        <v>97</v>
      </c>
      <c r="AP403" t="s">
        <v>85</v>
      </c>
      <c r="AQ403" t="s">
        <v>85</v>
      </c>
      <c r="AR403" t="s">
        <v>85</v>
      </c>
      <c r="AS403" t="s">
        <v>84</v>
      </c>
      <c r="AT403" t="s">
        <v>85</v>
      </c>
      <c r="AU403" t="s">
        <v>83</v>
      </c>
      <c r="AV403" t="s">
        <v>85</v>
      </c>
      <c r="AW403" s="4">
        <v>0</v>
      </c>
      <c r="AX403" s="4">
        <v>0</v>
      </c>
      <c r="AY403" s="4">
        <v>0</v>
      </c>
      <c r="AZ403" s="3">
        <v>1.8</v>
      </c>
      <c r="BA403" s="3">
        <v>3.24</v>
      </c>
      <c r="BB403" s="3">
        <v>25.308641975308639</v>
      </c>
      <c r="BC403" t="s">
        <v>98</v>
      </c>
      <c r="BD403" t="s">
        <v>99</v>
      </c>
      <c r="BE403" s="4">
        <v>0</v>
      </c>
      <c r="BF403" t="s">
        <v>87</v>
      </c>
      <c r="BG403" s="4">
        <v>0</v>
      </c>
      <c r="BH403" s="1" t="e">
        <v>#NULL!</v>
      </c>
      <c r="BI403" t="s">
        <v>85</v>
      </c>
      <c r="BJ403" s="4">
        <v>0</v>
      </c>
      <c r="BK403" t="s">
        <v>88</v>
      </c>
    </row>
    <row r="404" spans="1:63" x14ac:dyDescent="0.35">
      <c r="A404" s="4">
        <v>262</v>
      </c>
      <c r="B404" s="4">
        <v>57</v>
      </c>
      <c r="C404" t="s">
        <v>121</v>
      </c>
      <c r="D404" t="s">
        <v>89</v>
      </c>
      <c r="E404" t="s">
        <v>104</v>
      </c>
      <c r="F404" t="s">
        <v>115</v>
      </c>
      <c r="G404" t="s">
        <v>67</v>
      </c>
      <c r="H404" s="2">
        <v>300</v>
      </c>
      <c r="I404" t="s">
        <v>68</v>
      </c>
      <c r="J404" t="s">
        <v>69</v>
      </c>
      <c r="K404" t="s">
        <v>69</v>
      </c>
      <c r="L404" t="s">
        <v>69</v>
      </c>
      <c r="M404" s="4">
        <v>4</v>
      </c>
      <c r="N404" t="s">
        <v>91</v>
      </c>
      <c r="O404" s="4">
        <v>3</v>
      </c>
      <c r="P404" t="s">
        <v>91</v>
      </c>
      <c r="Q404" s="4">
        <v>3</v>
      </c>
      <c r="R404" t="s">
        <v>91</v>
      </c>
      <c r="S404" s="4">
        <v>5</v>
      </c>
      <c r="T404" t="s">
        <v>72</v>
      </c>
      <c r="U404" t="s">
        <v>73</v>
      </c>
      <c r="V404" t="s">
        <v>93</v>
      </c>
      <c r="W404" t="s">
        <v>93</v>
      </c>
      <c r="X404" t="s">
        <v>94</v>
      </c>
      <c r="Y404" t="s">
        <v>69</v>
      </c>
      <c r="Z404" s="4">
        <v>6</v>
      </c>
      <c r="AA404" t="s">
        <v>77</v>
      </c>
      <c r="AB404" s="4">
        <v>142</v>
      </c>
      <c r="AC404" s="4">
        <v>82</v>
      </c>
      <c r="AD404" s="4">
        <v>77</v>
      </c>
      <c r="AE404" s="4">
        <v>173</v>
      </c>
      <c r="AF404" s="4">
        <v>91</v>
      </c>
      <c r="AG404" s="4">
        <v>113</v>
      </c>
      <c r="AH404" s="4">
        <v>118</v>
      </c>
      <c r="AI404" s="4">
        <v>48</v>
      </c>
      <c r="AJ404" s="4">
        <v>36</v>
      </c>
      <c r="AK404" t="s">
        <v>78</v>
      </c>
      <c r="AL404" t="s">
        <v>79</v>
      </c>
      <c r="AM404" t="s">
        <v>80</v>
      </c>
      <c r="AN404" t="s">
        <v>81</v>
      </c>
      <c r="AO404" t="s">
        <v>82</v>
      </c>
      <c r="AP404" t="s">
        <v>83</v>
      </c>
      <c r="AQ404" t="s">
        <v>83</v>
      </c>
      <c r="AR404" t="s">
        <v>83</v>
      </c>
      <c r="AS404" t="s">
        <v>102</v>
      </c>
      <c r="AT404" t="s">
        <v>85</v>
      </c>
      <c r="AU404" t="s">
        <v>83</v>
      </c>
      <c r="AV404" t="s">
        <v>83</v>
      </c>
      <c r="AW404" s="4">
        <v>3</v>
      </c>
      <c r="AX404" s="4">
        <v>1</v>
      </c>
      <c r="AY404" s="4">
        <v>2</v>
      </c>
      <c r="AZ404" s="3">
        <v>1.73</v>
      </c>
      <c r="BA404" s="3">
        <v>2.9929000000000001</v>
      </c>
      <c r="BB404" s="3">
        <v>25.727555214006482</v>
      </c>
      <c r="BC404" t="s">
        <v>98</v>
      </c>
      <c r="BD404" t="s">
        <v>99</v>
      </c>
      <c r="BE404" s="4">
        <v>4</v>
      </c>
      <c r="BF404" t="s">
        <v>111</v>
      </c>
      <c r="BG404" s="1" t="e">
        <v>#NULL!</v>
      </c>
      <c r="BH404" s="4">
        <v>1</v>
      </c>
      <c r="BI404" t="s">
        <v>83</v>
      </c>
      <c r="BJ404" s="4">
        <v>4</v>
      </c>
      <c r="BK404" t="s">
        <v>112</v>
      </c>
    </row>
    <row r="405" spans="1:63" x14ac:dyDescent="0.35">
      <c r="A405" s="4">
        <v>219</v>
      </c>
      <c r="B405" s="4">
        <v>57</v>
      </c>
      <c r="C405" t="s">
        <v>121</v>
      </c>
      <c r="D405" t="s">
        <v>64</v>
      </c>
      <c r="E405" t="s">
        <v>104</v>
      </c>
      <c r="F405" t="s">
        <v>101</v>
      </c>
      <c r="G405" t="s">
        <v>67</v>
      </c>
      <c r="H405" s="2">
        <v>600</v>
      </c>
      <c r="I405" t="s">
        <v>105</v>
      </c>
      <c r="J405" t="s">
        <v>69</v>
      </c>
      <c r="K405" t="s">
        <v>69</v>
      </c>
      <c r="L405" t="s">
        <v>69</v>
      </c>
      <c r="M405" s="4">
        <v>2</v>
      </c>
      <c r="N405" t="s">
        <v>71</v>
      </c>
      <c r="O405" s="4">
        <v>2</v>
      </c>
      <c r="P405" t="s">
        <v>71</v>
      </c>
      <c r="Q405" s="4">
        <v>2</v>
      </c>
      <c r="R405" t="s">
        <v>71</v>
      </c>
      <c r="S405" s="4">
        <v>1</v>
      </c>
      <c r="T405" t="s">
        <v>71</v>
      </c>
      <c r="U405" t="s">
        <v>92</v>
      </c>
      <c r="V405" t="s">
        <v>93</v>
      </c>
      <c r="W405" t="s">
        <v>74</v>
      </c>
      <c r="X405" t="s">
        <v>76</v>
      </c>
      <c r="Y405" t="s">
        <v>69</v>
      </c>
      <c r="Z405" s="4">
        <v>3</v>
      </c>
      <c r="AA405" t="s">
        <v>77</v>
      </c>
      <c r="AB405" s="4">
        <v>112</v>
      </c>
      <c r="AC405" s="4">
        <v>76</v>
      </c>
      <c r="AD405" s="4">
        <v>82</v>
      </c>
      <c r="AE405" s="4">
        <v>180</v>
      </c>
      <c r="AF405" s="4">
        <v>87</v>
      </c>
      <c r="AG405" s="4">
        <v>96</v>
      </c>
      <c r="AH405" s="4">
        <v>88</v>
      </c>
      <c r="AI405" s="4">
        <v>132</v>
      </c>
      <c r="AJ405" s="4">
        <v>58</v>
      </c>
      <c r="AK405" t="s">
        <v>78</v>
      </c>
      <c r="AL405" t="s">
        <v>95</v>
      </c>
      <c r="AM405" t="s">
        <v>80</v>
      </c>
      <c r="AN405" t="s">
        <v>96</v>
      </c>
      <c r="AO405" t="s">
        <v>97</v>
      </c>
      <c r="AP405" t="s">
        <v>85</v>
      </c>
      <c r="AQ405" t="s">
        <v>85</v>
      </c>
      <c r="AR405" t="s">
        <v>85</v>
      </c>
      <c r="AS405" t="s">
        <v>84</v>
      </c>
      <c r="AT405" t="s">
        <v>85</v>
      </c>
      <c r="AU405" t="s">
        <v>83</v>
      </c>
      <c r="AV405" t="s">
        <v>85</v>
      </c>
      <c r="AW405" s="4">
        <v>0</v>
      </c>
      <c r="AX405" s="4">
        <v>0</v>
      </c>
      <c r="AY405" s="4">
        <v>0</v>
      </c>
      <c r="AZ405" s="3">
        <v>1.8</v>
      </c>
      <c r="BA405" s="3">
        <v>3.24</v>
      </c>
      <c r="BB405" s="3">
        <v>25.308641975308639</v>
      </c>
      <c r="BC405" t="s">
        <v>98</v>
      </c>
      <c r="BD405" t="s">
        <v>99</v>
      </c>
      <c r="BE405" s="4">
        <v>0</v>
      </c>
      <c r="BF405" t="s">
        <v>87</v>
      </c>
      <c r="BG405" s="4">
        <v>0</v>
      </c>
      <c r="BH405" s="1" t="e">
        <v>#NULL!</v>
      </c>
      <c r="BI405" t="s">
        <v>85</v>
      </c>
      <c r="BJ405" s="4">
        <v>0</v>
      </c>
      <c r="BK405" t="s">
        <v>88</v>
      </c>
    </row>
    <row r="406" spans="1:63" x14ac:dyDescent="0.35">
      <c r="A406" s="4">
        <v>420</v>
      </c>
      <c r="B406" s="4">
        <v>57</v>
      </c>
      <c r="C406" t="s">
        <v>121</v>
      </c>
      <c r="D406" t="s">
        <v>64</v>
      </c>
      <c r="E406" t="s">
        <v>104</v>
      </c>
      <c r="F406" t="s">
        <v>90</v>
      </c>
      <c r="G406" t="s">
        <v>67</v>
      </c>
      <c r="H406" s="2">
        <v>700</v>
      </c>
      <c r="I406" t="s">
        <v>105</v>
      </c>
      <c r="J406" t="s">
        <v>69</v>
      </c>
      <c r="K406" t="s">
        <v>69</v>
      </c>
      <c r="L406" t="s">
        <v>69</v>
      </c>
      <c r="M406" s="4">
        <v>4</v>
      </c>
      <c r="N406" t="s">
        <v>91</v>
      </c>
      <c r="O406" s="4">
        <v>5</v>
      </c>
      <c r="P406" t="s">
        <v>72</v>
      </c>
      <c r="Q406" s="4">
        <v>4</v>
      </c>
      <c r="R406" t="s">
        <v>91</v>
      </c>
      <c r="S406" s="4">
        <v>6</v>
      </c>
      <c r="T406" t="s">
        <v>72</v>
      </c>
      <c r="U406" t="s">
        <v>92</v>
      </c>
      <c r="V406" t="s">
        <v>93</v>
      </c>
      <c r="W406" t="s">
        <v>74</v>
      </c>
      <c r="X406" t="s">
        <v>76</v>
      </c>
      <c r="Y406" t="s">
        <v>69</v>
      </c>
      <c r="Z406" s="4">
        <v>4</v>
      </c>
      <c r="AA406" t="s">
        <v>77</v>
      </c>
      <c r="AB406" s="4">
        <v>110</v>
      </c>
      <c r="AC406" s="4">
        <v>98</v>
      </c>
      <c r="AD406" s="4">
        <v>92</v>
      </c>
      <c r="AE406" s="4">
        <v>174</v>
      </c>
      <c r="AF406" s="4">
        <v>93</v>
      </c>
      <c r="AG406" s="4">
        <v>107</v>
      </c>
      <c r="AH406" s="4">
        <v>94</v>
      </c>
      <c r="AI406" s="4">
        <v>130</v>
      </c>
      <c r="AJ406" s="4">
        <v>70</v>
      </c>
      <c r="AK406" t="s">
        <v>78</v>
      </c>
      <c r="AL406" t="s">
        <v>95</v>
      </c>
      <c r="AM406" t="s">
        <v>108</v>
      </c>
      <c r="AN406" t="s">
        <v>81</v>
      </c>
      <c r="AO406" t="s">
        <v>82</v>
      </c>
      <c r="AP406" t="s">
        <v>85</v>
      </c>
      <c r="AQ406" t="s">
        <v>85</v>
      </c>
      <c r="AR406" t="s">
        <v>85</v>
      </c>
      <c r="AS406" t="s">
        <v>84</v>
      </c>
      <c r="AT406" t="s">
        <v>85</v>
      </c>
      <c r="AU406" t="s">
        <v>83</v>
      </c>
      <c r="AV406" t="s">
        <v>85</v>
      </c>
      <c r="AW406" s="4">
        <v>1</v>
      </c>
      <c r="AX406" s="4">
        <v>0</v>
      </c>
      <c r="AY406" s="4">
        <v>0</v>
      </c>
      <c r="AZ406" s="3">
        <v>1.74</v>
      </c>
      <c r="BA406" s="3">
        <v>3.0276000000000001</v>
      </c>
      <c r="BB406" s="3">
        <v>30.38710529792575</v>
      </c>
      <c r="BC406" t="s">
        <v>110</v>
      </c>
      <c r="BD406" t="s">
        <v>99</v>
      </c>
      <c r="BE406" s="4">
        <v>1</v>
      </c>
      <c r="BF406" t="s">
        <v>87</v>
      </c>
      <c r="BG406" s="4">
        <v>0</v>
      </c>
      <c r="BH406" s="1" t="e">
        <v>#NULL!</v>
      </c>
      <c r="BI406" t="s">
        <v>85</v>
      </c>
      <c r="BJ406" s="4">
        <v>1</v>
      </c>
      <c r="BK406" t="s">
        <v>88</v>
      </c>
    </row>
    <row r="407" spans="1:63" x14ac:dyDescent="0.35">
      <c r="A407" s="4">
        <v>445</v>
      </c>
      <c r="B407" s="4">
        <v>57</v>
      </c>
      <c r="C407" t="s">
        <v>121</v>
      </c>
      <c r="D407" t="s">
        <v>64</v>
      </c>
      <c r="E407" t="s">
        <v>104</v>
      </c>
      <c r="F407" t="s">
        <v>101</v>
      </c>
      <c r="G407" t="s">
        <v>67</v>
      </c>
      <c r="H407" s="2">
        <v>700</v>
      </c>
      <c r="I407" t="s">
        <v>105</v>
      </c>
      <c r="J407" t="s">
        <v>69</v>
      </c>
      <c r="K407" t="s">
        <v>69</v>
      </c>
      <c r="L407" t="s">
        <v>69</v>
      </c>
      <c r="M407" s="4">
        <v>3</v>
      </c>
      <c r="N407" t="s">
        <v>91</v>
      </c>
      <c r="O407" s="4">
        <v>4</v>
      </c>
      <c r="P407" t="s">
        <v>91</v>
      </c>
      <c r="Q407" s="4">
        <v>4</v>
      </c>
      <c r="R407" t="s">
        <v>91</v>
      </c>
      <c r="S407" s="4">
        <v>4</v>
      </c>
      <c r="T407" t="s">
        <v>91</v>
      </c>
      <c r="U407" t="s">
        <v>103</v>
      </c>
      <c r="V407" t="s">
        <v>93</v>
      </c>
      <c r="W407" t="s">
        <v>93</v>
      </c>
      <c r="X407" t="s">
        <v>94</v>
      </c>
      <c r="Y407" t="s">
        <v>69</v>
      </c>
      <c r="Z407" s="4">
        <v>3</v>
      </c>
      <c r="AA407" t="s">
        <v>77</v>
      </c>
      <c r="AB407" s="4">
        <v>112</v>
      </c>
      <c r="AC407" s="4">
        <v>70</v>
      </c>
      <c r="AD407" s="4">
        <v>83</v>
      </c>
      <c r="AE407" s="4">
        <v>178</v>
      </c>
      <c r="AF407" s="4">
        <v>90</v>
      </c>
      <c r="AG407" s="4">
        <v>100</v>
      </c>
      <c r="AH407" s="4">
        <v>92</v>
      </c>
      <c r="AI407" s="4">
        <v>118</v>
      </c>
      <c r="AJ407" s="4">
        <v>70</v>
      </c>
      <c r="AK407" t="s">
        <v>78</v>
      </c>
      <c r="AL407" t="s">
        <v>95</v>
      </c>
      <c r="AM407" t="s">
        <v>80</v>
      </c>
      <c r="AN407" t="s">
        <v>96</v>
      </c>
      <c r="AO407" t="s">
        <v>97</v>
      </c>
      <c r="AP407" t="s">
        <v>85</v>
      </c>
      <c r="AQ407" t="s">
        <v>85</v>
      </c>
      <c r="AR407" t="s">
        <v>85</v>
      </c>
      <c r="AS407" t="s">
        <v>84</v>
      </c>
      <c r="AT407" t="s">
        <v>85</v>
      </c>
      <c r="AU407" t="s">
        <v>83</v>
      </c>
      <c r="AV407" t="s">
        <v>85</v>
      </c>
      <c r="AW407" s="4">
        <v>0</v>
      </c>
      <c r="AX407" s="4">
        <v>0</v>
      </c>
      <c r="AY407" s="4">
        <v>0</v>
      </c>
      <c r="AZ407" s="3">
        <v>1.78</v>
      </c>
      <c r="BA407" s="3">
        <v>3.1684000000000001</v>
      </c>
      <c r="BB407" s="3">
        <v>26.196187350082059</v>
      </c>
      <c r="BC407" t="s">
        <v>98</v>
      </c>
      <c r="BD407" t="s">
        <v>99</v>
      </c>
      <c r="BE407" s="4">
        <v>0</v>
      </c>
      <c r="BF407" t="s">
        <v>87</v>
      </c>
      <c r="BG407" s="4">
        <v>0</v>
      </c>
      <c r="BH407" s="1" t="e">
        <v>#NULL!</v>
      </c>
      <c r="BI407" t="s">
        <v>85</v>
      </c>
      <c r="BJ407" s="4">
        <v>0</v>
      </c>
      <c r="BK407" t="s">
        <v>88</v>
      </c>
    </row>
    <row r="408" spans="1:63" x14ac:dyDescent="0.35">
      <c r="A408" s="4">
        <v>465</v>
      </c>
      <c r="B408" s="4">
        <v>57</v>
      </c>
      <c r="C408" t="s">
        <v>121</v>
      </c>
      <c r="D408" t="s">
        <v>64</v>
      </c>
      <c r="E408" t="s">
        <v>104</v>
      </c>
      <c r="F408" t="s">
        <v>66</v>
      </c>
      <c r="G408" t="s">
        <v>67</v>
      </c>
      <c r="H408" s="2">
        <v>480</v>
      </c>
      <c r="I408" t="s">
        <v>68</v>
      </c>
      <c r="J408" t="s">
        <v>69</v>
      </c>
      <c r="K408" t="s">
        <v>69</v>
      </c>
      <c r="L408" t="s">
        <v>69</v>
      </c>
      <c r="M408" s="4">
        <v>5</v>
      </c>
      <c r="N408" t="s">
        <v>72</v>
      </c>
      <c r="O408" s="4">
        <v>4</v>
      </c>
      <c r="P408" t="s">
        <v>91</v>
      </c>
      <c r="Q408" s="4">
        <v>5</v>
      </c>
      <c r="R408" t="s">
        <v>72</v>
      </c>
      <c r="S408" s="4">
        <v>3</v>
      </c>
      <c r="T408" t="s">
        <v>91</v>
      </c>
      <c r="U408" t="s">
        <v>92</v>
      </c>
      <c r="V408" t="s">
        <v>93</v>
      </c>
      <c r="W408" t="s">
        <v>93</v>
      </c>
      <c r="X408" t="s">
        <v>94</v>
      </c>
      <c r="Y408" t="s">
        <v>69</v>
      </c>
      <c r="Z408" s="4">
        <v>4</v>
      </c>
      <c r="AA408" t="s">
        <v>77</v>
      </c>
      <c r="AB408" s="4">
        <v>105</v>
      </c>
      <c r="AC408" s="4">
        <v>70</v>
      </c>
      <c r="AD408" s="4">
        <v>90</v>
      </c>
      <c r="AE408" s="4">
        <v>182</v>
      </c>
      <c r="AF408" s="4">
        <v>90</v>
      </c>
      <c r="AG408" s="4">
        <v>98</v>
      </c>
      <c r="AH408" s="4">
        <v>82</v>
      </c>
      <c r="AI408" s="4">
        <v>136</v>
      </c>
      <c r="AJ408" s="4">
        <v>53</v>
      </c>
      <c r="AK408" t="s">
        <v>78</v>
      </c>
      <c r="AL408" t="s">
        <v>95</v>
      </c>
      <c r="AM408" t="s">
        <v>80</v>
      </c>
      <c r="AN408" t="s">
        <v>96</v>
      </c>
      <c r="AO408" t="s">
        <v>97</v>
      </c>
      <c r="AP408" t="s">
        <v>85</v>
      </c>
      <c r="AQ408" t="s">
        <v>85</v>
      </c>
      <c r="AR408" t="s">
        <v>85</v>
      </c>
      <c r="AS408" t="s">
        <v>84</v>
      </c>
      <c r="AT408" t="s">
        <v>85</v>
      </c>
      <c r="AU408" t="s">
        <v>83</v>
      </c>
      <c r="AV408" t="s">
        <v>85</v>
      </c>
      <c r="AW408" s="4">
        <v>0</v>
      </c>
      <c r="AX408" s="4">
        <v>0</v>
      </c>
      <c r="AY408" s="4">
        <v>0</v>
      </c>
      <c r="AZ408" s="3">
        <v>1.82</v>
      </c>
      <c r="BA408" s="3">
        <v>3.3124000000000002</v>
      </c>
      <c r="BB408" s="3">
        <v>27.170631566235961</v>
      </c>
      <c r="BC408" t="s">
        <v>98</v>
      </c>
      <c r="BD408" t="s">
        <v>99</v>
      </c>
      <c r="BE408" s="4">
        <v>0</v>
      </c>
      <c r="BF408" t="s">
        <v>87</v>
      </c>
      <c r="BG408" s="4">
        <v>0</v>
      </c>
      <c r="BH408" s="1" t="e">
        <v>#NULL!</v>
      </c>
      <c r="BI408" t="s">
        <v>85</v>
      </c>
      <c r="BJ408" s="4">
        <v>0</v>
      </c>
      <c r="BK408" t="s">
        <v>88</v>
      </c>
    </row>
    <row r="409" spans="1:63" x14ac:dyDescent="0.35">
      <c r="A409" s="4">
        <v>475</v>
      </c>
      <c r="B409" s="4">
        <v>57</v>
      </c>
      <c r="C409" t="s">
        <v>121</v>
      </c>
      <c r="D409" t="s">
        <v>89</v>
      </c>
      <c r="E409" t="s">
        <v>104</v>
      </c>
      <c r="F409" t="s">
        <v>115</v>
      </c>
      <c r="G409" t="s">
        <v>67</v>
      </c>
      <c r="H409" s="2">
        <v>800</v>
      </c>
      <c r="I409" t="s">
        <v>105</v>
      </c>
      <c r="J409" t="s">
        <v>69</v>
      </c>
      <c r="K409" t="s">
        <v>69</v>
      </c>
      <c r="L409" t="s">
        <v>69</v>
      </c>
      <c r="M409" s="4">
        <v>3</v>
      </c>
      <c r="N409" t="s">
        <v>91</v>
      </c>
      <c r="O409" s="4">
        <v>3</v>
      </c>
      <c r="P409" t="s">
        <v>91</v>
      </c>
      <c r="Q409" s="4">
        <v>1</v>
      </c>
      <c r="R409" t="s">
        <v>71</v>
      </c>
      <c r="S409" s="4">
        <v>1</v>
      </c>
      <c r="T409" t="s">
        <v>71</v>
      </c>
      <c r="U409" t="s">
        <v>92</v>
      </c>
      <c r="V409" t="s">
        <v>93</v>
      </c>
      <c r="W409" t="s">
        <v>93</v>
      </c>
      <c r="X409" t="s">
        <v>94</v>
      </c>
      <c r="Y409" t="s">
        <v>69</v>
      </c>
      <c r="Z409" s="4">
        <v>8</v>
      </c>
      <c r="AA409" t="s">
        <v>117</v>
      </c>
      <c r="AB409" s="4">
        <v>140</v>
      </c>
      <c r="AC409" s="4">
        <v>80</v>
      </c>
      <c r="AD409" s="4">
        <v>105</v>
      </c>
      <c r="AE409" s="4">
        <v>177</v>
      </c>
      <c r="AF409" s="4">
        <v>117</v>
      </c>
      <c r="AG409" s="4">
        <v>130</v>
      </c>
      <c r="AH409" s="4">
        <v>86</v>
      </c>
      <c r="AI409" s="4">
        <v>68</v>
      </c>
      <c r="AJ409" s="4">
        <v>70</v>
      </c>
      <c r="AK409" t="s">
        <v>78</v>
      </c>
      <c r="AL409" t="s">
        <v>79</v>
      </c>
      <c r="AM409" t="s">
        <v>80</v>
      </c>
      <c r="AN409" t="s">
        <v>81</v>
      </c>
      <c r="AO409" t="s">
        <v>82</v>
      </c>
      <c r="AP409" t="s">
        <v>85</v>
      </c>
      <c r="AQ409" t="s">
        <v>85</v>
      </c>
      <c r="AR409" t="s">
        <v>85</v>
      </c>
      <c r="AS409" t="s">
        <v>84</v>
      </c>
      <c r="AT409" t="s">
        <v>83</v>
      </c>
      <c r="AU409" t="s">
        <v>83</v>
      </c>
      <c r="AV409" t="s">
        <v>83</v>
      </c>
      <c r="AW409" s="4">
        <v>1</v>
      </c>
      <c r="AX409" s="4">
        <v>0</v>
      </c>
      <c r="AY409" s="4">
        <v>1</v>
      </c>
      <c r="AZ409" s="3">
        <v>1.77</v>
      </c>
      <c r="BA409" s="3">
        <v>3.1329000000000002</v>
      </c>
      <c r="BB409" s="3">
        <v>33.515273388872927</v>
      </c>
      <c r="BC409" t="s">
        <v>110</v>
      </c>
      <c r="BD409" t="s">
        <v>99</v>
      </c>
      <c r="BE409" s="4">
        <v>2</v>
      </c>
      <c r="BF409" t="s">
        <v>87</v>
      </c>
      <c r="BG409" s="1" t="e">
        <v>#NULL!</v>
      </c>
      <c r="BH409" s="4">
        <v>1</v>
      </c>
      <c r="BI409" t="s">
        <v>83</v>
      </c>
      <c r="BJ409" s="4">
        <v>2</v>
      </c>
      <c r="BK409" t="s">
        <v>88</v>
      </c>
    </row>
    <row r="410" spans="1:63" x14ac:dyDescent="0.35">
      <c r="A410" s="4">
        <v>179</v>
      </c>
      <c r="B410" s="4">
        <v>58</v>
      </c>
      <c r="C410" t="s">
        <v>121</v>
      </c>
      <c r="D410" t="s">
        <v>89</v>
      </c>
      <c r="E410" t="s">
        <v>104</v>
      </c>
      <c r="F410" t="s">
        <v>115</v>
      </c>
      <c r="G410" t="s">
        <v>67</v>
      </c>
      <c r="H410" s="2">
        <v>800</v>
      </c>
      <c r="I410" t="s">
        <v>105</v>
      </c>
      <c r="J410" t="s">
        <v>69</v>
      </c>
      <c r="K410" t="s">
        <v>69</v>
      </c>
      <c r="L410" t="s">
        <v>69</v>
      </c>
      <c r="M410" s="4">
        <v>3</v>
      </c>
      <c r="N410" t="s">
        <v>91</v>
      </c>
      <c r="O410" s="4">
        <v>3</v>
      </c>
      <c r="P410" t="s">
        <v>91</v>
      </c>
      <c r="Q410" s="4">
        <v>1</v>
      </c>
      <c r="R410" t="s">
        <v>71</v>
      </c>
      <c r="S410" s="4">
        <v>1</v>
      </c>
      <c r="T410" t="s">
        <v>71</v>
      </c>
      <c r="U410" t="s">
        <v>92</v>
      </c>
      <c r="V410" t="s">
        <v>93</v>
      </c>
      <c r="W410" t="s">
        <v>93</v>
      </c>
      <c r="X410" t="s">
        <v>94</v>
      </c>
      <c r="Y410" t="s">
        <v>69</v>
      </c>
      <c r="Z410" s="4">
        <v>8</v>
      </c>
      <c r="AA410" t="s">
        <v>117</v>
      </c>
      <c r="AB410" s="4">
        <v>140</v>
      </c>
      <c r="AC410" s="4">
        <v>80</v>
      </c>
      <c r="AD410" s="4">
        <v>105</v>
      </c>
      <c r="AE410" s="4">
        <v>177</v>
      </c>
      <c r="AF410" s="4">
        <v>117</v>
      </c>
      <c r="AG410" s="4">
        <v>130</v>
      </c>
      <c r="AH410" s="4">
        <v>86</v>
      </c>
      <c r="AI410" s="4">
        <v>68</v>
      </c>
      <c r="AJ410" s="4">
        <v>70</v>
      </c>
      <c r="AK410" t="s">
        <v>78</v>
      </c>
      <c r="AL410" t="s">
        <v>79</v>
      </c>
      <c r="AM410" t="s">
        <v>80</v>
      </c>
      <c r="AN410" t="s">
        <v>81</v>
      </c>
      <c r="AO410" t="s">
        <v>82</v>
      </c>
      <c r="AP410" t="s">
        <v>85</v>
      </c>
      <c r="AQ410" t="s">
        <v>85</v>
      </c>
      <c r="AR410" t="s">
        <v>85</v>
      </c>
      <c r="AS410" t="s">
        <v>84</v>
      </c>
      <c r="AT410" t="s">
        <v>83</v>
      </c>
      <c r="AU410" t="s">
        <v>83</v>
      </c>
      <c r="AV410" t="s">
        <v>83</v>
      </c>
      <c r="AW410" s="4">
        <v>1</v>
      </c>
      <c r="AX410" s="4">
        <v>0</v>
      </c>
      <c r="AY410" s="4">
        <v>1</v>
      </c>
      <c r="AZ410" s="3">
        <v>1.77</v>
      </c>
      <c r="BA410" s="3">
        <v>3.1329000000000002</v>
      </c>
      <c r="BB410" s="3">
        <v>33.515273388872927</v>
      </c>
      <c r="BC410" t="s">
        <v>110</v>
      </c>
      <c r="BD410" t="s">
        <v>99</v>
      </c>
      <c r="BE410" s="4">
        <v>2</v>
      </c>
      <c r="BF410" t="s">
        <v>87</v>
      </c>
      <c r="BG410" s="1" t="e">
        <v>#NULL!</v>
      </c>
      <c r="BH410" s="4">
        <v>1</v>
      </c>
      <c r="BI410" t="s">
        <v>83</v>
      </c>
      <c r="BJ410" s="4">
        <v>2</v>
      </c>
      <c r="BK410" t="s">
        <v>88</v>
      </c>
    </row>
    <row r="411" spans="1:63" x14ac:dyDescent="0.35">
      <c r="A411" s="4">
        <v>215</v>
      </c>
      <c r="B411" s="4">
        <v>58</v>
      </c>
      <c r="C411" t="s">
        <v>121</v>
      </c>
      <c r="D411" t="s">
        <v>64</v>
      </c>
      <c r="E411" t="s">
        <v>104</v>
      </c>
      <c r="F411" t="s">
        <v>90</v>
      </c>
      <c r="G411" t="s">
        <v>67</v>
      </c>
      <c r="H411" s="2">
        <v>700</v>
      </c>
      <c r="I411" t="s">
        <v>105</v>
      </c>
      <c r="J411" t="s">
        <v>69</v>
      </c>
      <c r="K411" t="s">
        <v>69</v>
      </c>
      <c r="L411" t="s">
        <v>69</v>
      </c>
      <c r="M411" s="4">
        <v>4</v>
      </c>
      <c r="N411" t="s">
        <v>91</v>
      </c>
      <c r="O411" s="4">
        <v>5</v>
      </c>
      <c r="P411" t="s">
        <v>72</v>
      </c>
      <c r="Q411" s="4">
        <v>4</v>
      </c>
      <c r="R411" t="s">
        <v>91</v>
      </c>
      <c r="S411" s="4">
        <v>6</v>
      </c>
      <c r="T411" t="s">
        <v>72</v>
      </c>
      <c r="U411" t="s">
        <v>92</v>
      </c>
      <c r="V411" t="s">
        <v>93</v>
      </c>
      <c r="W411" t="s">
        <v>74</v>
      </c>
      <c r="X411" t="s">
        <v>76</v>
      </c>
      <c r="Y411" t="s">
        <v>69</v>
      </c>
      <c r="Z411" s="4">
        <v>4</v>
      </c>
      <c r="AA411" t="s">
        <v>77</v>
      </c>
      <c r="AB411" s="4">
        <v>110</v>
      </c>
      <c r="AC411" s="4">
        <v>98</v>
      </c>
      <c r="AD411" s="4">
        <v>92</v>
      </c>
      <c r="AE411" s="4">
        <v>174</v>
      </c>
      <c r="AF411" s="4">
        <v>92</v>
      </c>
      <c r="AG411" s="4">
        <v>107</v>
      </c>
      <c r="AH411" s="4">
        <v>94</v>
      </c>
      <c r="AI411" s="4">
        <v>130</v>
      </c>
      <c r="AJ411" s="4">
        <v>70</v>
      </c>
      <c r="AK411" t="s">
        <v>78</v>
      </c>
      <c r="AL411" t="s">
        <v>95</v>
      </c>
      <c r="AM411" t="s">
        <v>108</v>
      </c>
      <c r="AN411" t="s">
        <v>81</v>
      </c>
      <c r="AO411" t="s">
        <v>82</v>
      </c>
      <c r="AP411" t="s">
        <v>85</v>
      </c>
      <c r="AQ411" t="s">
        <v>85</v>
      </c>
      <c r="AR411" t="s">
        <v>85</v>
      </c>
      <c r="AS411" t="s">
        <v>84</v>
      </c>
      <c r="AT411" t="s">
        <v>85</v>
      </c>
      <c r="AU411" t="s">
        <v>83</v>
      </c>
      <c r="AV411" t="s">
        <v>85</v>
      </c>
      <c r="AW411" s="4">
        <v>1</v>
      </c>
      <c r="AX411" s="4">
        <v>0</v>
      </c>
      <c r="AY411" s="4">
        <v>0</v>
      </c>
      <c r="AZ411" s="3">
        <v>1.74</v>
      </c>
      <c r="BA411" s="3">
        <v>3.0276000000000001</v>
      </c>
      <c r="BB411" s="3">
        <v>30.38710529792575</v>
      </c>
      <c r="BC411" t="s">
        <v>110</v>
      </c>
      <c r="BD411" t="s">
        <v>99</v>
      </c>
      <c r="BE411" s="4">
        <v>1</v>
      </c>
      <c r="BF411" t="s">
        <v>87</v>
      </c>
      <c r="BG411" s="4">
        <v>0</v>
      </c>
      <c r="BH411" s="1" t="e">
        <v>#NULL!</v>
      </c>
      <c r="BI411" t="s">
        <v>85</v>
      </c>
      <c r="BJ411" s="4">
        <v>1</v>
      </c>
      <c r="BK411" t="s">
        <v>88</v>
      </c>
    </row>
    <row r="412" spans="1:63" x14ac:dyDescent="0.35">
      <c r="A412" s="4">
        <v>217</v>
      </c>
      <c r="B412" s="4">
        <v>58</v>
      </c>
      <c r="C412" t="s">
        <v>121</v>
      </c>
      <c r="D412" t="s">
        <v>64</v>
      </c>
      <c r="E412" t="s">
        <v>104</v>
      </c>
      <c r="F412" t="s">
        <v>101</v>
      </c>
      <c r="G412" t="s">
        <v>67</v>
      </c>
      <c r="H412" s="2">
        <v>700</v>
      </c>
      <c r="I412" t="s">
        <v>105</v>
      </c>
      <c r="J412" t="s">
        <v>69</v>
      </c>
      <c r="K412" t="s">
        <v>69</v>
      </c>
      <c r="L412" t="s">
        <v>69</v>
      </c>
      <c r="M412" s="4">
        <v>3</v>
      </c>
      <c r="N412" t="s">
        <v>91</v>
      </c>
      <c r="O412" s="4">
        <v>4</v>
      </c>
      <c r="P412" t="s">
        <v>91</v>
      </c>
      <c r="Q412" s="4">
        <v>4</v>
      </c>
      <c r="R412" t="s">
        <v>91</v>
      </c>
      <c r="S412" s="4">
        <v>4</v>
      </c>
      <c r="T412" t="s">
        <v>91</v>
      </c>
      <c r="U412" t="s">
        <v>103</v>
      </c>
      <c r="V412" t="s">
        <v>93</v>
      </c>
      <c r="W412" t="s">
        <v>93</v>
      </c>
      <c r="X412" t="s">
        <v>94</v>
      </c>
      <c r="Y412" t="s">
        <v>69</v>
      </c>
      <c r="Z412" s="4">
        <v>3</v>
      </c>
      <c r="AA412" t="s">
        <v>77</v>
      </c>
      <c r="AB412" s="4">
        <v>112</v>
      </c>
      <c r="AC412" s="4">
        <v>70</v>
      </c>
      <c r="AD412" s="4">
        <v>83</v>
      </c>
      <c r="AE412" s="4">
        <v>178</v>
      </c>
      <c r="AF412" s="4">
        <v>90</v>
      </c>
      <c r="AG412" s="4">
        <v>100</v>
      </c>
      <c r="AH412" s="4">
        <v>92</v>
      </c>
      <c r="AI412" s="4">
        <v>118</v>
      </c>
      <c r="AJ412" s="4">
        <v>70</v>
      </c>
      <c r="AK412" t="s">
        <v>78</v>
      </c>
      <c r="AL412" t="s">
        <v>95</v>
      </c>
      <c r="AM412" t="s">
        <v>80</v>
      </c>
      <c r="AN412" t="s">
        <v>96</v>
      </c>
      <c r="AO412" t="s">
        <v>97</v>
      </c>
      <c r="AP412" t="s">
        <v>85</v>
      </c>
      <c r="AQ412" t="s">
        <v>85</v>
      </c>
      <c r="AR412" t="s">
        <v>85</v>
      </c>
      <c r="AS412" t="s">
        <v>84</v>
      </c>
      <c r="AT412" t="s">
        <v>85</v>
      </c>
      <c r="AU412" t="s">
        <v>83</v>
      </c>
      <c r="AV412" t="s">
        <v>85</v>
      </c>
      <c r="AW412" s="4">
        <v>0</v>
      </c>
      <c r="AX412" s="4">
        <v>0</v>
      </c>
      <c r="AY412" s="4">
        <v>0</v>
      </c>
      <c r="AZ412" s="3">
        <v>1.78</v>
      </c>
      <c r="BA412" s="3">
        <v>3.1684000000000001</v>
      </c>
      <c r="BB412" s="3">
        <v>26.196187350082059</v>
      </c>
      <c r="BC412" t="s">
        <v>98</v>
      </c>
      <c r="BD412" t="s">
        <v>99</v>
      </c>
      <c r="BE412" s="4">
        <v>0</v>
      </c>
      <c r="BF412" t="s">
        <v>87</v>
      </c>
      <c r="BG412" s="4">
        <v>0</v>
      </c>
      <c r="BH412" s="1" t="e">
        <v>#NULL!</v>
      </c>
      <c r="BI412" t="s">
        <v>85</v>
      </c>
      <c r="BJ412" s="4">
        <v>0</v>
      </c>
      <c r="BK412" t="s">
        <v>88</v>
      </c>
    </row>
    <row r="413" spans="1:63" x14ac:dyDescent="0.35">
      <c r="A413" s="4">
        <v>229</v>
      </c>
      <c r="B413" s="4">
        <v>58</v>
      </c>
      <c r="C413" t="s">
        <v>121</v>
      </c>
      <c r="D413" t="s">
        <v>64</v>
      </c>
      <c r="E413" t="s">
        <v>104</v>
      </c>
      <c r="F413" t="s">
        <v>66</v>
      </c>
      <c r="G413" t="s">
        <v>67</v>
      </c>
      <c r="H413" s="2">
        <v>480</v>
      </c>
      <c r="I413" t="s">
        <v>68</v>
      </c>
      <c r="J413" t="s">
        <v>69</v>
      </c>
      <c r="K413" t="s">
        <v>69</v>
      </c>
      <c r="L413" t="s">
        <v>69</v>
      </c>
      <c r="M413" s="4">
        <v>5</v>
      </c>
      <c r="N413" t="s">
        <v>72</v>
      </c>
      <c r="O413" s="4">
        <v>4</v>
      </c>
      <c r="P413" t="s">
        <v>91</v>
      </c>
      <c r="Q413" s="4">
        <v>5</v>
      </c>
      <c r="R413" t="s">
        <v>72</v>
      </c>
      <c r="S413" s="4">
        <v>3</v>
      </c>
      <c r="T413" t="s">
        <v>91</v>
      </c>
      <c r="U413" t="s">
        <v>92</v>
      </c>
      <c r="V413" t="s">
        <v>93</v>
      </c>
      <c r="W413" t="s">
        <v>93</v>
      </c>
      <c r="X413" t="s">
        <v>94</v>
      </c>
      <c r="Y413" t="s">
        <v>69</v>
      </c>
      <c r="Z413" s="4">
        <v>4</v>
      </c>
      <c r="AA413" t="s">
        <v>77</v>
      </c>
      <c r="AB413" s="4">
        <v>105</v>
      </c>
      <c r="AC413" s="4">
        <v>70</v>
      </c>
      <c r="AD413" s="4">
        <v>90</v>
      </c>
      <c r="AE413" s="4">
        <v>182</v>
      </c>
      <c r="AF413" s="4">
        <v>90</v>
      </c>
      <c r="AG413" s="4">
        <v>98</v>
      </c>
      <c r="AH413" s="4">
        <v>82</v>
      </c>
      <c r="AI413" s="4">
        <v>136</v>
      </c>
      <c r="AJ413" s="4">
        <v>53</v>
      </c>
      <c r="AK413" t="s">
        <v>78</v>
      </c>
      <c r="AL413" t="s">
        <v>95</v>
      </c>
      <c r="AM413" t="s">
        <v>80</v>
      </c>
      <c r="AN413" t="s">
        <v>96</v>
      </c>
      <c r="AO413" t="s">
        <v>97</v>
      </c>
      <c r="AP413" t="s">
        <v>85</v>
      </c>
      <c r="AQ413" t="s">
        <v>85</v>
      </c>
      <c r="AR413" t="s">
        <v>85</v>
      </c>
      <c r="AS413" t="s">
        <v>84</v>
      </c>
      <c r="AT413" t="s">
        <v>85</v>
      </c>
      <c r="AU413" t="s">
        <v>83</v>
      </c>
      <c r="AV413" t="s">
        <v>85</v>
      </c>
      <c r="AW413" s="4">
        <v>0</v>
      </c>
      <c r="AX413" s="4">
        <v>0</v>
      </c>
      <c r="AY413" s="4">
        <v>0</v>
      </c>
      <c r="AZ413" s="3">
        <v>1.82</v>
      </c>
      <c r="BA413" s="3">
        <v>3.3124000000000002</v>
      </c>
      <c r="BB413" s="3">
        <v>27.170631566235961</v>
      </c>
      <c r="BC413" t="s">
        <v>98</v>
      </c>
      <c r="BD413" t="s">
        <v>99</v>
      </c>
      <c r="BE413" s="4">
        <v>0</v>
      </c>
      <c r="BF413" t="s">
        <v>87</v>
      </c>
      <c r="BG413" s="4">
        <v>0</v>
      </c>
      <c r="BH413" s="1" t="e">
        <v>#NULL!</v>
      </c>
      <c r="BI413" t="s">
        <v>85</v>
      </c>
      <c r="BJ413" s="4">
        <v>0</v>
      </c>
      <c r="BK413" t="s">
        <v>88</v>
      </c>
    </row>
    <row r="414" spans="1:63" x14ac:dyDescent="0.35">
      <c r="A414" s="4">
        <v>231</v>
      </c>
      <c r="B414" s="4">
        <v>58</v>
      </c>
      <c r="C414" t="s">
        <v>121</v>
      </c>
      <c r="D414" t="s">
        <v>64</v>
      </c>
      <c r="E414" t="s">
        <v>104</v>
      </c>
      <c r="F414" t="s">
        <v>101</v>
      </c>
      <c r="G414" t="s">
        <v>67</v>
      </c>
      <c r="H414" s="2">
        <v>2200</v>
      </c>
      <c r="I414" t="s">
        <v>116</v>
      </c>
      <c r="J414" t="s">
        <v>70</v>
      </c>
      <c r="K414" t="s">
        <v>70</v>
      </c>
      <c r="L414" t="s">
        <v>69</v>
      </c>
      <c r="M414" s="4">
        <v>2</v>
      </c>
      <c r="N414" t="s">
        <v>71</v>
      </c>
      <c r="O414" s="4">
        <v>2</v>
      </c>
      <c r="P414" t="s">
        <v>71</v>
      </c>
      <c r="Q414" s="4">
        <v>1</v>
      </c>
      <c r="R414" t="s">
        <v>71</v>
      </c>
      <c r="S414" s="4">
        <v>1</v>
      </c>
      <c r="T414" t="s">
        <v>71</v>
      </c>
      <c r="U414" t="s">
        <v>92</v>
      </c>
      <c r="V414" t="s">
        <v>93</v>
      </c>
      <c r="W414" t="s">
        <v>93</v>
      </c>
      <c r="X414" t="s">
        <v>94</v>
      </c>
      <c r="Y414" t="s">
        <v>69</v>
      </c>
      <c r="Z414" s="4">
        <v>6</v>
      </c>
      <c r="AA414" t="s">
        <v>77</v>
      </c>
      <c r="AB414" s="4">
        <v>155</v>
      </c>
      <c r="AC414" s="4">
        <v>98</v>
      </c>
      <c r="AD414" s="4">
        <v>88</v>
      </c>
      <c r="AE414" s="4">
        <v>176</v>
      </c>
      <c r="AF414" s="4">
        <v>95</v>
      </c>
      <c r="AG414" s="4">
        <v>106</v>
      </c>
      <c r="AH414" s="4">
        <v>176</v>
      </c>
      <c r="AI414" s="4">
        <v>112</v>
      </c>
      <c r="AJ414" s="4">
        <v>36</v>
      </c>
      <c r="AK414" t="s">
        <v>78</v>
      </c>
      <c r="AL414" t="s">
        <v>79</v>
      </c>
      <c r="AM414" t="s">
        <v>108</v>
      </c>
      <c r="AN414" t="s">
        <v>109</v>
      </c>
      <c r="AO414" t="s">
        <v>82</v>
      </c>
      <c r="AP414" t="s">
        <v>83</v>
      </c>
      <c r="AQ414" t="s">
        <v>83</v>
      </c>
      <c r="AR414" t="s">
        <v>83</v>
      </c>
      <c r="AS414" t="s">
        <v>102</v>
      </c>
      <c r="AT414" t="s">
        <v>83</v>
      </c>
      <c r="AU414" t="s">
        <v>83</v>
      </c>
      <c r="AV414" t="s">
        <v>83</v>
      </c>
      <c r="AW414" s="4">
        <v>3</v>
      </c>
      <c r="AX414" s="4">
        <v>1</v>
      </c>
      <c r="AY414" s="4">
        <v>2</v>
      </c>
      <c r="AZ414" s="3">
        <v>1.76</v>
      </c>
      <c r="BA414" s="3">
        <v>3.0975999999999999</v>
      </c>
      <c r="BB414" s="3">
        <v>28.40909090909091</v>
      </c>
      <c r="BC414" t="s">
        <v>98</v>
      </c>
      <c r="BD414" t="s">
        <v>99</v>
      </c>
      <c r="BE414" s="4">
        <v>4</v>
      </c>
      <c r="BF414" t="s">
        <v>111</v>
      </c>
      <c r="BG414" s="4">
        <v>0</v>
      </c>
      <c r="BH414" s="1" t="e">
        <v>#NULL!</v>
      </c>
      <c r="BI414" t="s">
        <v>85</v>
      </c>
      <c r="BJ414" s="4">
        <v>3</v>
      </c>
      <c r="BK414" t="s">
        <v>112</v>
      </c>
    </row>
    <row r="415" spans="1:63" x14ac:dyDescent="0.35">
      <c r="A415" s="4">
        <v>243</v>
      </c>
      <c r="B415" s="4">
        <v>58</v>
      </c>
      <c r="C415" t="s">
        <v>121</v>
      </c>
      <c r="D415" t="s">
        <v>89</v>
      </c>
      <c r="E415" t="s">
        <v>104</v>
      </c>
      <c r="F415" t="s">
        <v>115</v>
      </c>
      <c r="G415" t="s">
        <v>67</v>
      </c>
      <c r="H415" s="2">
        <v>200</v>
      </c>
      <c r="I415" t="s">
        <v>68</v>
      </c>
      <c r="J415" t="s">
        <v>70</v>
      </c>
      <c r="K415" t="s">
        <v>70</v>
      </c>
      <c r="L415" t="s">
        <v>69</v>
      </c>
      <c r="M415" s="4">
        <v>0</v>
      </c>
      <c r="N415" t="s">
        <v>71</v>
      </c>
      <c r="O415" s="4">
        <v>1</v>
      </c>
      <c r="P415" t="s">
        <v>71</v>
      </c>
      <c r="Q415" s="4">
        <v>2</v>
      </c>
      <c r="R415" t="s">
        <v>71</v>
      </c>
      <c r="S415" s="4">
        <v>3</v>
      </c>
      <c r="T415" t="s">
        <v>91</v>
      </c>
      <c r="U415" t="s">
        <v>103</v>
      </c>
      <c r="V415" t="s">
        <v>93</v>
      </c>
      <c r="W415" t="s">
        <v>93</v>
      </c>
      <c r="X415" t="s">
        <v>94</v>
      </c>
      <c r="Y415" t="s">
        <v>69</v>
      </c>
      <c r="Z415" s="4">
        <v>6</v>
      </c>
      <c r="AA415" t="s">
        <v>77</v>
      </c>
      <c r="AB415" s="4">
        <v>140</v>
      </c>
      <c r="AC415" s="4">
        <v>93</v>
      </c>
      <c r="AD415" s="4">
        <v>89</v>
      </c>
      <c r="AE415" s="4">
        <v>172</v>
      </c>
      <c r="AF415" s="4">
        <v>98</v>
      </c>
      <c r="AG415" s="4">
        <v>112</v>
      </c>
      <c r="AH415" s="4">
        <v>134</v>
      </c>
      <c r="AI415" s="4">
        <v>160</v>
      </c>
      <c r="AJ415" s="4">
        <v>40</v>
      </c>
      <c r="AK415" t="s">
        <v>107</v>
      </c>
      <c r="AL415" t="s">
        <v>79</v>
      </c>
      <c r="AM415" t="s">
        <v>108</v>
      </c>
      <c r="AN415" t="s">
        <v>109</v>
      </c>
      <c r="AO415" t="s">
        <v>82</v>
      </c>
      <c r="AP415" t="s">
        <v>83</v>
      </c>
      <c r="AQ415" t="s">
        <v>85</v>
      </c>
      <c r="AR415" t="s">
        <v>83</v>
      </c>
      <c r="AS415" t="s">
        <v>102</v>
      </c>
      <c r="AT415" t="s">
        <v>83</v>
      </c>
      <c r="AU415" t="s">
        <v>83</v>
      </c>
      <c r="AV415" t="s">
        <v>83</v>
      </c>
      <c r="AW415" s="4">
        <v>4</v>
      </c>
      <c r="AX415" s="4">
        <v>1</v>
      </c>
      <c r="AY415" s="4">
        <v>2</v>
      </c>
      <c r="AZ415" s="3">
        <v>1.72</v>
      </c>
      <c r="BA415" s="3">
        <v>2.9583999999999997</v>
      </c>
      <c r="BB415" s="3">
        <v>30.08382909680909</v>
      </c>
      <c r="BC415" t="s">
        <v>110</v>
      </c>
      <c r="BD415" t="s">
        <v>99</v>
      </c>
      <c r="BE415" s="4">
        <v>5</v>
      </c>
      <c r="BF415" t="s">
        <v>111</v>
      </c>
      <c r="BG415" s="1" t="e">
        <v>#NULL!</v>
      </c>
      <c r="BH415" s="4">
        <v>1</v>
      </c>
      <c r="BI415" t="s">
        <v>83</v>
      </c>
      <c r="BJ415" s="4">
        <v>5</v>
      </c>
      <c r="BK415" t="s">
        <v>112</v>
      </c>
    </row>
    <row r="416" spans="1:63" x14ac:dyDescent="0.35">
      <c r="A416" s="4">
        <v>249</v>
      </c>
      <c r="B416" s="4">
        <v>58</v>
      </c>
      <c r="C416" t="s">
        <v>121</v>
      </c>
      <c r="D416" t="s">
        <v>89</v>
      </c>
      <c r="E416" t="s">
        <v>104</v>
      </c>
      <c r="F416" t="s">
        <v>66</v>
      </c>
      <c r="G416" t="s">
        <v>67</v>
      </c>
      <c r="H416" s="2">
        <v>800</v>
      </c>
      <c r="I416" t="s">
        <v>105</v>
      </c>
      <c r="J416" t="s">
        <v>69</v>
      </c>
      <c r="K416" t="s">
        <v>69</v>
      </c>
      <c r="L416" t="s">
        <v>69</v>
      </c>
      <c r="M416" s="4">
        <v>2</v>
      </c>
      <c r="N416" t="s">
        <v>71</v>
      </c>
      <c r="O416" s="4">
        <v>2</v>
      </c>
      <c r="P416" t="s">
        <v>71</v>
      </c>
      <c r="Q416" s="4">
        <v>3</v>
      </c>
      <c r="R416" t="s">
        <v>91</v>
      </c>
      <c r="S416" s="4">
        <v>4</v>
      </c>
      <c r="T416" t="s">
        <v>91</v>
      </c>
      <c r="U416" t="s">
        <v>92</v>
      </c>
      <c r="V416" t="s">
        <v>93</v>
      </c>
      <c r="W416" t="s">
        <v>93</v>
      </c>
      <c r="X416" t="s">
        <v>94</v>
      </c>
      <c r="Y416" t="s">
        <v>69</v>
      </c>
      <c r="Z416" s="4">
        <v>6</v>
      </c>
      <c r="AA416" t="s">
        <v>77</v>
      </c>
      <c r="AB416" s="4">
        <v>145</v>
      </c>
      <c r="AC416" s="4">
        <v>96</v>
      </c>
      <c r="AD416" s="4">
        <v>82</v>
      </c>
      <c r="AE416" s="4">
        <v>165</v>
      </c>
      <c r="AF416" s="4">
        <v>98</v>
      </c>
      <c r="AG416" s="4">
        <v>108</v>
      </c>
      <c r="AH416" s="4">
        <v>136</v>
      </c>
      <c r="AI416" s="4">
        <v>158</v>
      </c>
      <c r="AJ416" s="4">
        <v>53</v>
      </c>
      <c r="AK416" t="s">
        <v>107</v>
      </c>
      <c r="AL416" t="s">
        <v>79</v>
      </c>
      <c r="AM416" t="s">
        <v>108</v>
      </c>
      <c r="AN416" t="s">
        <v>109</v>
      </c>
      <c r="AO416" t="s">
        <v>82</v>
      </c>
      <c r="AP416" t="s">
        <v>85</v>
      </c>
      <c r="AQ416" t="s">
        <v>85</v>
      </c>
      <c r="AR416" t="s">
        <v>85</v>
      </c>
      <c r="AS416" t="s">
        <v>102</v>
      </c>
      <c r="AT416" t="s">
        <v>83</v>
      </c>
      <c r="AU416" t="s">
        <v>83</v>
      </c>
      <c r="AV416" t="s">
        <v>83</v>
      </c>
      <c r="AW416" s="4">
        <v>3</v>
      </c>
      <c r="AX416" s="4">
        <v>1</v>
      </c>
      <c r="AY416" s="4">
        <v>2</v>
      </c>
      <c r="AZ416" s="3">
        <v>1.65</v>
      </c>
      <c r="BA416" s="3">
        <v>2.7224999999999997</v>
      </c>
      <c r="BB416" s="3">
        <v>30.119375573921033</v>
      </c>
      <c r="BC416" t="s">
        <v>110</v>
      </c>
      <c r="BD416" t="s">
        <v>99</v>
      </c>
      <c r="BE416" s="4">
        <v>4</v>
      </c>
      <c r="BF416" t="s">
        <v>111</v>
      </c>
      <c r="BG416" s="1" t="e">
        <v>#NULL!</v>
      </c>
      <c r="BH416" s="4">
        <v>1</v>
      </c>
      <c r="BI416" t="s">
        <v>83</v>
      </c>
      <c r="BJ416" s="4">
        <v>4</v>
      </c>
      <c r="BK416" t="s">
        <v>112</v>
      </c>
    </row>
    <row r="417" spans="1:63" x14ac:dyDescent="0.35">
      <c r="A417" s="4">
        <v>476</v>
      </c>
      <c r="B417" s="4">
        <v>58</v>
      </c>
      <c r="C417" t="s">
        <v>121</v>
      </c>
      <c r="D417" t="s">
        <v>89</v>
      </c>
      <c r="E417" t="s">
        <v>104</v>
      </c>
      <c r="F417" t="s">
        <v>115</v>
      </c>
      <c r="G417" t="s">
        <v>67</v>
      </c>
      <c r="H417" s="2">
        <v>500</v>
      </c>
      <c r="I417" t="s">
        <v>68</v>
      </c>
      <c r="J417" t="s">
        <v>69</v>
      </c>
      <c r="K417" t="s">
        <v>69</v>
      </c>
      <c r="L417" t="s">
        <v>69</v>
      </c>
      <c r="M417" s="4">
        <v>7</v>
      </c>
      <c r="N417" t="s">
        <v>72</v>
      </c>
      <c r="O417" s="4">
        <v>4</v>
      </c>
      <c r="P417" t="s">
        <v>91</v>
      </c>
      <c r="Q417" s="4">
        <v>7</v>
      </c>
      <c r="R417" t="s">
        <v>72</v>
      </c>
      <c r="S417" s="4">
        <v>3</v>
      </c>
      <c r="T417" t="s">
        <v>91</v>
      </c>
      <c r="U417" t="s">
        <v>73</v>
      </c>
      <c r="V417" t="s">
        <v>93</v>
      </c>
      <c r="W417" t="s">
        <v>93</v>
      </c>
      <c r="X417" t="s">
        <v>94</v>
      </c>
      <c r="Y417" t="s">
        <v>69</v>
      </c>
      <c r="Z417" s="4">
        <v>4</v>
      </c>
      <c r="AA417" t="s">
        <v>77</v>
      </c>
      <c r="AB417" s="4">
        <v>162</v>
      </c>
      <c r="AC417" s="4">
        <v>89</v>
      </c>
      <c r="AD417" s="4">
        <v>64</v>
      </c>
      <c r="AE417" s="4">
        <v>156</v>
      </c>
      <c r="AF417" s="4">
        <v>77</v>
      </c>
      <c r="AG417" s="4">
        <v>103</v>
      </c>
      <c r="AH417" s="4">
        <v>95</v>
      </c>
      <c r="AI417" s="4">
        <v>47</v>
      </c>
      <c r="AJ417" s="4">
        <v>63</v>
      </c>
      <c r="AK417" t="s">
        <v>78</v>
      </c>
      <c r="AL417" t="s">
        <v>79</v>
      </c>
      <c r="AM417" t="s">
        <v>108</v>
      </c>
      <c r="AN417" t="s">
        <v>109</v>
      </c>
      <c r="AO417" t="s">
        <v>82</v>
      </c>
      <c r="AP417" t="s">
        <v>85</v>
      </c>
      <c r="AQ417" t="s">
        <v>85</v>
      </c>
      <c r="AR417" t="s">
        <v>85</v>
      </c>
      <c r="AS417" t="s">
        <v>84</v>
      </c>
      <c r="AT417" t="s">
        <v>85</v>
      </c>
      <c r="AU417" t="s">
        <v>85</v>
      </c>
      <c r="AV417" t="s">
        <v>85</v>
      </c>
      <c r="AW417" s="4">
        <v>1</v>
      </c>
      <c r="AX417" s="4">
        <v>0</v>
      </c>
      <c r="AY417" s="4">
        <v>0</v>
      </c>
      <c r="AZ417" s="3">
        <v>1.56</v>
      </c>
      <c r="BA417" s="3">
        <v>2.4336000000000002</v>
      </c>
      <c r="BB417" s="3">
        <v>26.298487836949374</v>
      </c>
      <c r="BC417" t="s">
        <v>98</v>
      </c>
      <c r="BD417" t="s">
        <v>99</v>
      </c>
      <c r="BE417" s="4">
        <v>1</v>
      </c>
      <c r="BF417" t="s">
        <v>87</v>
      </c>
      <c r="BG417" s="1" t="e">
        <v>#NULL!</v>
      </c>
      <c r="BH417" s="4">
        <v>0</v>
      </c>
      <c r="BI417" t="s">
        <v>85</v>
      </c>
      <c r="BJ417" s="4">
        <v>1</v>
      </c>
      <c r="BK417" t="s">
        <v>88</v>
      </c>
    </row>
    <row r="418" spans="1:63" x14ac:dyDescent="0.35">
      <c r="A418" s="4">
        <v>297</v>
      </c>
      <c r="B418" s="4">
        <v>59</v>
      </c>
      <c r="C418" t="s">
        <v>121</v>
      </c>
      <c r="D418" t="s">
        <v>64</v>
      </c>
      <c r="E418" t="s">
        <v>104</v>
      </c>
      <c r="F418" t="s">
        <v>101</v>
      </c>
      <c r="G418" t="s">
        <v>67</v>
      </c>
      <c r="H418" s="2">
        <v>2200</v>
      </c>
      <c r="I418" t="s">
        <v>116</v>
      </c>
      <c r="J418" t="s">
        <v>70</v>
      </c>
      <c r="K418" t="s">
        <v>69</v>
      </c>
      <c r="L418" t="s">
        <v>69</v>
      </c>
      <c r="M418" s="4">
        <v>3</v>
      </c>
      <c r="N418" t="s">
        <v>91</v>
      </c>
      <c r="O418" s="4">
        <v>2</v>
      </c>
      <c r="P418" t="s">
        <v>71</v>
      </c>
      <c r="Q418" s="4">
        <v>1</v>
      </c>
      <c r="R418" t="s">
        <v>71</v>
      </c>
      <c r="S418" s="4">
        <v>3</v>
      </c>
      <c r="T418" t="s">
        <v>91</v>
      </c>
      <c r="U418" t="s">
        <v>92</v>
      </c>
      <c r="V418" t="s">
        <v>93</v>
      </c>
      <c r="W418" t="s">
        <v>93</v>
      </c>
      <c r="X418" t="s">
        <v>94</v>
      </c>
      <c r="Y418" t="s">
        <v>69</v>
      </c>
      <c r="Z418" s="4">
        <v>6</v>
      </c>
      <c r="AA418" t="s">
        <v>77</v>
      </c>
      <c r="AB418" s="4">
        <v>155</v>
      </c>
      <c r="AC418" s="4">
        <v>98</v>
      </c>
      <c r="AD418" s="4">
        <v>88</v>
      </c>
      <c r="AE418" s="4">
        <v>176</v>
      </c>
      <c r="AF418" s="4">
        <v>95</v>
      </c>
      <c r="AG418" s="4">
        <v>106</v>
      </c>
      <c r="AH418" s="4">
        <v>176</v>
      </c>
      <c r="AI418" s="4">
        <v>112</v>
      </c>
      <c r="AJ418" s="4">
        <v>36</v>
      </c>
      <c r="AK418" t="s">
        <v>78</v>
      </c>
      <c r="AL418" t="s">
        <v>79</v>
      </c>
      <c r="AM418" t="s">
        <v>108</v>
      </c>
      <c r="AN418" t="s">
        <v>109</v>
      </c>
      <c r="AO418" t="s">
        <v>82</v>
      </c>
      <c r="AP418" t="s">
        <v>83</v>
      </c>
      <c r="AQ418" t="s">
        <v>83</v>
      </c>
      <c r="AR418" t="s">
        <v>83</v>
      </c>
      <c r="AS418" t="s">
        <v>102</v>
      </c>
      <c r="AT418" t="s">
        <v>83</v>
      </c>
      <c r="AU418" t="s">
        <v>83</v>
      </c>
      <c r="AV418" t="s">
        <v>83</v>
      </c>
      <c r="AW418" s="4">
        <v>3</v>
      </c>
      <c r="AX418" s="4">
        <v>1</v>
      </c>
      <c r="AY418" s="4">
        <v>2</v>
      </c>
      <c r="AZ418" s="3">
        <v>1.76</v>
      </c>
      <c r="BA418" s="3">
        <v>3.0975999999999999</v>
      </c>
      <c r="BB418" s="3">
        <v>28.40909090909091</v>
      </c>
      <c r="BC418" t="s">
        <v>98</v>
      </c>
      <c r="BD418" t="s">
        <v>99</v>
      </c>
      <c r="BE418" s="4">
        <v>4</v>
      </c>
      <c r="BF418" t="s">
        <v>111</v>
      </c>
      <c r="BG418" s="4">
        <v>0</v>
      </c>
      <c r="BH418" s="1" t="e">
        <v>#NULL!</v>
      </c>
      <c r="BI418" t="s">
        <v>85</v>
      </c>
      <c r="BJ418" s="4">
        <v>3</v>
      </c>
      <c r="BK418" t="s">
        <v>112</v>
      </c>
    </row>
    <row r="419" spans="1:63" x14ac:dyDescent="0.35">
      <c r="A419" s="4">
        <v>348</v>
      </c>
      <c r="B419" s="4">
        <v>59</v>
      </c>
      <c r="C419" t="s">
        <v>121</v>
      </c>
      <c r="D419" t="s">
        <v>89</v>
      </c>
      <c r="E419" t="s">
        <v>104</v>
      </c>
      <c r="F419" t="s">
        <v>115</v>
      </c>
      <c r="G419" t="s">
        <v>67</v>
      </c>
      <c r="H419" s="2">
        <v>200</v>
      </c>
      <c r="I419" t="s">
        <v>68</v>
      </c>
      <c r="J419" t="s">
        <v>70</v>
      </c>
      <c r="K419" t="s">
        <v>69</v>
      </c>
      <c r="L419" t="s">
        <v>69</v>
      </c>
      <c r="M419" s="4">
        <v>0</v>
      </c>
      <c r="N419" t="s">
        <v>71</v>
      </c>
      <c r="O419" s="4">
        <v>1</v>
      </c>
      <c r="P419" t="s">
        <v>71</v>
      </c>
      <c r="Q419" s="4">
        <v>2</v>
      </c>
      <c r="R419" t="s">
        <v>71</v>
      </c>
      <c r="S419" s="4">
        <v>1</v>
      </c>
      <c r="T419" t="s">
        <v>71</v>
      </c>
      <c r="U419" t="s">
        <v>103</v>
      </c>
      <c r="V419" t="s">
        <v>93</v>
      </c>
      <c r="W419" t="s">
        <v>93</v>
      </c>
      <c r="X419" t="s">
        <v>94</v>
      </c>
      <c r="Y419" t="s">
        <v>69</v>
      </c>
      <c r="Z419" s="4">
        <v>6</v>
      </c>
      <c r="AA419" t="s">
        <v>77</v>
      </c>
      <c r="AB419" s="4">
        <v>140</v>
      </c>
      <c r="AC419" s="4">
        <v>93</v>
      </c>
      <c r="AD419" s="4">
        <v>89</v>
      </c>
      <c r="AE419" s="4">
        <v>172</v>
      </c>
      <c r="AF419" s="4">
        <v>98</v>
      </c>
      <c r="AG419" s="4">
        <v>112</v>
      </c>
      <c r="AH419" s="4">
        <v>134</v>
      </c>
      <c r="AI419" s="4">
        <v>160</v>
      </c>
      <c r="AJ419" s="4">
        <v>40</v>
      </c>
      <c r="AK419" t="s">
        <v>107</v>
      </c>
      <c r="AL419" t="s">
        <v>79</v>
      </c>
      <c r="AM419" t="s">
        <v>108</v>
      </c>
      <c r="AN419" t="s">
        <v>109</v>
      </c>
      <c r="AO419" t="s">
        <v>82</v>
      </c>
      <c r="AP419" t="s">
        <v>83</v>
      </c>
      <c r="AQ419" t="s">
        <v>85</v>
      </c>
      <c r="AR419" t="s">
        <v>83</v>
      </c>
      <c r="AS419" t="s">
        <v>102</v>
      </c>
      <c r="AT419" t="s">
        <v>83</v>
      </c>
      <c r="AU419" t="s">
        <v>83</v>
      </c>
      <c r="AV419" t="s">
        <v>83</v>
      </c>
      <c r="AW419" s="4">
        <v>4</v>
      </c>
      <c r="AX419" s="4">
        <v>1</v>
      </c>
      <c r="AY419" s="4">
        <v>2</v>
      </c>
      <c r="AZ419" s="3">
        <v>1.72</v>
      </c>
      <c r="BA419" s="3">
        <v>2.9583999999999997</v>
      </c>
      <c r="BB419" s="3">
        <v>30.08382909680909</v>
      </c>
      <c r="BC419" t="s">
        <v>110</v>
      </c>
      <c r="BD419" t="s">
        <v>99</v>
      </c>
      <c r="BE419" s="4">
        <v>5</v>
      </c>
      <c r="BF419" t="s">
        <v>111</v>
      </c>
      <c r="BG419" s="1" t="e">
        <v>#NULL!</v>
      </c>
      <c r="BH419" s="4">
        <v>1</v>
      </c>
      <c r="BI419" t="s">
        <v>83</v>
      </c>
      <c r="BJ419" s="4">
        <v>5</v>
      </c>
      <c r="BK419" t="s">
        <v>112</v>
      </c>
    </row>
    <row r="420" spans="1:63" x14ac:dyDescent="0.35">
      <c r="A420" s="4">
        <v>388</v>
      </c>
      <c r="B420" s="4">
        <v>59</v>
      </c>
      <c r="C420" t="s">
        <v>121</v>
      </c>
      <c r="D420" t="s">
        <v>89</v>
      </c>
      <c r="E420" t="s">
        <v>104</v>
      </c>
      <c r="F420" t="s">
        <v>90</v>
      </c>
      <c r="G420" t="s">
        <v>67</v>
      </c>
      <c r="H420" s="2">
        <v>200</v>
      </c>
      <c r="I420" t="s">
        <v>68</v>
      </c>
      <c r="J420" t="s">
        <v>69</v>
      </c>
      <c r="K420" t="s">
        <v>69</v>
      </c>
      <c r="L420" t="s">
        <v>69</v>
      </c>
      <c r="M420" s="4">
        <v>1</v>
      </c>
      <c r="N420" t="s">
        <v>71</v>
      </c>
      <c r="O420" s="4">
        <v>4</v>
      </c>
      <c r="P420" t="s">
        <v>91</v>
      </c>
      <c r="Q420" s="4">
        <v>2</v>
      </c>
      <c r="R420" t="s">
        <v>71</v>
      </c>
      <c r="S420" s="4">
        <v>1</v>
      </c>
      <c r="T420" t="s">
        <v>71</v>
      </c>
      <c r="U420" t="s">
        <v>92</v>
      </c>
      <c r="V420" t="s">
        <v>93</v>
      </c>
      <c r="W420" t="s">
        <v>93</v>
      </c>
      <c r="X420" t="s">
        <v>94</v>
      </c>
      <c r="Y420" t="s">
        <v>69</v>
      </c>
      <c r="Z420" s="4">
        <v>7</v>
      </c>
      <c r="AA420" t="s">
        <v>77</v>
      </c>
      <c r="AB420" s="4">
        <v>127</v>
      </c>
      <c r="AC420" s="4">
        <v>71</v>
      </c>
      <c r="AD420" s="4">
        <v>75</v>
      </c>
      <c r="AE420" s="4">
        <v>165</v>
      </c>
      <c r="AF420" s="4">
        <v>90</v>
      </c>
      <c r="AG420" s="4">
        <v>103</v>
      </c>
      <c r="AH420" s="4">
        <v>90</v>
      </c>
      <c r="AI420" s="4">
        <v>41</v>
      </c>
      <c r="AJ420" s="4">
        <v>50</v>
      </c>
      <c r="AK420" t="s">
        <v>78</v>
      </c>
      <c r="AL420" t="s">
        <v>95</v>
      </c>
      <c r="AM420" t="s">
        <v>80</v>
      </c>
      <c r="AN420" t="s">
        <v>96</v>
      </c>
      <c r="AO420" t="s">
        <v>97</v>
      </c>
      <c r="AP420" t="s">
        <v>85</v>
      </c>
      <c r="AQ420" t="s">
        <v>85</v>
      </c>
      <c r="AR420" t="s">
        <v>85</v>
      </c>
      <c r="AS420" t="s">
        <v>84</v>
      </c>
      <c r="AT420" t="s">
        <v>85</v>
      </c>
      <c r="AU420" t="s">
        <v>83</v>
      </c>
      <c r="AV420" t="s">
        <v>83</v>
      </c>
      <c r="AW420" s="4">
        <v>0</v>
      </c>
      <c r="AX420" s="4">
        <v>0</v>
      </c>
      <c r="AY420" s="4">
        <v>1</v>
      </c>
      <c r="AZ420" s="3">
        <v>1.65</v>
      </c>
      <c r="BA420" s="3">
        <v>2.7224999999999997</v>
      </c>
      <c r="BB420" s="3">
        <v>27.548209366391188</v>
      </c>
      <c r="BC420" t="s">
        <v>98</v>
      </c>
      <c r="BD420" t="s">
        <v>99</v>
      </c>
      <c r="BE420" s="4">
        <v>1</v>
      </c>
      <c r="BF420" t="s">
        <v>87</v>
      </c>
      <c r="BG420" s="1" t="e">
        <v>#NULL!</v>
      </c>
      <c r="BH420" s="4">
        <v>1</v>
      </c>
      <c r="BI420" t="s">
        <v>83</v>
      </c>
      <c r="BJ420" s="4">
        <v>1</v>
      </c>
      <c r="BK420" t="s">
        <v>88</v>
      </c>
    </row>
    <row r="421" spans="1:63" x14ac:dyDescent="0.35">
      <c r="A421" s="4">
        <v>401</v>
      </c>
      <c r="B421" s="4">
        <v>59</v>
      </c>
      <c r="C421" t="s">
        <v>121</v>
      </c>
      <c r="D421" t="s">
        <v>89</v>
      </c>
      <c r="E421" t="s">
        <v>104</v>
      </c>
      <c r="F421" t="s">
        <v>115</v>
      </c>
      <c r="G421" t="s">
        <v>67</v>
      </c>
      <c r="H421" s="2">
        <v>300</v>
      </c>
      <c r="I421" t="s">
        <v>68</v>
      </c>
      <c r="J421" t="s">
        <v>69</v>
      </c>
      <c r="K421" t="s">
        <v>69</v>
      </c>
      <c r="L421" t="s">
        <v>69</v>
      </c>
      <c r="M421" s="4">
        <v>4</v>
      </c>
      <c r="N421" t="s">
        <v>91</v>
      </c>
      <c r="O421" s="4">
        <v>5</v>
      </c>
      <c r="P421" t="s">
        <v>72</v>
      </c>
      <c r="Q421" s="4">
        <v>3</v>
      </c>
      <c r="R421" t="s">
        <v>91</v>
      </c>
      <c r="S421" s="4">
        <v>3</v>
      </c>
      <c r="T421" t="s">
        <v>91</v>
      </c>
      <c r="U421" t="s">
        <v>92</v>
      </c>
      <c r="V421" t="s">
        <v>74</v>
      </c>
      <c r="W421" t="s">
        <v>75</v>
      </c>
      <c r="X421" t="s">
        <v>76</v>
      </c>
      <c r="Y421" t="s">
        <v>69</v>
      </c>
      <c r="Z421" s="4">
        <v>1</v>
      </c>
      <c r="AA421" t="s">
        <v>77</v>
      </c>
      <c r="AB421" s="4">
        <v>161</v>
      </c>
      <c r="AC421" s="4">
        <v>94</v>
      </c>
      <c r="AD421" s="4">
        <v>74</v>
      </c>
      <c r="AE421" s="4">
        <v>163</v>
      </c>
      <c r="AF421" s="4">
        <v>103</v>
      </c>
      <c r="AG421" s="4">
        <v>105</v>
      </c>
      <c r="AH421" s="4">
        <v>97</v>
      </c>
      <c r="AI421" s="4">
        <v>122</v>
      </c>
      <c r="AJ421" s="4">
        <v>56</v>
      </c>
      <c r="AK421" t="s">
        <v>78</v>
      </c>
      <c r="AL421" t="s">
        <v>79</v>
      </c>
      <c r="AM421" t="s">
        <v>108</v>
      </c>
      <c r="AN421" t="s">
        <v>109</v>
      </c>
      <c r="AO421" t="s">
        <v>82</v>
      </c>
      <c r="AP421" t="s">
        <v>85</v>
      </c>
      <c r="AQ421" t="s">
        <v>85</v>
      </c>
      <c r="AR421" t="s">
        <v>85</v>
      </c>
      <c r="AS421" t="s">
        <v>84</v>
      </c>
      <c r="AT421" t="s">
        <v>83</v>
      </c>
      <c r="AU421" t="s">
        <v>83</v>
      </c>
      <c r="AV421" t="s">
        <v>83</v>
      </c>
      <c r="AW421" s="4">
        <v>1</v>
      </c>
      <c r="AX421" s="4">
        <v>0</v>
      </c>
      <c r="AY421" s="4">
        <v>1</v>
      </c>
      <c r="AZ421" s="3">
        <v>1.63</v>
      </c>
      <c r="BA421" s="3">
        <v>2.6568999999999998</v>
      </c>
      <c r="BB421" s="3">
        <v>27.852007979223909</v>
      </c>
      <c r="BC421" t="s">
        <v>98</v>
      </c>
      <c r="BD421" t="s">
        <v>99</v>
      </c>
      <c r="BE421" s="4">
        <v>2</v>
      </c>
      <c r="BF421" t="s">
        <v>87</v>
      </c>
      <c r="BG421" s="1" t="e">
        <v>#NULL!</v>
      </c>
      <c r="BH421" s="4">
        <v>1</v>
      </c>
      <c r="BI421" t="s">
        <v>83</v>
      </c>
      <c r="BJ421" s="4">
        <v>2</v>
      </c>
      <c r="BK421" t="s">
        <v>88</v>
      </c>
    </row>
    <row r="422" spans="1:63" x14ac:dyDescent="0.35">
      <c r="A422" s="4">
        <v>434</v>
      </c>
      <c r="B422" s="4">
        <v>59</v>
      </c>
      <c r="C422" t="s">
        <v>121</v>
      </c>
      <c r="D422" t="s">
        <v>89</v>
      </c>
      <c r="E422" t="s">
        <v>104</v>
      </c>
      <c r="F422" t="s">
        <v>115</v>
      </c>
      <c r="G422" t="s">
        <v>67</v>
      </c>
      <c r="H422" s="2">
        <v>500</v>
      </c>
      <c r="I422" t="s">
        <v>68</v>
      </c>
      <c r="J422" t="s">
        <v>69</v>
      </c>
      <c r="K422" t="s">
        <v>69</v>
      </c>
      <c r="L422" t="s">
        <v>69</v>
      </c>
      <c r="M422" s="4">
        <v>7</v>
      </c>
      <c r="N422" t="s">
        <v>72</v>
      </c>
      <c r="O422" s="4">
        <v>5</v>
      </c>
      <c r="P422" t="s">
        <v>72</v>
      </c>
      <c r="Q422" s="4">
        <v>7</v>
      </c>
      <c r="R422" t="s">
        <v>72</v>
      </c>
      <c r="S422" s="4">
        <v>5</v>
      </c>
      <c r="T422" t="s">
        <v>72</v>
      </c>
      <c r="U422" t="s">
        <v>92</v>
      </c>
      <c r="V422" t="s">
        <v>93</v>
      </c>
      <c r="W422" t="s">
        <v>93</v>
      </c>
      <c r="X422" t="s">
        <v>94</v>
      </c>
      <c r="Y422" t="s">
        <v>69</v>
      </c>
      <c r="Z422" s="4">
        <v>6</v>
      </c>
      <c r="AA422" t="s">
        <v>77</v>
      </c>
      <c r="AB422" s="4">
        <v>147</v>
      </c>
      <c r="AC422" s="4">
        <v>83</v>
      </c>
      <c r="AD422" s="4">
        <v>71</v>
      </c>
      <c r="AE422" s="4">
        <v>173</v>
      </c>
      <c r="AF422" s="4">
        <v>82</v>
      </c>
      <c r="AG422" s="4">
        <v>103</v>
      </c>
      <c r="AH422" s="4">
        <v>202</v>
      </c>
      <c r="AI422" s="4">
        <v>203</v>
      </c>
      <c r="AJ422" s="4">
        <v>33</v>
      </c>
      <c r="AK422" t="s">
        <v>107</v>
      </c>
      <c r="AL422" t="s">
        <v>79</v>
      </c>
      <c r="AM422" t="s">
        <v>80</v>
      </c>
      <c r="AN422" t="s">
        <v>81</v>
      </c>
      <c r="AO422" t="s">
        <v>82</v>
      </c>
      <c r="AP422" t="s">
        <v>83</v>
      </c>
      <c r="AQ422" t="s">
        <v>83</v>
      </c>
      <c r="AR422" t="s">
        <v>83</v>
      </c>
      <c r="AS422" t="s">
        <v>102</v>
      </c>
      <c r="AT422" t="s">
        <v>85</v>
      </c>
      <c r="AU422" t="s">
        <v>83</v>
      </c>
      <c r="AV422" t="s">
        <v>83</v>
      </c>
      <c r="AW422" s="4">
        <v>4</v>
      </c>
      <c r="AX422" s="4">
        <v>1</v>
      </c>
      <c r="AY422" s="4">
        <v>2</v>
      </c>
      <c r="AZ422" s="3">
        <v>1.73</v>
      </c>
      <c r="BA422" s="3">
        <v>2.9929000000000001</v>
      </c>
      <c r="BB422" s="3">
        <v>23.722810651876106</v>
      </c>
      <c r="BC422" t="s">
        <v>85</v>
      </c>
      <c r="BD422" t="s">
        <v>86</v>
      </c>
      <c r="BE422" s="4">
        <v>5</v>
      </c>
      <c r="BF422" t="s">
        <v>111</v>
      </c>
      <c r="BG422" s="1" t="e">
        <v>#NULL!</v>
      </c>
      <c r="BH422" s="4">
        <v>0</v>
      </c>
      <c r="BI422" t="s">
        <v>85</v>
      </c>
      <c r="BJ422" s="4">
        <v>4</v>
      </c>
      <c r="BK422" t="s">
        <v>112</v>
      </c>
    </row>
    <row r="423" spans="1:63" x14ac:dyDescent="0.35">
      <c r="A423" s="4">
        <v>436</v>
      </c>
      <c r="B423" s="4">
        <v>59</v>
      </c>
      <c r="C423" t="s">
        <v>121</v>
      </c>
      <c r="D423" t="s">
        <v>89</v>
      </c>
      <c r="E423" t="s">
        <v>104</v>
      </c>
      <c r="F423" t="s">
        <v>90</v>
      </c>
      <c r="G423" t="s">
        <v>67</v>
      </c>
      <c r="H423" s="2">
        <v>1200</v>
      </c>
      <c r="I423" t="s">
        <v>116</v>
      </c>
      <c r="J423" t="s">
        <v>69</v>
      </c>
      <c r="K423" t="s">
        <v>69</v>
      </c>
      <c r="L423" t="s">
        <v>69</v>
      </c>
      <c r="M423" s="4">
        <v>3</v>
      </c>
      <c r="N423" t="s">
        <v>91</v>
      </c>
      <c r="O423" s="4">
        <v>3</v>
      </c>
      <c r="P423" t="s">
        <v>91</v>
      </c>
      <c r="Q423" s="4">
        <v>4</v>
      </c>
      <c r="R423" t="s">
        <v>91</v>
      </c>
      <c r="S423" s="4">
        <v>6</v>
      </c>
      <c r="T423" t="s">
        <v>72</v>
      </c>
      <c r="U423" t="s">
        <v>73</v>
      </c>
      <c r="V423" t="s">
        <v>93</v>
      </c>
      <c r="W423" t="s">
        <v>93</v>
      </c>
      <c r="X423" t="s">
        <v>94</v>
      </c>
      <c r="Y423" t="s">
        <v>69</v>
      </c>
      <c r="Z423" s="4">
        <v>4</v>
      </c>
      <c r="AA423" t="s">
        <v>77</v>
      </c>
      <c r="AB423" s="4">
        <v>182</v>
      </c>
      <c r="AC423" s="4">
        <v>104</v>
      </c>
      <c r="AD423" s="4">
        <v>73</v>
      </c>
      <c r="AE423" s="4">
        <v>159</v>
      </c>
      <c r="AF423" s="4">
        <v>106</v>
      </c>
      <c r="AG423" s="4">
        <v>123</v>
      </c>
      <c r="AH423" s="4">
        <v>132</v>
      </c>
      <c r="AI423" s="4">
        <v>73</v>
      </c>
      <c r="AJ423" s="4">
        <v>28</v>
      </c>
      <c r="AK423" t="s">
        <v>78</v>
      </c>
      <c r="AL423" t="s">
        <v>79</v>
      </c>
      <c r="AM423" t="s">
        <v>108</v>
      </c>
      <c r="AN423" t="s">
        <v>109</v>
      </c>
      <c r="AO423" t="s">
        <v>82</v>
      </c>
      <c r="AP423" t="s">
        <v>83</v>
      </c>
      <c r="AQ423" t="s">
        <v>83</v>
      </c>
      <c r="AR423" t="s">
        <v>83</v>
      </c>
      <c r="AS423" t="s">
        <v>102</v>
      </c>
      <c r="AT423" t="s">
        <v>83</v>
      </c>
      <c r="AU423" t="s">
        <v>83</v>
      </c>
      <c r="AV423" t="s">
        <v>83</v>
      </c>
      <c r="AW423" s="4">
        <v>3</v>
      </c>
      <c r="AX423" s="4">
        <v>1</v>
      </c>
      <c r="AY423" s="4">
        <v>2</v>
      </c>
      <c r="AZ423" s="3">
        <v>1.59</v>
      </c>
      <c r="BA423" s="3">
        <v>2.5281000000000002</v>
      </c>
      <c r="BB423" s="3">
        <v>28.875440053795337</v>
      </c>
      <c r="BC423" t="s">
        <v>98</v>
      </c>
      <c r="BD423" t="s">
        <v>99</v>
      </c>
      <c r="BE423" s="4">
        <v>4</v>
      </c>
      <c r="BF423" t="s">
        <v>111</v>
      </c>
      <c r="BG423" s="1" t="e">
        <v>#NULL!</v>
      </c>
      <c r="BH423" s="4">
        <v>1</v>
      </c>
      <c r="BI423" t="s">
        <v>83</v>
      </c>
      <c r="BJ423" s="4">
        <v>4</v>
      </c>
      <c r="BK423" t="s">
        <v>112</v>
      </c>
    </row>
    <row r="424" spans="1:63" x14ac:dyDescent="0.35">
      <c r="A424" s="4">
        <v>498</v>
      </c>
      <c r="B424" s="4">
        <v>59</v>
      </c>
      <c r="C424" t="s">
        <v>121</v>
      </c>
      <c r="D424" t="s">
        <v>64</v>
      </c>
      <c r="E424" t="s">
        <v>104</v>
      </c>
      <c r="F424" t="s">
        <v>66</v>
      </c>
      <c r="G424" t="s">
        <v>67</v>
      </c>
      <c r="H424" s="2">
        <v>600</v>
      </c>
      <c r="I424" t="s">
        <v>105</v>
      </c>
      <c r="J424" t="s">
        <v>69</v>
      </c>
      <c r="K424" t="s">
        <v>69</v>
      </c>
      <c r="L424" t="s">
        <v>69</v>
      </c>
      <c r="M424" s="4">
        <v>6</v>
      </c>
      <c r="N424" t="s">
        <v>72</v>
      </c>
      <c r="O424" s="4">
        <v>5</v>
      </c>
      <c r="P424" t="s">
        <v>72</v>
      </c>
      <c r="Q424" s="4">
        <v>6</v>
      </c>
      <c r="R424" t="s">
        <v>72</v>
      </c>
      <c r="S424" s="4">
        <v>6</v>
      </c>
      <c r="T424" t="s">
        <v>72</v>
      </c>
      <c r="U424" t="s">
        <v>92</v>
      </c>
      <c r="V424" t="s">
        <v>93</v>
      </c>
      <c r="W424" t="s">
        <v>93</v>
      </c>
      <c r="X424" t="s">
        <v>94</v>
      </c>
      <c r="Y424" t="s">
        <v>69</v>
      </c>
      <c r="Z424" s="4">
        <v>4</v>
      </c>
      <c r="AA424" t="s">
        <v>77</v>
      </c>
      <c r="AB424" s="4">
        <v>98</v>
      </c>
      <c r="AC424" s="4">
        <v>72</v>
      </c>
      <c r="AD424" s="4">
        <v>78</v>
      </c>
      <c r="AE424" s="4">
        <v>176</v>
      </c>
      <c r="AF424" s="4">
        <v>84</v>
      </c>
      <c r="AG424" s="4">
        <v>90</v>
      </c>
      <c r="AH424" s="4">
        <v>88</v>
      </c>
      <c r="AI424" s="4">
        <v>140</v>
      </c>
      <c r="AJ424" s="4">
        <v>50</v>
      </c>
      <c r="AK424" t="s">
        <v>78</v>
      </c>
      <c r="AL424" t="s">
        <v>95</v>
      </c>
      <c r="AM424" t="s">
        <v>80</v>
      </c>
      <c r="AN424" t="s">
        <v>96</v>
      </c>
      <c r="AO424" t="s">
        <v>97</v>
      </c>
      <c r="AP424" t="s">
        <v>85</v>
      </c>
      <c r="AQ424" t="s">
        <v>85</v>
      </c>
      <c r="AR424" t="s">
        <v>85</v>
      </c>
      <c r="AS424" t="s">
        <v>84</v>
      </c>
      <c r="AT424" t="s">
        <v>85</v>
      </c>
      <c r="AU424" t="s">
        <v>83</v>
      </c>
      <c r="AV424" t="s">
        <v>85</v>
      </c>
      <c r="AW424" s="4">
        <v>0</v>
      </c>
      <c r="AX424" s="4">
        <v>0</v>
      </c>
      <c r="AY424" s="4">
        <v>0</v>
      </c>
      <c r="AZ424" s="3">
        <v>1.76</v>
      </c>
      <c r="BA424" s="3">
        <v>3.0975999999999999</v>
      </c>
      <c r="BB424" s="3">
        <v>25.180785123966942</v>
      </c>
      <c r="BC424" t="s">
        <v>98</v>
      </c>
      <c r="BD424" t="s">
        <v>99</v>
      </c>
      <c r="BE424" s="4">
        <v>0</v>
      </c>
      <c r="BF424" t="s">
        <v>87</v>
      </c>
      <c r="BG424" s="4">
        <v>0</v>
      </c>
      <c r="BH424" s="1" t="e">
        <v>#NULL!</v>
      </c>
      <c r="BI424" t="s">
        <v>85</v>
      </c>
      <c r="BJ424" s="4">
        <v>0</v>
      </c>
      <c r="BK424" t="s">
        <v>88</v>
      </c>
    </row>
    <row r="425" spans="1:63" x14ac:dyDescent="0.35">
      <c r="A425" s="4">
        <v>3</v>
      </c>
      <c r="B425" s="4">
        <v>60</v>
      </c>
      <c r="C425" t="s">
        <v>121</v>
      </c>
      <c r="D425" t="s">
        <v>89</v>
      </c>
      <c r="E425" t="s">
        <v>104</v>
      </c>
      <c r="F425" t="s">
        <v>115</v>
      </c>
      <c r="G425" t="s">
        <v>67</v>
      </c>
      <c r="H425" s="2">
        <v>200</v>
      </c>
      <c r="I425" t="s">
        <v>68</v>
      </c>
      <c r="J425" t="s">
        <v>69</v>
      </c>
      <c r="K425" t="s">
        <v>69</v>
      </c>
      <c r="L425" t="s">
        <v>69</v>
      </c>
      <c r="M425" s="4">
        <v>0</v>
      </c>
      <c r="N425" t="s">
        <v>71</v>
      </c>
      <c r="O425" s="4">
        <v>1</v>
      </c>
      <c r="P425" t="s">
        <v>71</v>
      </c>
      <c r="Q425" s="4">
        <v>0</v>
      </c>
      <c r="R425" t="s">
        <v>71</v>
      </c>
      <c r="S425" s="4">
        <v>0</v>
      </c>
      <c r="T425" t="s">
        <v>71</v>
      </c>
      <c r="U425" t="s">
        <v>73</v>
      </c>
      <c r="V425" t="s">
        <v>93</v>
      </c>
      <c r="W425" t="s">
        <v>93</v>
      </c>
      <c r="X425" t="s">
        <v>94</v>
      </c>
      <c r="Y425" t="s">
        <v>69</v>
      </c>
      <c r="Z425" s="4">
        <v>4</v>
      </c>
      <c r="AA425" t="s">
        <v>77</v>
      </c>
      <c r="AB425" s="4">
        <v>136</v>
      </c>
      <c r="AC425" s="4">
        <v>76</v>
      </c>
      <c r="AD425" s="4">
        <v>83</v>
      </c>
      <c r="AE425" s="4">
        <v>160</v>
      </c>
      <c r="AF425" s="4">
        <v>95</v>
      </c>
      <c r="AG425" s="4">
        <v>120</v>
      </c>
      <c r="AH425" s="4">
        <v>105</v>
      </c>
      <c r="AI425" s="4">
        <v>110</v>
      </c>
      <c r="AJ425" s="4">
        <v>50</v>
      </c>
      <c r="AK425" t="s">
        <v>78</v>
      </c>
      <c r="AL425" t="s">
        <v>79</v>
      </c>
      <c r="AM425" t="s">
        <v>80</v>
      </c>
      <c r="AN425" t="s">
        <v>81</v>
      </c>
      <c r="AO425" t="s">
        <v>82</v>
      </c>
      <c r="AP425" t="s">
        <v>85</v>
      </c>
      <c r="AQ425" t="s">
        <v>85</v>
      </c>
      <c r="AR425" t="s">
        <v>85</v>
      </c>
      <c r="AS425" t="s">
        <v>102</v>
      </c>
      <c r="AT425" t="s">
        <v>83</v>
      </c>
      <c r="AU425" t="s">
        <v>83</v>
      </c>
      <c r="AV425" t="s">
        <v>83</v>
      </c>
      <c r="AW425" s="4">
        <v>2</v>
      </c>
      <c r="AX425" s="4">
        <v>1</v>
      </c>
      <c r="AY425" s="4">
        <v>2</v>
      </c>
      <c r="AZ425" s="3">
        <v>1.6</v>
      </c>
      <c r="BA425" s="3">
        <v>2.5600000000000005</v>
      </c>
      <c r="BB425" s="3">
        <v>32.421874999999993</v>
      </c>
      <c r="BC425" t="s">
        <v>110</v>
      </c>
      <c r="BD425" t="s">
        <v>99</v>
      </c>
      <c r="BE425" s="4">
        <v>3</v>
      </c>
      <c r="BF425" t="s">
        <v>111</v>
      </c>
      <c r="BG425" s="1" t="e">
        <v>#NULL!</v>
      </c>
      <c r="BH425" s="4">
        <v>1</v>
      </c>
      <c r="BI425" t="s">
        <v>83</v>
      </c>
      <c r="BJ425" s="4">
        <v>3</v>
      </c>
      <c r="BK425" t="s">
        <v>112</v>
      </c>
    </row>
    <row r="426" spans="1:63" x14ac:dyDescent="0.35">
      <c r="A426" s="4">
        <v>25</v>
      </c>
      <c r="B426" s="4">
        <v>60</v>
      </c>
      <c r="C426" t="s">
        <v>121</v>
      </c>
      <c r="D426" t="s">
        <v>89</v>
      </c>
      <c r="E426" t="s">
        <v>104</v>
      </c>
      <c r="F426" t="s">
        <v>115</v>
      </c>
      <c r="G426" t="s">
        <v>67</v>
      </c>
      <c r="H426" s="2">
        <v>300</v>
      </c>
      <c r="I426" t="s">
        <v>68</v>
      </c>
      <c r="J426" t="s">
        <v>69</v>
      </c>
      <c r="K426" t="s">
        <v>69</v>
      </c>
      <c r="L426" t="s">
        <v>69</v>
      </c>
      <c r="M426" s="4">
        <v>4</v>
      </c>
      <c r="N426" t="s">
        <v>91</v>
      </c>
      <c r="O426" s="4">
        <v>5</v>
      </c>
      <c r="P426" t="s">
        <v>72</v>
      </c>
      <c r="Q426" s="4">
        <v>3</v>
      </c>
      <c r="R426" t="s">
        <v>91</v>
      </c>
      <c r="S426" s="4">
        <v>3</v>
      </c>
      <c r="T426" t="s">
        <v>91</v>
      </c>
      <c r="U426" t="s">
        <v>92</v>
      </c>
      <c r="V426" t="s">
        <v>74</v>
      </c>
      <c r="W426" t="s">
        <v>75</v>
      </c>
      <c r="X426" t="s">
        <v>76</v>
      </c>
      <c r="Y426" t="s">
        <v>69</v>
      </c>
      <c r="Z426" s="4">
        <v>1</v>
      </c>
      <c r="AA426" t="s">
        <v>77</v>
      </c>
      <c r="AB426" s="4">
        <v>161</v>
      </c>
      <c r="AC426" s="4">
        <v>94</v>
      </c>
      <c r="AD426" s="4">
        <v>74</v>
      </c>
      <c r="AE426" s="4">
        <v>163</v>
      </c>
      <c r="AF426" s="4">
        <v>103</v>
      </c>
      <c r="AG426" s="4">
        <v>105</v>
      </c>
      <c r="AH426" s="4">
        <v>97</v>
      </c>
      <c r="AI426" s="4">
        <v>122</v>
      </c>
      <c r="AJ426" s="4">
        <v>56</v>
      </c>
      <c r="AK426" t="s">
        <v>78</v>
      </c>
      <c r="AL426" t="s">
        <v>79</v>
      </c>
      <c r="AM426" t="s">
        <v>108</v>
      </c>
      <c r="AN426" t="s">
        <v>109</v>
      </c>
      <c r="AO426" t="s">
        <v>82</v>
      </c>
      <c r="AP426" t="s">
        <v>85</v>
      </c>
      <c r="AQ426" t="s">
        <v>85</v>
      </c>
      <c r="AR426" t="s">
        <v>85</v>
      </c>
      <c r="AS426" t="s">
        <v>84</v>
      </c>
      <c r="AT426" t="s">
        <v>83</v>
      </c>
      <c r="AU426" t="s">
        <v>83</v>
      </c>
      <c r="AV426" t="s">
        <v>83</v>
      </c>
      <c r="AW426" s="4">
        <v>1</v>
      </c>
      <c r="AX426" s="4">
        <v>0</v>
      </c>
      <c r="AY426" s="4">
        <v>1</v>
      </c>
      <c r="AZ426" s="3">
        <v>1.63</v>
      </c>
      <c r="BA426" s="3">
        <v>2.6568999999999998</v>
      </c>
      <c r="BB426" s="3">
        <v>27.852007979223909</v>
      </c>
      <c r="BC426" t="s">
        <v>98</v>
      </c>
      <c r="BD426" t="s">
        <v>99</v>
      </c>
      <c r="BE426" s="4">
        <v>2</v>
      </c>
      <c r="BF426" t="s">
        <v>87</v>
      </c>
      <c r="BG426" s="1" t="e">
        <v>#NULL!</v>
      </c>
      <c r="BH426" s="4">
        <v>1</v>
      </c>
      <c r="BI426" t="s">
        <v>83</v>
      </c>
      <c r="BJ426" s="4">
        <v>2</v>
      </c>
      <c r="BK426" t="s">
        <v>88</v>
      </c>
    </row>
    <row r="427" spans="1:63" x14ac:dyDescent="0.35">
      <c r="A427" s="4">
        <v>46</v>
      </c>
      <c r="B427" s="4">
        <v>60</v>
      </c>
      <c r="C427" t="s">
        <v>121</v>
      </c>
      <c r="D427" t="s">
        <v>89</v>
      </c>
      <c r="E427" t="s">
        <v>104</v>
      </c>
      <c r="F427" t="s">
        <v>66</v>
      </c>
      <c r="G427" t="s">
        <v>67</v>
      </c>
      <c r="H427" s="2">
        <v>400</v>
      </c>
      <c r="I427" t="s">
        <v>68</v>
      </c>
      <c r="J427" t="s">
        <v>69</v>
      </c>
      <c r="K427" t="s">
        <v>69</v>
      </c>
      <c r="L427" t="s">
        <v>69</v>
      </c>
      <c r="M427" s="4">
        <v>5</v>
      </c>
      <c r="N427" t="s">
        <v>72</v>
      </c>
      <c r="O427" s="4">
        <v>5</v>
      </c>
      <c r="P427" t="s">
        <v>72</v>
      </c>
      <c r="Q427" s="4">
        <v>5</v>
      </c>
      <c r="R427" t="s">
        <v>72</v>
      </c>
      <c r="S427" s="4">
        <v>5</v>
      </c>
      <c r="T427" t="s">
        <v>72</v>
      </c>
      <c r="U427" t="s">
        <v>92</v>
      </c>
      <c r="V427" t="s">
        <v>93</v>
      </c>
      <c r="W427" t="s">
        <v>93</v>
      </c>
      <c r="X427" t="s">
        <v>94</v>
      </c>
      <c r="Y427" t="s">
        <v>69</v>
      </c>
      <c r="Z427" s="4">
        <v>4</v>
      </c>
      <c r="AA427" t="s">
        <v>77</v>
      </c>
      <c r="AB427" s="4">
        <v>133</v>
      </c>
      <c r="AC427" s="4">
        <v>83</v>
      </c>
      <c r="AD427" s="4">
        <v>81</v>
      </c>
      <c r="AE427" s="4">
        <v>171</v>
      </c>
      <c r="AF427" s="4">
        <v>90</v>
      </c>
      <c r="AG427" s="4">
        <v>117</v>
      </c>
      <c r="AH427" s="4">
        <v>161</v>
      </c>
      <c r="AI427" s="4">
        <v>104</v>
      </c>
      <c r="AJ427" s="4">
        <v>61</v>
      </c>
      <c r="AK427" t="s">
        <v>78</v>
      </c>
      <c r="AL427" t="s">
        <v>79</v>
      </c>
      <c r="AM427" t="s">
        <v>80</v>
      </c>
      <c r="AN427" t="s">
        <v>81</v>
      </c>
      <c r="AO427" t="s">
        <v>82</v>
      </c>
      <c r="AP427" t="s">
        <v>85</v>
      </c>
      <c r="AQ427" t="s">
        <v>85</v>
      </c>
      <c r="AR427" t="s">
        <v>85</v>
      </c>
      <c r="AS427" t="s">
        <v>102</v>
      </c>
      <c r="AT427" t="s">
        <v>85</v>
      </c>
      <c r="AU427" t="s">
        <v>83</v>
      </c>
      <c r="AV427" t="s">
        <v>83</v>
      </c>
      <c r="AW427" s="4">
        <v>2</v>
      </c>
      <c r="AX427" s="4">
        <v>1</v>
      </c>
      <c r="AY427" s="4">
        <v>2</v>
      </c>
      <c r="AZ427" s="3">
        <v>1.71</v>
      </c>
      <c r="BA427" s="3">
        <v>2.9240999999999997</v>
      </c>
      <c r="BB427" s="3">
        <v>27.70083102493075</v>
      </c>
      <c r="BC427" t="s">
        <v>98</v>
      </c>
      <c r="BD427" t="s">
        <v>99</v>
      </c>
      <c r="BE427" s="4">
        <v>3</v>
      </c>
      <c r="BF427" t="s">
        <v>111</v>
      </c>
      <c r="BG427" s="1" t="e">
        <v>#NULL!</v>
      </c>
      <c r="BH427" s="4">
        <v>1</v>
      </c>
      <c r="BI427" t="s">
        <v>83</v>
      </c>
      <c r="BJ427" s="4">
        <v>3</v>
      </c>
      <c r="BK427" t="s">
        <v>112</v>
      </c>
    </row>
    <row r="428" spans="1:63" x14ac:dyDescent="0.35">
      <c r="A428" s="4">
        <v>107</v>
      </c>
      <c r="B428" s="4">
        <v>60</v>
      </c>
      <c r="C428" t="s">
        <v>121</v>
      </c>
      <c r="D428" t="s">
        <v>89</v>
      </c>
      <c r="E428" t="s">
        <v>104</v>
      </c>
      <c r="F428" t="s">
        <v>115</v>
      </c>
      <c r="G428" t="s">
        <v>67</v>
      </c>
      <c r="H428" s="2">
        <v>500</v>
      </c>
      <c r="I428" t="s">
        <v>68</v>
      </c>
      <c r="J428" t="s">
        <v>69</v>
      </c>
      <c r="K428" t="s">
        <v>69</v>
      </c>
      <c r="L428" t="s">
        <v>69</v>
      </c>
      <c r="M428" s="4">
        <v>7</v>
      </c>
      <c r="N428" t="s">
        <v>72</v>
      </c>
      <c r="O428" s="4">
        <v>5</v>
      </c>
      <c r="P428" t="s">
        <v>72</v>
      </c>
      <c r="Q428" s="4">
        <v>7</v>
      </c>
      <c r="R428" t="s">
        <v>72</v>
      </c>
      <c r="S428" s="4">
        <v>5</v>
      </c>
      <c r="T428" t="s">
        <v>72</v>
      </c>
      <c r="U428" t="s">
        <v>92</v>
      </c>
      <c r="V428" t="s">
        <v>93</v>
      </c>
      <c r="W428" t="s">
        <v>93</v>
      </c>
      <c r="X428" t="s">
        <v>94</v>
      </c>
      <c r="Y428" t="s">
        <v>69</v>
      </c>
      <c r="Z428" s="4">
        <v>6</v>
      </c>
      <c r="AA428" t="s">
        <v>77</v>
      </c>
      <c r="AB428" s="4">
        <v>147</v>
      </c>
      <c r="AC428" s="4">
        <v>83</v>
      </c>
      <c r="AD428" s="4">
        <v>71</v>
      </c>
      <c r="AE428" s="4">
        <v>173</v>
      </c>
      <c r="AF428" s="4">
        <v>82</v>
      </c>
      <c r="AG428" s="4">
        <v>103</v>
      </c>
      <c r="AH428" s="4">
        <v>202</v>
      </c>
      <c r="AI428" s="4">
        <v>203</v>
      </c>
      <c r="AJ428" s="4">
        <v>33</v>
      </c>
      <c r="AK428" t="s">
        <v>107</v>
      </c>
      <c r="AL428" t="s">
        <v>79</v>
      </c>
      <c r="AM428" t="s">
        <v>80</v>
      </c>
      <c r="AN428" t="s">
        <v>81</v>
      </c>
      <c r="AO428" t="s">
        <v>82</v>
      </c>
      <c r="AP428" t="s">
        <v>83</v>
      </c>
      <c r="AQ428" t="s">
        <v>83</v>
      </c>
      <c r="AR428" t="s">
        <v>83</v>
      </c>
      <c r="AS428" t="s">
        <v>102</v>
      </c>
      <c r="AT428" t="s">
        <v>85</v>
      </c>
      <c r="AU428" t="s">
        <v>83</v>
      </c>
      <c r="AV428" t="s">
        <v>83</v>
      </c>
      <c r="AW428" s="4">
        <v>4</v>
      </c>
      <c r="AX428" s="4">
        <v>1</v>
      </c>
      <c r="AY428" s="4">
        <v>2</v>
      </c>
      <c r="AZ428" s="3">
        <v>1.73</v>
      </c>
      <c r="BA428" s="3">
        <v>2.9929000000000001</v>
      </c>
      <c r="BB428" s="3">
        <v>23.722810651876106</v>
      </c>
      <c r="BC428" t="s">
        <v>85</v>
      </c>
      <c r="BD428" t="s">
        <v>86</v>
      </c>
      <c r="BE428" s="4">
        <v>5</v>
      </c>
      <c r="BF428" t="s">
        <v>111</v>
      </c>
      <c r="BG428" s="1" t="e">
        <v>#NULL!</v>
      </c>
      <c r="BH428" s="4">
        <v>0</v>
      </c>
      <c r="BI428" t="s">
        <v>85</v>
      </c>
      <c r="BJ428" s="4">
        <v>4</v>
      </c>
      <c r="BK428" t="s">
        <v>112</v>
      </c>
    </row>
    <row r="429" spans="1:63" x14ac:dyDescent="0.35">
      <c r="A429" s="4">
        <v>113</v>
      </c>
      <c r="B429" s="4">
        <v>60</v>
      </c>
      <c r="C429" t="s">
        <v>121</v>
      </c>
      <c r="D429" t="s">
        <v>89</v>
      </c>
      <c r="E429" t="s">
        <v>104</v>
      </c>
      <c r="F429" t="s">
        <v>90</v>
      </c>
      <c r="G429" t="s">
        <v>67</v>
      </c>
      <c r="H429" s="2">
        <v>600</v>
      </c>
      <c r="I429" t="s">
        <v>105</v>
      </c>
      <c r="J429" t="s">
        <v>69</v>
      </c>
      <c r="K429" t="s">
        <v>69</v>
      </c>
      <c r="L429" t="s">
        <v>69</v>
      </c>
      <c r="M429" s="4">
        <v>2</v>
      </c>
      <c r="N429" t="s">
        <v>71</v>
      </c>
      <c r="O429" s="4">
        <v>5</v>
      </c>
      <c r="P429" t="s">
        <v>72</v>
      </c>
      <c r="Q429" s="4">
        <v>0</v>
      </c>
      <c r="R429" t="s">
        <v>71</v>
      </c>
      <c r="S429" s="4">
        <v>0</v>
      </c>
      <c r="T429" t="s">
        <v>71</v>
      </c>
      <c r="U429" t="s">
        <v>92</v>
      </c>
      <c r="V429" t="s">
        <v>93</v>
      </c>
      <c r="W429" t="s">
        <v>93</v>
      </c>
      <c r="X429" t="s">
        <v>94</v>
      </c>
      <c r="Y429" t="s">
        <v>69</v>
      </c>
      <c r="Z429" s="4">
        <v>10</v>
      </c>
      <c r="AA429" t="s">
        <v>117</v>
      </c>
      <c r="AB429" s="4">
        <v>148</v>
      </c>
      <c r="AC429" s="4">
        <v>90</v>
      </c>
      <c r="AD429" s="4">
        <v>106</v>
      </c>
      <c r="AE429" s="4">
        <v>169</v>
      </c>
      <c r="AF429" s="4">
        <v>110</v>
      </c>
      <c r="AG429" s="4">
        <v>132</v>
      </c>
      <c r="AH429" s="4">
        <v>196</v>
      </c>
      <c r="AI429" s="4">
        <v>139</v>
      </c>
      <c r="AJ429" s="4">
        <v>41</v>
      </c>
      <c r="AK429" t="s">
        <v>78</v>
      </c>
      <c r="AL429" t="s">
        <v>79</v>
      </c>
      <c r="AM429" t="s">
        <v>108</v>
      </c>
      <c r="AN429" t="s">
        <v>109</v>
      </c>
      <c r="AO429" t="s">
        <v>82</v>
      </c>
      <c r="AP429" t="s">
        <v>83</v>
      </c>
      <c r="AQ429" t="s">
        <v>85</v>
      </c>
      <c r="AR429" t="s">
        <v>83</v>
      </c>
      <c r="AS429" t="s">
        <v>102</v>
      </c>
      <c r="AT429" t="s">
        <v>83</v>
      </c>
      <c r="AU429" t="s">
        <v>83</v>
      </c>
      <c r="AV429" t="s">
        <v>83</v>
      </c>
      <c r="AW429" s="4">
        <v>3</v>
      </c>
      <c r="AX429" s="4">
        <v>1</v>
      </c>
      <c r="AY429" s="4">
        <v>2</v>
      </c>
      <c r="AZ429" s="3">
        <v>1.69</v>
      </c>
      <c r="BA429" s="3">
        <v>2.8560999999999996</v>
      </c>
      <c r="BB429" s="3">
        <v>37.113546444452233</v>
      </c>
      <c r="BC429" t="s">
        <v>110</v>
      </c>
      <c r="BD429" t="s">
        <v>99</v>
      </c>
      <c r="BE429" s="4">
        <v>4</v>
      </c>
      <c r="BF429" t="s">
        <v>111</v>
      </c>
      <c r="BG429" s="1" t="e">
        <v>#NULL!</v>
      </c>
      <c r="BH429" s="4">
        <v>1</v>
      </c>
      <c r="BI429" t="s">
        <v>83</v>
      </c>
      <c r="BJ429" s="4">
        <v>4</v>
      </c>
      <c r="BK429" t="s">
        <v>112</v>
      </c>
    </row>
    <row r="430" spans="1:63" x14ac:dyDescent="0.35">
      <c r="A430" s="4">
        <v>127</v>
      </c>
      <c r="B430" s="4">
        <v>60</v>
      </c>
      <c r="C430" t="s">
        <v>121</v>
      </c>
      <c r="D430" t="s">
        <v>89</v>
      </c>
      <c r="E430" t="s">
        <v>104</v>
      </c>
      <c r="F430" t="s">
        <v>90</v>
      </c>
      <c r="G430" t="s">
        <v>67</v>
      </c>
      <c r="H430" s="2">
        <v>1200</v>
      </c>
      <c r="I430" t="s">
        <v>116</v>
      </c>
      <c r="J430" t="s">
        <v>69</v>
      </c>
      <c r="K430" t="s">
        <v>69</v>
      </c>
      <c r="L430" t="s">
        <v>69</v>
      </c>
      <c r="M430" s="4">
        <v>3</v>
      </c>
      <c r="N430" t="s">
        <v>91</v>
      </c>
      <c r="O430" s="4">
        <v>3</v>
      </c>
      <c r="P430" t="s">
        <v>91</v>
      </c>
      <c r="Q430" s="4">
        <v>4</v>
      </c>
      <c r="R430" t="s">
        <v>91</v>
      </c>
      <c r="S430" s="4">
        <v>6</v>
      </c>
      <c r="T430" t="s">
        <v>72</v>
      </c>
      <c r="U430" t="s">
        <v>73</v>
      </c>
      <c r="V430" t="s">
        <v>93</v>
      </c>
      <c r="W430" t="s">
        <v>93</v>
      </c>
      <c r="X430" t="s">
        <v>94</v>
      </c>
      <c r="Y430" t="s">
        <v>69</v>
      </c>
      <c r="Z430" s="4">
        <v>4</v>
      </c>
      <c r="AA430" t="s">
        <v>77</v>
      </c>
      <c r="AB430" s="4">
        <v>182</v>
      </c>
      <c r="AC430" s="4">
        <v>104</v>
      </c>
      <c r="AD430" s="4">
        <v>73</v>
      </c>
      <c r="AE430" s="4">
        <v>159</v>
      </c>
      <c r="AF430" s="4">
        <v>106</v>
      </c>
      <c r="AG430" s="4">
        <v>123</v>
      </c>
      <c r="AH430" s="4">
        <v>132</v>
      </c>
      <c r="AI430" s="4">
        <v>73</v>
      </c>
      <c r="AJ430" s="4">
        <v>28</v>
      </c>
      <c r="AK430" t="s">
        <v>78</v>
      </c>
      <c r="AL430" t="s">
        <v>79</v>
      </c>
      <c r="AM430" t="s">
        <v>108</v>
      </c>
      <c r="AN430" t="s">
        <v>109</v>
      </c>
      <c r="AO430" t="s">
        <v>82</v>
      </c>
      <c r="AP430" t="s">
        <v>83</v>
      </c>
      <c r="AQ430" t="s">
        <v>83</v>
      </c>
      <c r="AR430" t="s">
        <v>83</v>
      </c>
      <c r="AS430" t="s">
        <v>102</v>
      </c>
      <c r="AT430" t="s">
        <v>83</v>
      </c>
      <c r="AU430" t="s">
        <v>83</v>
      </c>
      <c r="AV430" t="s">
        <v>83</v>
      </c>
      <c r="AW430" s="4">
        <v>3</v>
      </c>
      <c r="AX430" s="4">
        <v>1</v>
      </c>
      <c r="AY430" s="4">
        <v>2</v>
      </c>
      <c r="AZ430" s="3">
        <v>1.59</v>
      </c>
      <c r="BA430" s="3">
        <v>2.5281000000000002</v>
      </c>
      <c r="BB430" s="3">
        <v>28.875440053795337</v>
      </c>
      <c r="BC430" t="s">
        <v>98</v>
      </c>
      <c r="BD430" t="s">
        <v>99</v>
      </c>
      <c r="BE430" s="4">
        <v>4</v>
      </c>
      <c r="BF430" t="s">
        <v>111</v>
      </c>
      <c r="BG430" s="1" t="e">
        <v>#NULL!</v>
      </c>
      <c r="BH430" s="4">
        <v>1</v>
      </c>
      <c r="BI430" t="s">
        <v>83</v>
      </c>
      <c r="BJ430" s="4">
        <v>4</v>
      </c>
      <c r="BK430" t="s">
        <v>112</v>
      </c>
    </row>
    <row r="431" spans="1:63" x14ac:dyDescent="0.35">
      <c r="A431" s="4">
        <v>146</v>
      </c>
      <c r="B431" s="4">
        <v>60</v>
      </c>
      <c r="C431" t="s">
        <v>121</v>
      </c>
      <c r="D431" t="s">
        <v>89</v>
      </c>
      <c r="E431" t="s">
        <v>104</v>
      </c>
      <c r="F431" t="s">
        <v>90</v>
      </c>
      <c r="G431" t="s">
        <v>67</v>
      </c>
      <c r="H431" s="2">
        <v>200</v>
      </c>
      <c r="I431" t="s">
        <v>68</v>
      </c>
      <c r="J431" t="s">
        <v>69</v>
      </c>
      <c r="K431" t="s">
        <v>69</v>
      </c>
      <c r="L431" t="s">
        <v>69</v>
      </c>
      <c r="M431" s="4">
        <v>1</v>
      </c>
      <c r="N431" t="s">
        <v>71</v>
      </c>
      <c r="O431" s="4">
        <v>4</v>
      </c>
      <c r="P431" t="s">
        <v>91</v>
      </c>
      <c r="Q431" s="4">
        <v>2</v>
      </c>
      <c r="R431" t="s">
        <v>71</v>
      </c>
      <c r="S431" s="4">
        <v>1</v>
      </c>
      <c r="T431" t="s">
        <v>71</v>
      </c>
      <c r="U431" t="s">
        <v>92</v>
      </c>
      <c r="V431" t="s">
        <v>93</v>
      </c>
      <c r="W431" t="s">
        <v>93</v>
      </c>
      <c r="X431" t="s">
        <v>94</v>
      </c>
      <c r="Y431" t="s">
        <v>69</v>
      </c>
      <c r="Z431" s="4">
        <v>7</v>
      </c>
      <c r="AA431" t="s">
        <v>77</v>
      </c>
      <c r="AB431" s="4">
        <v>127</v>
      </c>
      <c r="AC431" s="4">
        <v>71</v>
      </c>
      <c r="AD431" s="4">
        <v>75</v>
      </c>
      <c r="AE431" s="4">
        <v>165</v>
      </c>
      <c r="AF431" s="4">
        <v>90</v>
      </c>
      <c r="AG431" s="4">
        <v>103</v>
      </c>
      <c r="AH431" s="4">
        <v>90</v>
      </c>
      <c r="AI431" s="4">
        <v>41</v>
      </c>
      <c r="AJ431" s="4">
        <v>50</v>
      </c>
      <c r="AK431" t="s">
        <v>78</v>
      </c>
      <c r="AL431" t="s">
        <v>95</v>
      </c>
      <c r="AM431" t="s">
        <v>80</v>
      </c>
      <c r="AN431" t="s">
        <v>96</v>
      </c>
      <c r="AO431" t="s">
        <v>97</v>
      </c>
      <c r="AP431" t="s">
        <v>85</v>
      </c>
      <c r="AQ431" t="s">
        <v>85</v>
      </c>
      <c r="AR431" t="s">
        <v>85</v>
      </c>
      <c r="AS431" t="s">
        <v>84</v>
      </c>
      <c r="AT431" t="s">
        <v>85</v>
      </c>
      <c r="AU431" t="s">
        <v>83</v>
      </c>
      <c r="AV431" t="s">
        <v>83</v>
      </c>
      <c r="AW431" s="4">
        <v>0</v>
      </c>
      <c r="AX431" s="4">
        <v>0</v>
      </c>
      <c r="AY431" s="4">
        <v>1</v>
      </c>
      <c r="AZ431" s="3">
        <v>1.65</v>
      </c>
      <c r="BA431" s="3">
        <v>2.7224999999999997</v>
      </c>
      <c r="BB431" s="3">
        <v>27.548209366391188</v>
      </c>
      <c r="BC431" t="s">
        <v>98</v>
      </c>
      <c r="BD431" t="s">
        <v>99</v>
      </c>
      <c r="BE431" s="4">
        <v>1</v>
      </c>
      <c r="BF431" t="s">
        <v>87</v>
      </c>
      <c r="BG431" s="1" t="e">
        <v>#NULL!</v>
      </c>
      <c r="BH431" s="4">
        <v>1</v>
      </c>
      <c r="BI431" t="s">
        <v>83</v>
      </c>
      <c r="BJ431" s="4">
        <v>1</v>
      </c>
      <c r="BK431" t="s">
        <v>88</v>
      </c>
    </row>
    <row r="432" spans="1:63" x14ac:dyDescent="0.35">
      <c r="A432" s="4">
        <v>151</v>
      </c>
      <c r="B432" s="4">
        <v>60</v>
      </c>
      <c r="C432" t="s">
        <v>121</v>
      </c>
      <c r="D432" t="s">
        <v>89</v>
      </c>
      <c r="E432" t="s">
        <v>104</v>
      </c>
      <c r="F432" t="s">
        <v>66</v>
      </c>
      <c r="G432" t="s">
        <v>67</v>
      </c>
      <c r="H432" s="2">
        <v>250</v>
      </c>
      <c r="I432" t="s">
        <v>68</v>
      </c>
      <c r="J432" t="s">
        <v>69</v>
      </c>
      <c r="K432" t="s">
        <v>69</v>
      </c>
      <c r="L432" t="s">
        <v>69</v>
      </c>
      <c r="M432" s="4">
        <v>2</v>
      </c>
      <c r="N432" t="s">
        <v>71</v>
      </c>
      <c r="O432" s="4">
        <v>2</v>
      </c>
      <c r="P432" t="s">
        <v>71</v>
      </c>
      <c r="Q432" s="4">
        <v>2</v>
      </c>
      <c r="R432" t="s">
        <v>71</v>
      </c>
      <c r="S432" s="4">
        <v>1</v>
      </c>
      <c r="T432" t="s">
        <v>71</v>
      </c>
      <c r="U432" t="s">
        <v>92</v>
      </c>
      <c r="V432" t="s">
        <v>93</v>
      </c>
      <c r="W432" t="s">
        <v>93</v>
      </c>
      <c r="X432" t="s">
        <v>94</v>
      </c>
      <c r="Y432" t="s">
        <v>69</v>
      </c>
      <c r="Z432" s="4">
        <v>6</v>
      </c>
      <c r="AA432" t="s">
        <v>77</v>
      </c>
      <c r="AB432" s="4">
        <v>178</v>
      </c>
      <c r="AC432" s="4">
        <v>107</v>
      </c>
      <c r="AD432" s="4">
        <v>42</v>
      </c>
      <c r="AE432" s="4">
        <v>153</v>
      </c>
      <c r="AF432" s="4">
        <v>69</v>
      </c>
      <c r="AG432" s="4">
        <v>84</v>
      </c>
      <c r="AH432" s="4">
        <v>92</v>
      </c>
      <c r="AI432" s="4">
        <v>82</v>
      </c>
      <c r="AJ432" s="4">
        <v>51</v>
      </c>
      <c r="AK432" t="s">
        <v>78</v>
      </c>
      <c r="AL432" t="s">
        <v>79</v>
      </c>
      <c r="AM432" t="s">
        <v>108</v>
      </c>
      <c r="AN432" t="s">
        <v>109</v>
      </c>
      <c r="AO432" t="s">
        <v>82</v>
      </c>
      <c r="AP432" t="s">
        <v>85</v>
      </c>
      <c r="AQ432" t="s">
        <v>85</v>
      </c>
      <c r="AR432" t="s">
        <v>85</v>
      </c>
      <c r="AS432" t="s">
        <v>84</v>
      </c>
      <c r="AT432" t="s">
        <v>85</v>
      </c>
      <c r="AU432" t="s">
        <v>85</v>
      </c>
      <c r="AV432" t="s">
        <v>85</v>
      </c>
      <c r="AW432" s="4">
        <v>1</v>
      </c>
      <c r="AX432" s="4">
        <v>0</v>
      </c>
      <c r="AY432" s="4">
        <v>0</v>
      </c>
      <c r="AZ432" s="3">
        <v>1.53</v>
      </c>
      <c r="BA432" s="3">
        <v>2.3409</v>
      </c>
      <c r="BB432" s="3">
        <v>17.941817249775728</v>
      </c>
      <c r="BC432" t="s">
        <v>100</v>
      </c>
      <c r="BD432" t="s">
        <v>86</v>
      </c>
      <c r="BE432" s="4">
        <v>1</v>
      </c>
      <c r="BF432" t="s">
        <v>87</v>
      </c>
      <c r="BG432" s="1" t="e">
        <v>#NULL!</v>
      </c>
      <c r="BH432" s="4">
        <v>0</v>
      </c>
      <c r="BI432" t="s">
        <v>85</v>
      </c>
      <c r="BJ432" s="4">
        <v>1</v>
      </c>
      <c r="BK432" t="s">
        <v>88</v>
      </c>
    </row>
    <row r="433" spans="1:63" x14ac:dyDescent="0.35">
      <c r="A433" s="4">
        <v>182</v>
      </c>
      <c r="B433" s="4">
        <v>60</v>
      </c>
      <c r="C433" t="s">
        <v>121</v>
      </c>
      <c r="D433" t="s">
        <v>64</v>
      </c>
      <c r="E433" t="s">
        <v>104</v>
      </c>
      <c r="F433" t="s">
        <v>66</v>
      </c>
      <c r="G433" t="s">
        <v>67</v>
      </c>
      <c r="H433" s="2">
        <v>600</v>
      </c>
      <c r="I433" t="s">
        <v>105</v>
      </c>
      <c r="J433" t="s">
        <v>70</v>
      </c>
      <c r="K433" t="s">
        <v>69</v>
      </c>
      <c r="L433" t="s">
        <v>69</v>
      </c>
      <c r="M433" s="4">
        <v>0</v>
      </c>
      <c r="N433" t="s">
        <v>71</v>
      </c>
      <c r="O433" s="4">
        <v>0</v>
      </c>
      <c r="P433" t="s">
        <v>71</v>
      </c>
      <c r="Q433" s="4">
        <v>2</v>
      </c>
      <c r="R433" t="s">
        <v>71</v>
      </c>
      <c r="S433" s="4">
        <v>2</v>
      </c>
      <c r="T433" t="s">
        <v>71</v>
      </c>
      <c r="U433" t="s">
        <v>92</v>
      </c>
      <c r="V433" t="s">
        <v>93</v>
      </c>
      <c r="W433" t="s">
        <v>93</v>
      </c>
      <c r="X433" t="s">
        <v>94</v>
      </c>
      <c r="Y433" t="s">
        <v>69</v>
      </c>
      <c r="Z433" s="4">
        <v>2</v>
      </c>
      <c r="AA433" t="s">
        <v>77</v>
      </c>
      <c r="AB433" s="4">
        <v>142</v>
      </c>
      <c r="AC433" s="4">
        <v>102</v>
      </c>
      <c r="AD433" s="4">
        <v>65</v>
      </c>
      <c r="AE433" s="4">
        <v>176</v>
      </c>
      <c r="AF433" s="4">
        <v>70</v>
      </c>
      <c r="AG433" s="4">
        <v>93</v>
      </c>
      <c r="AH433" s="4">
        <v>96</v>
      </c>
      <c r="AI433" s="4">
        <v>172</v>
      </c>
      <c r="AJ433" s="4">
        <v>43</v>
      </c>
      <c r="AK433" t="s">
        <v>107</v>
      </c>
      <c r="AL433" t="s">
        <v>79</v>
      </c>
      <c r="AM433" t="s">
        <v>108</v>
      </c>
      <c r="AN433" t="s">
        <v>109</v>
      </c>
      <c r="AO433" t="s">
        <v>82</v>
      </c>
      <c r="AP433" t="s">
        <v>83</v>
      </c>
      <c r="AQ433" t="s">
        <v>85</v>
      </c>
      <c r="AR433" t="s">
        <v>85</v>
      </c>
      <c r="AS433" t="s">
        <v>84</v>
      </c>
      <c r="AT433" t="s">
        <v>85</v>
      </c>
      <c r="AU433" t="s">
        <v>85</v>
      </c>
      <c r="AV433" t="s">
        <v>85</v>
      </c>
      <c r="AW433" s="4">
        <v>2</v>
      </c>
      <c r="AX433" s="4">
        <v>1</v>
      </c>
      <c r="AY433" s="4">
        <v>1</v>
      </c>
      <c r="AZ433" s="3">
        <v>1.76</v>
      </c>
      <c r="BA433" s="3">
        <v>3.0975999999999999</v>
      </c>
      <c r="BB433" s="3">
        <v>20.983987603305785</v>
      </c>
      <c r="BC433" t="s">
        <v>85</v>
      </c>
      <c r="BD433" t="s">
        <v>86</v>
      </c>
      <c r="BE433" s="4">
        <v>2</v>
      </c>
      <c r="BF433" t="s">
        <v>87</v>
      </c>
      <c r="BG433" s="4">
        <v>0</v>
      </c>
      <c r="BH433" s="1" t="e">
        <v>#NULL!</v>
      </c>
      <c r="BI433" t="s">
        <v>85</v>
      </c>
      <c r="BJ433" s="4">
        <v>2</v>
      </c>
      <c r="BK433" t="s">
        <v>88</v>
      </c>
    </row>
    <row r="434" spans="1:63" x14ac:dyDescent="0.35">
      <c r="A434" s="4">
        <v>184</v>
      </c>
      <c r="B434" s="4">
        <v>60</v>
      </c>
      <c r="C434" t="s">
        <v>121</v>
      </c>
      <c r="D434" t="s">
        <v>89</v>
      </c>
      <c r="E434" t="s">
        <v>104</v>
      </c>
      <c r="F434" t="s">
        <v>66</v>
      </c>
      <c r="G434" t="s">
        <v>67</v>
      </c>
      <c r="H434" s="2">
        <v>400</v>
      </c>
      <c r="I434" t="s">
        <v>68</v>
      </c>
      <c r="J434" t="s">
        <v>69</v>
      </c>
      <c r="K434" t="s">
        <v>69</v>
      </c>
      <c r="L434" t="s">
        <v>69</v>
      </c>
      <c r="M434" s="4">
        <v>2</v>
      </c>
      <c r="N434" t="s">
        <v>71</v>
      </c>
      <c r="O434" s="4">
        <v>2</v>
      </c>
      <c r="P434" t="s">
        <v>71</v>
      </c>
      <c r="Q434" s="4">
        <v>3</v>
      </c>
      <c r="R434" t="s">
        <v>91</v>
      </c>
      <c r="S434" s="4">
        <v>1</v>
      </c>
      <c r="T434" t="s">
        <v>71</v>
      </c>
      <c r="U434" t="s">
        <v>73</v>
      </c>
      <c r="V434" t="s">
        <v>93</v>
      </c>
      <c r="W434" t="s">
        <v>93</v>
      </c>
      <c r="X434" t="s">
        <v>94</v>
      </c>
      <c r="Y434" t="s">
        <v>69</v>
      </c>
      <c r="Z434" s="4">
        <v>4</v>
      </c>
      <c r="AA434" t="s">
        <v>77</v>
      </c>
      <c r="AB434" s="4">
        <v>120</v>
      </c>
      <c r="AC434" s="4">
        <v>85</v>
      </c>
      <c r="AD434" s="4">
        <v>71</v>
      </c>
      <c r="AE434" s="4">
        <v>165</v>
      </c>
      <c r="AF434" s="4">
        <v>111</v>
      </c>
      <c r="AG434" s="4">
        <v>107</v>
      </c>
      <c r="AH434" s="4">
        <v>246</v>
      </c>
      <c r="AI434" s="4">
        <v>70</v>
      </c>
      <c r="AJ434" s="4">
        <v>40</v>
      </c>
      <c r="AK434" t="s">
        <v>78</v>
      </c>
      <c r="AL434" t="s">
        <v>95</v>
      </c>
      <c r="AM434" t="s">
        <v>108</v>
      </c>
      <c r="AN434" t="s">
        <v>81</v>
      </c>
      <c r="AO434" t="s">
        <v>82</v>
      </c>
      <c r="AP434" t="s">
        <v>83</v>
      </c>
      <c r="AQ434" t="s">
        <v>85</v>
      </c>
      <c r="AR434" t="s">
        <v>83</v>
      </c>
      <c r="AS434" t="s">
        <v>102</v>
      </c>
      <c r="AT434" t="s">
        <v>83</v>
      </c>
      <c r="AU434" t="s">
        <v>83</v>
      </c>
      <c r="AV434" t="s">
        <v>83</v>
      </c>
      <c r="AW434" s="4">
        <v>3</v>
      </c>
      <c r="AX434" s="4">
        <v>1</v>
      </c>
      <c r="AY434" s="4">
        <v>2</v>
      </c>
      <c r="AZ434" s="3">
        <v>1.65</v>
      </c>
      <c r="BA434" s="3">
        <v>2.7224999999999997</v>
      </c>
      <c r="BB434" s="3">
        <v>26.078971533516992</v>
      </c>
      <c r="BC434" t="s">
        <v>98</v>
      </c>
      <c r="BD434" t="s">
        <v>99</v>
      </c>
      <c r="BE434" s="4">
        <v>4</v>
      </c>
      <c r="BF434" t="s">
        <v>111</v>
      </c>
      <c r="BG434" s="1" t="e">
        <v>#NULL!</v>
      </c>
      <c r="BH434" s="4">
        <v>1</v>
      </c>
      <c r="BI434" t="s">
        <v>83</v>
      </c>
      <c r="BJ434" s="4">
        <v>4</v>
      </c>
      <c r="BK434" t="s">
        <v>112</v>
      </c>
    </row>
    <row r="435" spans="1:63" x14ac:dyDescent="0.35">
      <c r="A435" s="4">
        <v>189</v>
      </c>
      <c r="B435" s="4">
        <v>60</v>
      </c>
      <c r="C435" t="s">
        <v>121</v>
      </c>
      <c r="D435" t="s">
        <v>89</v>
      </c>
      <c r="E435" t="s">
        <v>104</v>
      </c>
      <c r="F435" t="s">
        <v>115</v>
      </c>
      <c r="G435" t="s">
        <v>67</v>
      </c>
      <c r="H435" s="2">
        <v>500</v>
      </c>
      <c r="I435" t="s">
        <v>68</v>
      </c>
      <c r="J435" t="s">
        <v>69</v>
      </c>
      <c r="K435" t="s">
        <v>69</v>
      </c>
      <c r="L435" t="s">
        <v>69</v>
      </c>
      <c r="M435" s="4">
        <v>7</v>
      </c>
      <c r="N435" t="s">
        <v>72</v>
      </c>
      <c r="O435" s="4">
        <v>4</v>
      </c>
      <c r="P435" t="s">
        <v>91</v>
      </c>
      <c r="Q435" s="4">
        <v>7</v>
      </c>
      <c r="R435" t="s">
        <v>72</v>
      </c>
      <c r="S435" s="4">
        <v>3</v>
      </c>
      <c r="T435" t="s">
        <v>91</v>
      </c>
      <c r="U435" t="s">
        <v>73</v>
      </c>
      <c r="V435" t="s">
        <v>93</v>
      </c>
      <c r="W435" t="s">
        <v>93</v>
      </c>
      <c r="X435" t="s">
        <v>94</v>
      </c>
      <c r="Y435" t="s">
        <v>69</v>
      </c>
      <c r="Z435" s="4">
        <v>4</v>
      </c>
      <c r="AA435" t="s">
        <v>77</v>
      </c>
      <c r="AB435" s="4">
        <v>162</v>
      </c>
      <c r="AC435" s="4">
        <v>89</v>
      </c>
      <c r="AD435" s="4">
        <v>64</v>
      </c>
      <c r="AE435" s="4">
        <v>156</v>
      </c>
      <c r="AF435" s="4">
        <v>77</v>
      </c>
      <c r="AG435" s="4">
        <v>103</v>
      </c>
      <c r="AH435" s="4">
        <v>95</v>
      </c>
      <c r="AI435" s="4">
        <v>47</v>
      </c>
      <c r="AJ435" s="4">
        <v>63</v>
      </c>
      <c r="AK435" t="s">
        <v>78</v>
      </c>
      <c r="AL435" t="s">
        <v>79</v>
      </c>
      <c r="AM435" t="s">
        <v>108</v>
      </c>
      <c r="AN435" t="s">
        <v>109</v>
      </c>
      <c r="AO435" t="s">
        <v>82</v>
      </c>
      <c r="AP435" t="s">
        <v>85</v>
      </c>
      <c r="AQ435" t="s">
        <v>85</v>
      </c>
      <c r="AR435" t="s">
        <v>85</v>
      </c>
      <c r="AS435" t="s">
        <v>84</v>
      </c>
      <c r="AT435" t="s">
        <v>85</v>
      </c>
      <c r="AU435" t="s">
        <v>85</v>
      </c>
      <c r="AV435" t="s">
        <v>85</v>
      </c>
      <c r="AW435" s="4">
        <v>1</v>
      </c>
      <c r="AX435" s="4">
        <v>0</v>
      </c>
      <c r="AY435" s="4">
        <v>0</v>
      </c>
      <c r="AZ435" s="3">
        <v>1.56</v>
      </c>
      <c r="BA435" s="3">
        <v>2.4336000000000002</v>
      </c>
      <c r="BB435" s="3">
        <v>26.298487836949374</v>
      </c>
      <c r="BC435" t="s">
        <v>98</v>
      </c>
      <c r="BD435" t="s">
        <v>99</v>
      </c>
      <c r="BE435" s="4">
        <v>1</v>
      </c>
      <c r="BF435" t="s">
        <v>87</v>
      </c>
      <c r="BG435" s="1" t="e">
        <v>#NULL!</v>
      </c>
      <c r="BH435" s="4">
        <v>0</v>
      </c>
      <c r="BI435" t="s">
        <v>85</v>
      </c>
      <c r="BJ435" s="4">
        <v>1</v>
      </c>
      <c r="BK435" t="s">
        <v>88</v>
      </c>
    </row>
    <row r="436" spans="1:63" x14ac:dyDescent="0.35">
      <c r="A436" s="4">
        <v>230</v>
      </c>
      <c r="B436" s="4">
        <v>60</v>
      </c>
      <c r="C436" t="s">
        <v>121</v>
      </c>
      <c r="D436" t="s">
        <v>64</v>
      </c>
      <c r="E436" t="s">
        <v>113</v>
      </c>
      <c r="F436" t="s">
        <v>66</v>
      </c>
      <c r="G436" t="s">
        <v>67</v>
      </c>
      <c r="H436" s="2">
        <v>600</v>
      </c>
      <c r="I436" t="s">
        <v>105</v>
      </c>
      <c r="J436" t="s">
        <v>69</v>
      </c>
      <c r="K436" t="s">
        <v>69</v>
      </c>
      <c r="L436" t="s">
        <v>69</v>
      </c>
      <c r="M436" s="4">
        <v>6</v>
      </c>
      <c r="N436" t="s">
        <v>72</v>
      </c>
      <c r="O436" s="4">
        <v>5</v>
      </c>
      <c r="P436" t="s">
        <v>72</v>
      </c>
      <c r="Q436" s="4">
        <v>6</v>
      </c>
      <c r="R436" t="s">
        <v>72</v>
      </c>
      <c r="S436" s="4">
        <v>6</v>
      </c>
      <c r="T436" t="s">
        <v>72</v>
      </c>
      <c r="U436" t="s">
        <v>92</v>
      </c>
      <c r="V436" t="s">
        <v>93</v>
      </c>
      <c r="W436" t="s">
        <v>93</v>
      </c>
      <c r="X436" t="s">
        <v>94</v>
      </c>
      <c r="Y436" t="s">
        <v>69</v>
      </c>
      <c r="Z436" s="4">
        <v>4</v>
      </c>
      <c r="AA436" t="s">
        <v>77</v>
      </c>
      <c r="AB436" s="4">
        <v>98</v>
      </c>
      <c r="AC436" s="4">
        <v>72</v>
      </c>
      <c r="AD436" s="4">
        <v>78</v>
      </c>
      <c r="AE436" s="4">
        <v>176</v>
      </c>
      <c r="AF436" s="4">
        <v>84</v>
      </c>
      <c r="AG436" s="4">
        <v>90</v>
      </c>
      <c r="AH436" s="4">
        <v>88</v>
      </c>
      <c r="AI436" s="4">
        <v>140</v>
      </c>
      <c r="AJ436" s="4">
        <v>50</v>
      </c>
      <c r="AK436" t="s">
        <v>78</v>
      </c>
      <c r="AL436" t="s">
        <v>95</v>
      </c>
      <c r="AM436" t="s">
        <v>80</v>
      </c>
      <c r="AN436" t="s">
        <v>96</v>
      </c>
      <c r="AO436" t="s">
        <v>97</v>
      </c>
      <c r="AP436" t="s">
        <v>85</v>
      </c>
      <c r="AQ436" t="s">
        <v>85</v>
      </c>
      <c r="AR436" t="s">
        <v>85</v>
      </c>
      <c r="AS436" t="s">
        <v>84</v>
      </c>
      <c r="AT436" t="s">
        <v>85</v>
      </c>
      <c r="AU436" t="s">
        <v>83</v>
      </c>
      <c r="AV436" t="s">
        <v>85</v>
      </c>
      <c r="AW436" s="4">
        <v>0</v>
      </c>
      <c r="AX436" s="4">
        <v>0</v>
      </c>
      <c r="AY436" s="4">
        <v>0</v>
      </c>
      <c r="AZ436" s="3">
        <v>1.76</v>
      </c>
      <c r="BA436" s="3">
        <v>3.0975999999999999</v>
      </c>
      <c r="BB436" s="3">
        <v>25.180785123966942</v>
      </c>
      <c r="BC436" t="s">
        <v>98</v>
      </c>
      <c r="BD436" t="s">
        <v>99</v>
      </c>
      <c r="BE436" s="4">
        <v>0</v>
      </c>
      <c r="BF436" t="s">
        <v>87</v>
      </c>
      <c r="BG436" s="4">
        <v>0</v>
      </c>
      <c r="BH436" s="1" t="e">
        <v>#NULL!</v>
      </c>
      <c r="BI436" t="s">
        <v>85</v>
      </c>
      <c r="BJ436" s="4">
        <v>0</v>
      </c>
      <c r="BK436" t="s">
        <v>88</v>
      </c>
    </row>
    <row r="437" spans="1:63" x14ac:dyDescent="0.35">
      <c r="A437" s="4">
        <v>70</v>
      </c>
      <c r="B437" s="4">
        <v>60</v>
      </c>
      <c r="C437" t="s">
        <v>121</v>
      </c>
      <c r="D437" t="s">
        <v>89</v>
      </c>
      <c r="E437" t="s">
        <v>104</v>
      </c>
      <c r="F437" t="s">
        <v>115</v>
      </c>
      <c r="G437" t="s">
        <v>67</v>
      </c>
      <c r="H437" s="2">
        <v>400</v>
      </c>
      <c r="I437" t="s">
        <v>68</v>
      </c>
      <c r="J437" t="s">
        <v>69</v>
      </c>
      <c r="K437" t="s">
        <v>69</v>
      </c>
      <c r="L437" t="s">
        <v>69</v>
      </c>
      <c r="M437" s="4">
        <v>3</v>
      </c>
      <c r="N437" t="s">
        <v>91</v>
      </c>
      <c r="O437" s="4">
        <v>3</v>
      </c>
      <c r="P437" t="s">
        <v>91</v>
      </c>
      <c r="Q437" s="4">
        <v>4</v>
      </c>
      <c r="R437" t="s">
        <v>91</v>
      </c>
      <c r="S437" s="4">
        <v>4</v>
      </c>
      <c r="T437" t="s">
        <v>91</v>
      </c>
      <c r="U437" t="s">
        <v>73</v>
      </c>
      <c r="V437" t="s">
        <v>74</v>
      </c>
      <c r="W437" t="s">
        <v>93</v>
      </c>
      <c r="X437" t="s">
        <v>94</v>
      </c>
      <c r="Y437" t="s">
        <v>69</v>
      </c>
      <c r="Z437" s="4">
        <v>3</v>
      </c>
      <c r="AA437" t="s">
        <v>77</v>
      </c>
      <c r="AB437" s="4">
        <v>135</v>
      </c>
      <c r="AC437" s="4">
        <v>86</v>
      </c>
      <c r="AD437" s="4">
        <v>63</v>
      </c>
      <c r="AE437" s="4">
        <v>165</v>
      </c>
      <c r="AF437" s="4">
        <v>80</v>
      </c>
      <c r="AG437" s="4">
        <v>107</v>
      </c>
      <c r="AH437" s="4">
        <v>100</v>
      </c>
      <c r="AI437" s="4">
        <v>107</v>
      </c>
      <c r="AJ437" s="4">
        <v>42</v>
      </c>
      <c r="AK437" t="s">
        <v>78</v>
      </c>
      <c r="AL437" t="s">
        <v>79</v>
      </c>
      <c r="AM437" t="s">
        <v>108</v>
      </c>
      <c r="AN437" t="s">
        <v>109</v>
      </c>
      <c r="AO437" t="s">
        <v>82</v>
      </c>
      <c r="AP437" t="s">
        <v>83</v>
      </c>
      <c r="AQ437" t="s">
        <v>85</v>
      </c>
      <c r="AR437" t="s">
        <v>83</v>
      </c>
      <c r="AS437" t="s">
        <v>102</v>
      </c>
      <c r="AT437" t="s">
        <v>85</v>
      </c>
      <c r="AU437" t="s">
        <v>83</v>
      </c>
      <c r="AV437" t="s">
        <v>83</v>
      </c>
      <c r="AW437" s="4">
        <v>3</v>
      </c>
      <c r="AX437" s="4">
        <v>1</v>
      </c>
      <c r="AY437" s="4">
        <v>2</v>
      </c>
      <c r="AZ437" s="3">
        <v>1.65</v>
      </c>
      <c r="BA437" s="3">
        <v>2.7224999999999997</v>
      </c>
      <c r="BB437" s="3">
        <v>23.140495867768596</v>
      </c>
      <c r="BC437" t="s">
        <v>85</v>
      </c>
      <c r="BD437" t="s">
        <v>86</v>
      </c>
      <c r="BE437" s="4">
        <v>4</v>
      </c>
      <c r="BF437" t="s">
        <v>111</v>
      </c>
      <c r="BG437" s="1" t="e">
        <v>#NULL!</v>
      </c>
      <c r="BH437" s="4">
        <v>0</v>
      </c>
      <c r="BI437" t="s">
        <v>85</v>
      </c>
      <c r="BJ437" s="4">
        <v>3</v>
      </c>
      <c r="BK437" t="s">
        <v>112</v>
      </c>
    </row>
    <row r="438" spans="1:63" x14ac:dyDescent="0.35">
      <c r="A438" s="4">
        <v>335</v>
      </c>
      <c r="B438" s="4">
        <v>61</v>
      </c>
      <c r="C438" t="s">
        <v>121</v>
      </c>
      <c r="D438" t="s">
        <v>89</v>
      </c>
      <c r="E438" t="s">
        <v>104</v>
      </c>
      <c r="F438" t="s">
        <v>90</v>
      </c>
      <c r="G438" t="s">
        <v>67</v>
      </c>
      <c r="H438" s="2">
        <v>600</v>
      </c>
      <c r="I438" t="s">
        <v>105</v>
      </c>
      <c r="J438" t="s">
        <v>69</v>
      </c>
      <c r="K438" t="s">
        <v>69</v>
      </c>
      <c r="L438" t="s">
        <v>69</v>
      </c>
      <c r="M438" s="4">
        <v>2</v>
      </c>
      <c r="N438" t="s">
        <v>71</v>
      </c>
      <c r="O438" s="4">
        <v>5</v>
      </c>
      <c r="P438" t="s">
        <v>72</v>
      </c>
      <c r="Q438" s="4">
        <v>0</v>
      </c>
      <c r="R438" t="s">
        <v>71</v>
      </c>
      <c r="S438" s="4">
        <v>0</v>
      </c>
      <c r="T438" t="s">
        <v>71</v>
      </c>
      <c r="U438" t="s">
        <v>92</v>
      </c>
      <c r="V438" t="s">
        <v>93</v>
      </c>
      <c r="W438" t="s">
        <v>93</v>
      </c>
      <c r="X438" t="s">
        <v>94</v>
      </c>
      <c r="Y438" t="s">
        <v>69</v>
      </c>
      <c r="Z438" s="4">
        <v>10</v>
      </c>
      <c r="AA438" t="s">
        <v>117</v>
      </c>
      <c r="AB438" s="4">
        <v>148</v>
      </c>
      <c r="AC438" s="4">
        <v>90</v>
      </c>
      <c r="AD438" s="4">
        <v>106</v>
      </c>
      <c r="AE438" s="4">
        <v>169</v>
      </c>
      <c r="AF438" s="4">
        <v>110</v>
      </c>
      <c r="AG438" s="4">
        <v>132</v>
      </c>
      <c r="AH438" s="4">
        <v>196</v>
      </c>
      <c r="AI438" s="4">
        <v>139</v>
      </c>
      <c r="AJ438" s="4">
        <v>41</v>
      </c>
      <c r="AK438" t="s">
        <v>78</v>
      </c>
      <c r="AL438" t="s">
        <v>79</v>
      </c>
      <c r="AM438" t="s">
        <v>108</v>
      </c>
      <c r="AN438" t="s">
        <v>109</v>
      </c>
      <c r="AO438" t="s">
        <v>82</v>
      </c>
      <c r="AP438" t="s">
        <v>83</v>
      </c>
      <c r="AQ438" t="s">
        <v>85</v>
      </c>
      <c r="AR438" t="s">
        <v>83</v>
      </c>
      <c r="AS438" t="s">
        <v>102</v>
      </c>
      <c r="AT438" t="s">
        <v>83</v>
      </c>
      <c r="AU438" t="s">
        <v>83</v>
      </c>
      <c r="AV438" t="s">
        <v>83</v>
      </c>
      <c r="AW438" s="4">
        <v>3</v>
      </c>
      <c r="AX438" s="4">
        <v>1</v>
      </c>
      <c r="AY438" s="4">
        <v>2</v>
      </c>
      <c r="AZ438" s="3">
        <v>1.69</v>
      </c>
      <c r="BA438" s="3">
        <v>2.8560999999999996</v>
      </c>
      <c r="BB438" s="3">
        <v>37.113546444452233</v>
      </c>
      <c r="BC438" t="s">
        <v>110</v>
      </c>
      <c r="BD438" t="s">
        <v>99</v>
      </c>
      <c r="BE438" s="4">
        <v>4</v>
      </c>
      <c r="BF438" t="s">
        <v>111</v>
      </c>
      <c r="BG438" s="1" t="e">
        <v>#NULL!</v>
      </c>
      <c r="BH438" s="4">
        <v>1</v>
      </c>
      <c r="BI438" t="s">
        <v>83</v>
      </c>
      <c r="BJ438" s="4">
        <v>4</v>
      </c>
      <c r="BK438" t="s">
        <v>112</v>
      </c>
    </row>
    <row r="439" spans="1:63" x14ac:dyDescent="0.35">
      <c r="A439" s="4">
        <v>252</v>
      </c>
      <c r="B439" s="4">
        <v>61</v>
      </c>
      <c r="C439" t="s">
        <v>121</v>
      </c>
      <c r="D439" t="s">
        <v>64</v>
      </c>
      <c r="E439" t="s">
        <v>104</v>
      </c>
      <c r="F439" t="s">
        <v>66</v>
      </c>
      <c r="G439" t="s">
        <v>67</v>
      </c>
      <c r="H439" s="2">
        <v>300</v>
      </c>
      <c r="I439" t="s">
        <v>68</v>
      </c>
      <c r="J439" t="s">
        <v>69</v>
      </c>
      <c r="K439" t="s">
        <v>69</v>
      </c>
      <c r="L439" t="s">
        <v>69</v>
      </c>
      <c r="M439" s="4">
        <v>4</v>
      </c>
      <c r="N439" t="s">
        <v>91</v>
      </c>
      <c r="O439" s="4">
        <v>3</v>
      </c>
      <c r="P439" t="s">
        <v>91</v>
      </c>
      <c r="Q439" s="4">
        <v>3</v>
      </c>
      <c r="R439" t="s">
        <v>91</v>
      </c>
      <c r="S439" s="4">
        <v>3</v>
      </c>
      <c r="T439" t="s">
        <v>91</v>
      </c>
      <c r="U439" t="s">
        <v>92</v>
      </c>
      <c r="V439" t="s">
        <v>74</v>
      </c>
      <c r="W439" t="s">
        <v>93</v>
      </c>
      <c r="X439" t="s">
        <v>94</v>
      </c>
      <c r="Y439" t="s">
        <v>69</v>
      </c>
      <c r="Z439" s="4">
        <v>1</v>
      </c>
      <c r="AA439" t="s">
        <v>77</v>
      </c>
      <c r="AB439" s="4">
        <v>133</v>
      </c>
      <c r="AC439" s="4">
        <v>93</v>
      </c>
      <c r="AD439" s="4">
        <v>95</v>
      </c>
      <c r="AE439" s="4">
        <v>186</v>
      </c>
      <c r="AF439" s="4">
        <v>88</v>
      </c>
      <c r="AG439" s="4">
        <v>97</v>
      </c>
      <c r="AH439" s="4">
        <v>92</v>
      </c>
      <c r="AI439" s="4">
        <v>108</v>
      </c>
      <c r="AJ439" s="4">
        <v>37</v>
      </c>
      <c r="AK439" t="s">
        <v>78</v>
      </c>
      <c r="AL439" t="s">
        <v>79</v>
      </c>
      <c r="AM439" t="s">
        <v>108</v>
      </c>
      <c r="AN439" t="s">
        <v>109</v>
      </c>
      <c r="AO439" t="s">
        <v>82</v>
      </c>
      <c r="AP439" t="s">
        <v>83</v>
      </c>
      <c r="AQ439" t="s">
        <v>83</v>
      </c>
      <c r="AR439" t="s">
        <v>83</v>
      </c>
      <c r="AS439" t="s">
        <v>84</v>
      </c>
      <c r="AT439" t="s">
        <v>85</v>
      </c>
      <c r="AU439" t="s">
        <v>83</v>
      </c>
      <c r="AV439" t="s">
        <v>85</v>
      </c>
      <c r="AW439" s="4">
        <v>2</v>
      </c>
      <c r="AX439" s="4">
        <v>1</v>
      </c>
      <c r="AY439" s="4">
        <v>1</v>
      </c>
      <c r="AZ439" s="3">
        <v>1.86</v>
      </c>
      <c r="BA439" s="3">
        <v>3.4596000000000005</v>
      </c>
      <c r="BB439" s="3">
        <v>27.459821944733491</v>
      </c>
      <c r="BC439" t="s">
        <v>98</v>
      </c>
      <c r="BD439" t="s">
        <v>99</v>
      </c>
      <c r="BE439" s="4">
        <v>2</v>
      </c>
      <c r="BF439" t="s">
        <v>87</v>
      </c>
      <c r="BG439" s="4">
        <v>0</v>
      </c>
      <c r="BH439" s="1" t="e">
        <v>#NULL!</v>
      </c>
      <c r="BI439" t="s">
        <v>85</v>
      </c>
      <c r="BJ439" s="4">
        <v>2</v>
      </c>
      <c r="BK439" t="s">
        <v>88</v>
      </c>
    </row>
    <row r="440" spans="1:63" x14ac:dyDescent="0.35">
      <c r="A440" s="4">
        <v>256</v>
      </c>
      <c r="B440" s="4">
        <v>61</v>
      </c>
      <c r="C440" t="s">
        <v>121</v>
      </c>
      <c r="D440" t="s">
        <v>89</v>
      </c>
      <c r="E440" t="s">
        <v>104</v>
      </c>
      <c r="F440" t="s">
        <v>115</v>
      </c>
      <c r="G440" t="s">
        <v>67</v>
      </c>
      <c r="H440" s="2">
        <v>400</v>
      </c>
      <c r="I440" t="s">
        <v>68</v>
      </c>
      <c r="J440" t="s">
        <v>69</v>
      </c>
      <c r="K440" t="s">
        <v>69</v>
      </c>
      <c r="L440" t="s">
        <v>69</v>
      </c>
      <c r="M440" s="4">
        <v>3</v>
      </c>
      <c r="N440" t="s">
        <v>91</v>
      </c>
      <c r="O440" s="4">
        <v>3</v>
      </c>
      <c r="P440" t="s">
        <v>91</v>
      </c>
      <c r="Q440" s="4">
        <v>4</v>
      </c>
      <c r="R440" t="s">
        <v>91</v>
      </c>
      <c r="S440" s="4">
        <v>4</v>
      </c>
      <c r="T440" t="s">
        <v>91</v>
      </c>
      <c r="U440" t="s">
        <v>73</v>
      </c>
      <c r="V440" t="s">
        <v>74</v>
      </c>
      <c r="W440" t="s">
        <v>93</v>
      </c>
      <c r="X440" t="s">
        <v>94</v>
      </c>
      <c r="Y440" t="s">
        <v>69</v>
      </c>
      <c r="Z440" s="4">
        <v>3</v>
      </c>
      <c r="AA440" t="s">
        <v>77</v>
      </c>
      <c r="AB440" s="4">
        <v>135</v>
      </c>
      <c r="AC440" s="4">
        <v>86</v>
      </c>
      <c r="AD440" s="4">
        <v>63</v>
      </c>
      <c r="AE440" s="4">
        <v>165</v>
      </c>
      <c r="AF440" s="4">
        <v>80</v>
      </c>
      <c r="AG440" s="4">
        <v>107</v>
      </c>
      <c r="AH440" s="4">
        <v>101</v>
      </c>
      <c r="AI440" s="4">
        <v>107</v>
      </c>
      <c r="AJ440" s="4">
        <v>42</v>
      </c>
      <c r="AK440" t="s">
        <v>78</v>
      </c>
      <c r="AL440" t="s">
        <v>79</v>
      </c>
      <c r="AM440" t="s">
        <v>108</v>
      </c>
      <c r="AN440" t="s">
        <v>109</v>
      </c>
      <c r="AO440" t="s">
        <v>82</v>
      </c>
      <c r="AP440" t="s">
        <v>83</v>
      </c>
      <c r="AQ440" t="s">
        <v>85</v>
      </c>
      <c r="AR440" t="s">
        <v>83</v>
      </c>
      <c r="AS440" t="s">
        <v>102</v>
      </c>
      <c r="AT440" t="s">
        <v>85</v>
      </c>
      <c r="AU440" t="s">
        <v>83</v>
      </c>
      <c r="AV440" t="s">
        <v>83</v>
      </c>
      <c r="AW440" s="4">
        <v>3</v>
      </c>
      <c r="AX440" s="4">
        <v>1</v>
      </c>
      <c r="AY440" s="4">
        <v>2</v>
      </c>
      <c r="AZ440" s="3">
        <v>1.65</v>
      </c>
      <c r="BA440" s="3">
        <v>2.7224999999999997</v>
      </c>
      <c r="BB440" s="3">
        <v>23.140495867768596</v>
      </c>
      <c r="BC440" t="s">
        <v>85</v>
      </c>
      <c r="BD440" t="s">
        <v>86</v>
      </c>
      <c r="BE440" s="4">
        <v>4</v>
      </c>
      <c r="BF440" t="s">
        <v>111</v>
      </c>
      <c r="BG440" s="1" t="e">
        <v>#NULL!</v>
      </c>
      <c r="BH440" s="4">
        <v>0</v>
      </c>
      <c r="BI440" t="s">
        <v>85</v>
      </c>
      <c r="BJ440" s="4">
        <v>3</v>
      </c>
      <c r="BK440" t="s">
        <v>112</v>
      </c>
    </row>
    <row r="441" spans="1:63" x14ac:dyDescent="0.35">
      <c r="A441" s="4">
        <v>272</v>
      </c>
      <c r="B441" s="4">
        <v>61</v>
      </c>
      <c r="C441" t="s">
        <v>121</v>
      </c>
      <c r="D441" t="s">
        <v>64</v>
      </c>
      <c r="E441" t="s">
        <v>104</v>
      </c>
      <c r="F441" t="s">
        <v>66</v>
      </c>
      <c r="G441" t="s">
        <v>67</v>
      </c>
      <c r="H441" s="2">
        <v>600</v>
      </c>
      <c r="I441" t="s">
        <v>105</v>
      </c>
      <c r="J441" t="s">
        <v>69</v>
      </c>
      <c r="K441" t="s">
        <v>69</v>
      </c>
      <c r="L441" t="s">
        <v>69</v>
      </c>
      <c r="M441" s="4">
        <v>6</v>
      </c>
      <c r="N441" t="s">
        <v>72</v>
      </c>
      <c r="O441" s="4">
        <v>5</v>
      </c>
      <c r="P441" t="s">
        <v>72</v>
      </c>
      <c r="Q441" s="4">
        <v>6</v>
      </c>
      <c r="R441" t="s">
        <v>72</v>
      </c>
      <c r="S441" s="4">
        <v>6</v>
      </c>
      <c r="T441" t="s">
        <v>72</v>
      </c>
      <c r="U441" t="s">
        <v>92</v>
      </c>
      <c r="V441" t="s">
        <v>93</v>
      </c>
      <c r="W441" t="s">
        <v>93</v>
      </c>
      <c r="X441" t="s">
        <v>94</v>
      </c>
      <c r="Y441" t="s">
        <v>69</v>
      </c>
      <c r="Z441" s="4">
        <v>4</v>
      </c>
      <c r="AA441" t="s">
        <v>77</v>
      </c>
      <c r="AB441" s="4">
        <v>98</v>
      </c>
      <c r="AC441" s="4">
        <v>72</v>
      </c>
      <c r="AD441" s="4">
        <v>78</v>
      </c>
      <c r="AE441" s="4">
        <v>176</v>
      </c>
      <c r="AF441" s="4">
        <v>84</v>
      </c>
      <c r="AG441" s="4">
        <v>90</v>
      </c>
      <c r="AH441" s="4">
        <v>88</v>
      </c>
      <c r="AI441" s="4">
        <v>140</v>
      </c>
      <c r="AJ441" s="4">
        <v>50</v>
      </c>
      <c r="AK441" t="s">
        <v>78</v>
      </c>
      <c r="AL441" t="s">
        <v>95</v>
      </c>
      <c r="AM441" t="s">
        <v>80</v>
      </c>
      <c r="AN441" t="s">
        <v>96</v>
      </c>
      <c r="AO441" t="s">
        <v>97</v>
      </c>
      <c r="AP441" t="s">
        <v>85</v>
      </c>
      <c r="AQ441" t="s">
        <v>85</v>
      </c>
      <c r="AR441" t="s">
        <v>85</v>
      </c>
      <c r="AS441" t="s">
        <v>84</v>
      </c>
      <c r="AT441" t="s">
        <v>85</v>
      </c>
      <c r="AU441" t="s">
        <v>83</v>
      </c>
      <c r="AV441" t="s">
        <v>85</v>
      </c>
      <c r="AW441" s="4">
        <v>0</v>
      </c>
      <c r="AX441" s="4">
        <v>0</v>
      </c>
      <c r="AY441" s="4">
        <v>0</v>
      </c>
      <c r="AZ441" s="3">
        <v>1.76</v>
      </c>
      <c r="BA441" s="3">
        <v>3.0975999999999999</v>
      </c>
      <c r="BB441" s="3">
        <v>25.180785123966942</v>
      </c>
      <c r="BC441" t="s">
        <v>98</v>
      </c>
      <c r="BD441" t="s">
        <v>99</v>
      </c>
      <c r="BE441" s="4">
        <v>0</v>
      </c>
      <c r="BF441" t="s">
        <v>87</v>
      </c>
      <c r="BG441" s="4">
        <v>0</v>
      </c>
      <c r="BH441" s="1" t="e">
        <v>#NULL!</v>
      </c>
      <c r="BI441" t="s">
        <v>85</v>
      </c>
      <c r="BJ441" s="4">
        <v>0</v>
      </c>
      <c r="BK441" t="s">
        <v>88</v>
      </c>
    </row>
    <row r="442" spans="1:63" x14ac:dyDescent="0.35">
      <c r="A442" s="4">
        <v>289</v>
      </c>
      <c r="B442" s="4">
        <v>61</v>
      </c>
      <c r="C442" t="s">
        <v>121</v>
      </c>
      <c r="D442" t="s">
        <v>89</v>
      </c>
      <c r="E442" t="s">
        <v>104</v>
      </c>
      <c r="F442" t="s">
        <v>66</v>
      </c>
      <c r="G442" t="s">
        <v>67</v>
      </c>
      <c r="H442" s="2">
        <v>250</v>
      </c>
      <c r="I442" t="s">
        <v>68</v>
      </c>
      <c r="J442" t="s">
        <v>69</v>
      </c>
      <c r="K442" t="s">
        <v>69</v>
      </c>
      <c r="L442" t="s">
        <v>69</v>
      </c>
      <c r="M442" s="4">
        <v>2</v>
      </c>
      <c r="N442" t="s">
        <v>71</v>
      </c>
      <c r="O442" s="4">
        <v>2</v>
      </c>
      <c r="P442" t="s">
        <v>71</v>
      </c>
      <c r="Q442" s="4">
        <v>2</v>
      </c>
      <c r="R442" t="s">
        <v>71</v>
      </c>
      <c r="S442" s="4">
        <v>1</v>
      </c>
      <c r="T442" t="s">
        <v>71</v>
      </c>
      <c r="U442" t="s">
        <v>92</v>
      </c>
      <c r="V442" t="s">
        <v>93</v>
      </c>
      <c r="W442" t="s">
        <v>93</v>
      </c>
      <c r="X442" t="s">
        <v>94</v>
      </c>
      <c r="Y442" t="s">
        <v>69</v>
      </c>
      <c r="Z442" s="4">
        <v>6</v>
      </c>
      <c r="AA442" t="s">
        <v>77</v>
      </c>
      <c r="AB442" s="4">
        <v>178</v>
      </c>
      <c r="AC442" s="4">
        <v>107</v>
      </c>
      <c r="AD442" s="4">
        <v>42</v>
      </c>
      <c r="AE442" s="4">
        <v>153</v>
      </c>
      <c r="AF442" s="4">
        <v>69</v>
      </c>
      <c r="AG442" s="4">
        <v>84</v>
      </c>
      <c r="AH442" s="4">
        <v>92</v>
      </c>
      <c r="AI442" s="4">
        <v>82</v>
      </c>
      <c r="AJ442" s="4">
        <v>51</v>
      </c>
      <c r="AK442" t="s">
        <v>78</v>
      </c>
      <c r="AL442" t="s">
        <v>79</v>
      </c>
      <c r="AM442" t="s">
        <v>108</v>
      </c>
      <c r="AN442" t="s">
        <v>109</v>
      </c>
      <c r="AO442" t="s">
        <v>82</v>
      </c>
      <c r="AP442" t="s">
        <v>85</v>
      </c>
      <c r="AQ442" t="s">
        <v>85</v>
      </c>
      <c r="AR442" t="s">
        <v>85</v>
      </c>
      <c r="AS442" t="s">
        <v>84</v>
      </c>
      <c r="AT442" t="s">
        <v>85</v>
      </c>
      <c r="AU442" t="s">
        <v>85</v>
      </c>
      <c r="AV442" t="s">
        <v>85</v>
      </c>
      <c r="AW442" s="4">
        <v>1</v>
      </c>
      <c r="AX442" s="4">
        <v>0</v>
      </c>
      <c r="AY442" s="4">
        <v>0</v>
      </c>
      <c r="AZ442" s="3">
        <v>1.53</v>
      </c>
      <c r="BA442" s="3">
        <v>2.3409</v>
      </c>
      <c r="BB442" s="3">
        <v>17.941817249775728</v>
      </c>
      <c r="BC442" t="s">
        <v>100</v>
      </c>
      <c r="BD442" t="s">
        <v>86</v>
      </c>
      <c r="BE442" s="4">
        <v>1</v>
      </c>
      <c r="BF442" t="s">
        <v>87</v>
      </c>
      <c r="BG442" s="1" t="e">
        <v>#NULL!</v>
      </c>
      <c r="BH442" s="4">
        <v>0</v>
      </c>
      <c r="BI442" t="s">
        <v>85</v>
      </c>
      <c r="BJ442" s="4">
        <v>1</v>
      </c>
      <c r="BK442" t="s">
        <v>88</v>
      </c>
    </row>
    <row r="443" spans="1:63" x14ac:dyDescent="0.35">
      <c r="A443" s="4">
        <v>317</v>
      </c>
      <c r="B443" s="4">
        <v>61</v>
      </c>
      <c r="C443" t="s">
        <v>121</v>
      </c>
      <c r="D443" t="s">
        <v>64</v>
      </c>
      <c r="E443" t="s">
        <v>104</v>
      </c>
      <c r="F443" t="s">
        <v>66</v>
      </c>
      <c r="G443" t="s">
        <v>67</v>
      </c>
      <c r="H443" s="2">
        <v>600</v>
      </c>
      <c r="I443" t="s">
        <v>105</v>
      </c>
      <c r="J443" t="s">
        <v>70</v>
      </c>
      <c r="K443" t="s">
        <v>70</v>
      </c>
      <c r="L443" t="s">
        <v>69</v>
      </c>
      <c r="M443" s="4">
        <v>0</v>
      </c>
      <c r="N443" t="s">
        <v>71</v>
      </c>
      <c r="O443" s="4">
        <v>0</v>
      </c>
      <c r="P443" t="s">
        <v>71</v>
      </c>
      <c r="Q443" s="4">
        <v>2</v>
      </c>
      <c r="R443" t="s">
        <v>71</v>
      </c>
      <c r="S443" s="4">
        <v>2</v>
      </c>
      <c r="T443" t="s">
        <v>71</v>
      </c>
      <c r="U443" t="s">
        <v>92</v>
      </c>
      <c r="V443" t="s">
        <v>93</v>
      </c>
      <c r="W443" t="s">
        <v>93</v>
      </c>
      <c r="X443" t="s">
        <v>94</v>
      </c>
      <c r="Y443" t="s">
        <v>69</v>
      </c>
      <c r="Z443" s="4">
        <v>2</v>
      </c>
      <c r="AA443" t="s">
        <v>77</v>
      </c>
      <c r="AB443" s="4">
        <v>142</v>
      </c>
      <c r="AC443" s="4">
        <v>102</v>
      </c>
      <c r="AD443" s="4">
        <v>65</v>
      </c>
      <c r="AE443" s="4">
        <v>176</v>
      </c>
      <c r="AF443" s="4">
        <v>60</v>
      </c>
      <c r="AG443" s="4">
        <v>93</v>
      </c>
      <c r="AH443" s="4">
        <v>97</v>
      </c>
      <c r="AI443" s="4">
        <v>172</v>
      </c>
      <c r="AJ443" s="4">
        <v>43</v>
      </c>
      <c r="AK443" t="s">
        <v>107</v>
      </c>
      <c r="AL443" t="s">
        <v>79</v>
      </c>
      <c r="AM443" t="s">
        <v>108</v>
      </c>
      <c r="AN443" t="s">
        <v>109</v>
      </c>
      <c r="AO443" t="s">
        <v>82</v>
      </c>
      <c r="AP443" t="s">
        <v>83</v>
      </c>
      <c r="AQ443" t="s">
        <v>85</v>
      </c>
      <c r="AR443" t="s">
        <v>85</v>
      </c>
      <c r="AS443" t="s">
        <v>84</v>
      </c>
      <c r="AT443" t="s">
        <v>85</v>
      </c>
      <c r="AU443" t="s">
        <v>85</v>
      </c>
      <c r="AV443" t="s">
        <v>85</v>
      </c>
      <c r="AW443" s="4">
        <v>2</v>
      </c>
      <c r="AX443" s="4">
        <v>1</v>
      </c>
      <c r="AY443" s="4">
        <v>1</v>
      </c>
      <c r="AZ443" s="3">
        <v>1.76</v>
      </c>
      <c r="BA443" s="3">
        <v>3.0975999999999999</v>
      </c>
      <c r="BB443" s="3">
        <v>20.983987603305785</v>
      </c>
      <c r="BC443" t="s">
        <v>85</v>
      </c>
      <c r="BD443" t="s">
        <v>86</v>
      </c>
      <c r="BE443" s="4">
        <v>2</v>
      </c>
      <c r="BF443" t="s">
        <v>87</v>
      </c>
      <c r="BG443" s="4">
        <v>0</v>
      </c>
      <c r="BH443" s="1" t="e">
        <v>#NULL!</v>
      </c>
      <c r="BI443" t="s">
        <v>85</v>
      </c>
      <c r="BJ443" s="4">
        <v>2</v>
      </c>
      <c r="BK443" t="s">
        <v>88</v>
      </c>
    </row>
    <row r="444" spans="1:63" x14ac:dyDescent="0.35">
      <c r="A444" s="4">
        <v>324</v>
      </c>
      <c r="B444" s="4">
        <v>61</v>
      </c>
      <c r="C444" t="s">
        <v>121</v>
      </c>
      <c r="D444" t="s">
        <v>89</v>
      </c>
      <c r="E444" t="s">
        <v>104</v>
      </c>
      <c r="F444" t="s">
        <v>115</v>
      </c>
      <c r="G444" t="s">
        <v>67</v>
      </c>
      <c r="H444" s="2">
        <v>200</v>
      </c>
      <c r="I444" t="s">
        <v>68</v>
      </c>
      <c r="J444" t="s">
        <v>69</v>
      </c>
      <c r="K444" t="s">
        <v>69</v>
      </c>
      <c r="L444" t="s">
        <v>69</v>
      </c>
      <c r="M444" s="4">
        <v>0</v>
      </c>
      <c r="N444" t="s">
        <v>71</v>
      </c>
      <c r="O444" s="4">
        <v>1</v>
      </c>
      <c r="P444" t="s">
        <v>71</v>
      </c>
      <c r="Q444" s="4">
        <v>0</v>
      </c>
      <c r="R444" t="s">
        <v>71</v>
      </c>
      <c r="S444" s="4">
        <v>0</v>
      </c>
      <c r="T444" t="s">
        <v>71</v>
      </c>
      <c r="U444" t="s">
        <v>73</v>
      </c>
      <c r="V444" t="s">
        <v>93</v>
      </c>
      <c r="W444" t="s">
        <v>93</v>
      </c>
      <c r="X444" t="s">
        <v>94</v>
      </c>
      <c r="Y444" t="s">
        <v>69</v>
      </c>
      <c r="Z444" s="4">
        <v>4</v>
      </c>
      <c r="AA444" t="s">
        <v>77</v>
      </c>
      <c r="AB444" s="4">
        <v>136</v>
      </c>
      <c r="AC444" s="4">
        <v>76</v>
      </c>
      <c r="AD444" s="4">
        <v>83</v>
      </c>
      <c r="AE444" s="4">
        <v>160</v>
      </c>
      <c r="AF444" s="4">
        <v>95</v>
      </c>
      <c r="AG444" s="4">
        <v>120</v>
      </c>
      <c r="AH444" s="4">
        <v>105</v>
      </c>
      <c r="AI444" s="4">
        <v>110</v>
      </c>
      <c r="AJ444" s="4">
        <v>50</v>
      </c>
      <c r="AK444" t="s">
        <v>78</v>
      </c>
      <c r="AL444" t="s">
        <v>79</v>
      </c>
      <c r="AM444" t="s">
        <v>80</v>
      </c>
      <c r="AN444" t="s">
        <v>81</v>
      </c>
      <c r="AO444" t="s">
        <v>82</v>
      </c>
      <c r="AP444" t="s">
        <v>85</v>
      </c>
      <c r="AQ444" t="s">
        <v>85</v>
      </c>
      <c r="AR444" t="s">
        <v>85</v>
      </c>
      <c r="AS444" t="s">
        <v>102</v>
      </c>
      <c r="AT444" t="s">
        <v>83</v>
      </c>
      <c r="AU444" t="s">
        <v>83</v>
      </c>
      <c r="AV444" t="s">
        <v>83</v>
      </c>
      <c r="AW444" s="4">
        <v>2</v>
      </c>
      <c r="AX444" s="4">
        <v>1</v>
      </c>
      <c r="AY444" s="4">
        <v>2</v>
      </c>
      <c r="AZ444" s="3">
        <v>1.6</v>
      </c>
      <c r="BA444" s="3">
        <v>2.5600000000000005</v>
      </c>
      <c r="BB444" s="3">
        <v>32.421874999999993</v>
      </c>
      <c r="BC444" t="s">
        <v>110</v>
      </c>
      <c r="BD444" t="s">
        <v>99</v>
      </c>
      <c r="BE444" s="4">
        <v>3</v>
      </c>
      <c r="BF444" t="s">
        <v>111</v>
      </c>
      <c r="BG444" s="1" t="e">
        <v>#NULL!</v>
      </c>
      <c r="BH444" s="4">
        <v>1</v>
      </c>
      <c r="BI444" t="s">
        <v>83</v>
      </c>
      <c r="BJ444" s="4">
        <v>3</v>
      </c>
      <c r="BK444" t="s">
        <v>112</v>
      </c>
    </row>
    <row r="445" spans="1:63" x14ac:dyDescent="0.35">
      <c r="A445" s="4">
        <v>367</v>
      </c>
      <c r="B445" s="4">
        <v>61</v>
      </c>
      <c r="C445" t="s">
        <v>121</v>
      </c>
      <c r="D445" t="s">
        <v>89</v>
      </c>
      <c r="E445" t="s">
        <v>104</v>
      </c>
      <c r="F445" t="s">
        <v>66</v>
      </c>
      <c r="G445" t="s">
        <v>67</v>
      </c>
      <c r="H445" s="2">
        <v>400</v>
      </c>
      <c r="I445" t="s">
        <v>68</v>
      </c>
      <c r="J445" t="s">
        <v>69</v>
      </c>
      <c r="K445" t="s">
        <v>69</v>
      </c>
      <c r="L445" t="s">
        <v>69</v>
      </c>
      <c r="M445" s="4">
        <v>2</v>
      </c>
      <c r="N445" t="s">
        <v>71</v>
      </c>
      <c r="O445" s="4">
        <v>2</v>
      </c>
      <c r="P445" t="s">
        <v>71</v>
      </c>
      <c r="Q445" s="4">
        <v>3</v>
      </c>
      <c r="R445" t="s">
        <v>91</v>
      </c>
      <c r="S445" s="4">
        <v>1</v>
      </c>
      <c r="T445" t="s">
        <v>71</v>
      </c>
      <c r="U445" t="s">
        <v>73</v>
      </c>
      <c r="V445" t="s">
        <v>93</v>
      </c>
      <c r="W445" t="s">
        <v>93</v>
      </c>
      <c r="X445" t="s">
        <v>94</v>
      </c>
      <c r="Y445" t="s">
        <v>69</v>
      </c>
      <c r="Z445" s="4">
        <v>4</v>
      </c>
      <c r="AA445" t="s">
        <v>77</v>
      </c>
      <c r="AB445" s="4">
        <v>120</v>
      </c>
      <c r="AC445" s="4">
        <v>85</v>
      </c>
      <c r="AD445" s="4">
        <v>71</v>
      </c>
      <c r="AE445" s="4">
        <v>165</v>
      </c>
      <c r="AF445" s="4">
        <v>111</v>
      </c>
      <c r="AG445" s="4">
        <v>107</v>
      </c>
      <c r="AH445" s="4">
        <v>246</v>
      </c>
      <c r="AI445" s="4">
        <v>70</v>
      </c>
      <c r="AJ445" s="4">
        <v>40</v>
      </c>
      <c r="AK445" t="s">
        <v>78</v>
      </c>
      <c r="AL445" t="s">
        <v>95</v>
      </c>
      <c r="AM445" t="s">
        <v>108</v>
      </c>
      <c r="AN445" t="s">
        <v>81</v>
      </c>
      <c r="AO445" t="s">
        <v>82</v>
      </c>
      <c r="AP445" t="s">
        <v>83</v>
      </c>
      <c r="AQ445" t="s">
        <v>85</v>
      </c>
      <c r="AR445" t="s">
        <v>83</v>
      </c>
      <c r="AS445" t="s">
        <v>102</v>
      </c>
      <c r="AT445" t="s">
        <v>83</v>
      </c>
      <c r="AU445" t="s">
        <v>83</v>
      </c>
      <c r="AV445" t="s">
        <v>83</v>
      </c>
      <c r="AW445" s="4">
        <v>3</v>
      </c>
      <c r="AX445" s="4">
        <v>1</v>
      </c>
      <c r="AY445" s="4">
        <v>2</v>
      </c>
      <c r="AZ445" s="3">
        <v>1.65</v>
      </c>
      <c r="BA445" s="3">
        <v>2.7224999999999997</v>
      </c>
      <c r="BB445" s="3">
        <v>26.078971533516992</v>
      </c>
      <c r="BC445" t="s">
        <v>98</v>
      </c>
      <c r="BD445" t="s">
        <v>99</v>
      </c>
      <c r="BE445" s="4">
        <v>4</v>
      </c>
      <c r="BF445" t="s">
        <v>111</v>
      </c>
      <c r="BG445" s="1" t="e">
        <v>#NULL!</v>
      </c>
      <c r="BH445" s="4">
        <v>1</v>
      </c>
      <c r="BI445" t="s">
        <v>83</v>
      </c>
      <c r="BJ445" s="4">
        <v>4</v>
      </c>
      <c r="BK445" t="s">
        <v>112</v>
      </c>
    </row>
    <row r="446" spans="1:63" x14ac:dyDescent="0.35">
      <c r="A446" s="4">
        <v>378</v>
      </c>
      <c r="B446" s="4">
        <v>61</v>
      </c>
      <c r="C446" t="s">
        <v>121</v>
      </c>
      <c r="D446" t="s">
        <v>89</v>
      </c>
      <c r="E446" t="s">
        <v>104</v>
      </c>
      <c r="F446" t="s">
        <v>66</v>
      </c>
      <c r="G446" t="s">
        <v>67</v>
      </c>
      <c r="H446" s="2">
        <v>400</v>
      </c>
      <c r="I446" t="s">
        <v>68</v>
      </c>
      <c r="J446" t="s">
        <v>69</v>
      </c>
      <c r="K446" t="s">
        <v>69</v>
      </c>
      <c r="L446" t="s">
        <v>69</v>
      </c>
      <c r="M446" s="4">
        <v>5</v>
      </c>
      <c r="N446" t="s">
        <v>72</v>
      </c>
      <c r="O446" s="4">
        <v>5</v>
      </c>
      <c r="P446" t="s">
        <v>72</v>
      </c>
      <c r="Q446" s="4">
        <v>5</v>
      </c>
      <c r="R446" t="s">
        <v>72</v>
      </c>
      <c r="S446" s="4">
        <v>3</v>
      </c>
      <c r="T446" t="s">
        <v>91</v>
      </c>
      <c r="U446" t="s">
        <v>92</v>
      </c>
      <c r="V446" t="s">
        <v>93</v>
      </c>
      <c r="W446" t="s">
        <v>93</v>
      </c>
      <c r="X446" t="s">
        <v>94</v>
      </c>
      <c r="Y446" t="s">
        <v>69</v>
      </c>
      <c r="Z446" s="4">
        <v>4</v>
      </c>
      <c r="AA446" t="s">
        <v>77</v>
      </c>
      <c r="AB446" s="4">
        <v>133</v>
      </c>
      <c r="AC446" s="4">
        <v>83</v>
      </c>
      <c r="AD446" s="4">
        <v>81</v>
      </c>
      <c r="AE446" s="4">
        <v>171</v>
      </c>
      <c r="AF446" s="4">
        <v>90</v>
      </c>
      <c r="AG446" s="4">
        <v>117</v>
      </c>
      <c r="AH446" s="4">
        <v>161</v>
      </c>
      <c r="AI446" s="4">
        <v>104</v>
      </c>
      <c r="AJ446" s="4">
        <v>61</v>
      </c>
      <c r="AK446" t="s">
        <v>78</v>
      </c>
      <c r="AL446" t="s">
        <v>79</v>
      </c>
      <c r="AM446" t="s">
        <v>80</v>
      </c>
      <c r="AN446" t="s">
        <v>81</v>
      </c>
      <c r="AO446" t="s">
        <v>82</v>
      </c>
      <c r="AP446" t="s">
        <v>85</v>
      </c>
      <c r="AQ446" t="s">
        <v>85</v>
      </c>
      <c r="AR446" t="s">
        <v>85</v>
      </c>
      <c r="AS446" t="s">
        <v>102</v>
      </c>
      <c r="AT446" t="s">
        <v>85</v>
      </c>
      <c r="AU446" t="s">
        <v>83</v>
      </c>
      <c r="AV446" t="s">
        <v>83</v>
      </c>
      <c r="AW446" s="4">
        <v>2</v>
      </c>
      <c r="AX446" s="4">
        <v>1</v>
      </c>
      <c r="AY446" s="4">
        <v>2</v>
      </c>
      <c r="AZ446" s="3">
        <v>1.71</v>
      </c>
      <c r="BA446" s="3">
        <v>2.9240999999999997</v>
      </c>
      <c r="BB446" s="3">
        <v>27.70083102493075</v>
      </c>
      <c r="BC446" t="s">
        <v>98</v>
      </c>
      <c r="BD446" t="s">
        <v>99</v>
      </c>
      <c r="BE446" s="4">
        <v>3</v>
      </c>
      <c r="BF446" t="s">
        <v>111</v>
      </c>
      <c r="BG446" s="1" t="e">
        <v>#NULL!</v>
      </c>
      <c r="BH446" s="4">
        <v>1</v>
      </c>
      <c r="BI446" t="s">
        <v>83</v>
      </c>
      <c r="BJ446" s="4">
        <v>3</v>
      </c>
      <c r="BK446" t="s">
        <v>112</v>
      </c>
    </row>
    <row r="447" spans="1:63" x14ac:dyDescent="0.35">
      <c r="A447" s="4">
        <v>423</v>
      </c>
      <c r="B447" s="4">
        <v>61</v>
      </c>
      <c r="C447" t="s">
        <v>121</v>
      </c>
      <c r="D447" t="s">
        <v>89</v>
      </c>
      <c r="E447" t="s">
        <v>104</v>
      </c>
      <c r="F447" t="s">
        <v>90</v>
      </c>
      <c r="G447" t="s">
        <v>67</v>
      </c>
      <c r="H447" s="2">
        <v>700</v>
      </c>
      <c r="I447" t="s">
        <v>105</v>
      </c>
      <c r="J447" t="s">
        <v>69</v>
      </c>
      <c r="K447" t="s">
        <v>69</v>
      </c>
      <c r="L447" t="s">
        <v>69</v>
      </c>
      <c r="M447" s="4">
        <v>0</v>
      </c>
      <c r="N447" t="s">
        <v>71</v>
      </c>
      <c r="O447" s="4">
        <v>1</v>
      </c>
      <c r="P447" t="s">
        <v>71</v>
      </c>
      <c r="Q447" s="4">
        <v>2</v>
      </c>
      <c r="R447" t="s">
        <v>71</v>
      </c>
      <c r="S447" s="4">
        <v>1</v>
      </c>
      <c r="T447" t="s">
        <v>71</v>
      </c>
      <c r="U447" t="s">
        <v>92</v>
      </c>
      <c r="V447" t="s">
        <v>93</v>
      </c>
      <c r="W447" t="s">
        <v>93</v>
      </c>
      <c r="X447" t="s">
        <v>94</v>
      </c>
      <c r="Y447" t="s">
        <v>69</v>
      </c>
      <c r="Z447" s="4">
        <v>6</v>
      </c>
      <c r="AA447" t="s">
        <v>77</v>
      </c>
      <c r="AB447" s="4">
        <v>160</v>
      </c>
      <c r="AC447" s="4">
        <v>108</v>
      </c>
      <c r="AD447" s="4">
        <v>84</v>
      </c>
      <c r="AE447" s="4">
        <v>164</v>
      </c>
      <c r="AF447" s="4">
        <v>94</v>
      </c>
      <c r="AG447" s="4">
        <v>106</v>
      </c>
      <c r="AH447" s="4">
        <v>132</v>
      </c>
      <c r="AI447" s="4">
        <v>120</v>
      </c>
      <c r="AJ447" s="4">
        <v>40</v>
      </c>
      <c r="AK447" t="s">
        <v>78</v>
      </c>
      <c r="AL447" t="s">
        <v>79</v>
      </c>
      <c r="AM447" t="s">
        <v>108</v>
      </c>
      <c r="AN447" t="s">
        <v>109</v>
      </c>
      <c r="AO447" t="s">
        <v>82</v>
      </c>
      <c r="AP447" t="s">
        <v>83</v>
      </c>
      <c r="AQ447" t="s">
        <v>85</v>
      </c>
      <c r="AR447" t="s">
        <v>83</v>
      </c>
      <c r="AS447" t="s">
        <v>102</v>
      </c>
      <c r="AT447" t="s">
        <v>83</v>
      </c>
      <c r="AU447" t="s">
        <v>83</v>
      </c>
      <c r="AV447" t="s">
        <v>83</v>
      </c>
      <c r="AW447" s="4">
        <v>3</v>
      </c>
      <c r="AX447" s="4">
        <v>1</v>
      </c>
      <c r="AY447" s="4">
        <v>2</v>
      </c>
      <c r="AZ447" s="3">
        <v>1.64</v>
      </c>
      <c r="BA447" s="3">
        <v>2.6895999999999995</v>
      </c>
      <c r="BB447" s="3">
        <v>31.231409875074366</v>
      </c>
      <c r="BC447" t="s">
        <v>110</v>
      </c>
      <c r="BD447" t="s">
        <v>99</v>
      </c>
      <c r="BE447" s="4">
        <v>4</v>
      </c>
      <c r="BF447" t="s">
        <v>111</v>
      </c>
      <c r="BG447" s="1" t="e">
        <v>#NULL!</v>
      </c>
      <c r="BH447" s="4">
        <v>1</v>
      </c>
      <c r="BI447" t="s">
        <v>83</v>
      </c>
      <c r="BJ447" s="4">
        <v>4</v>
      </c>
      <c r="BK447" t="s">
        <v>112</v>
      </c>
    </row>
    <row r="448" spans="1:63" x14ac:dyDescent="0.35">
      <c r="A448" s="4">
        <v>440</v>
      </c>
      <c r="B448" s="4">
        <v>61</v>
      </c>
      <c r="C448" t="s">
        <v>121</v>
      </c>
      <c r="D448" t="s">
        <v>64</v>
      </c>
      <c r="E448" t="s">
        <v>104</v>
      </c>
      <c r="F448" t="s">
        <v>90</v>
      </c>
      <c r="G448" t="s">
        <v>67</v>
      </c>
      <c r="H448" s="2">
        <v>500</v>
      </c>
      <c r="I448" t="s">
        <v>68</v>
      </c>
      <c r="J448" t="s">
        <v>69</v>
      </c>
      <c r="K448" t="s">
        <v>69</v>
      </c>
      <c r="L448" t="s">
        <v>69</v>
      </c>
      <c r="M448" s="4">
        <v>2</v>
      </c>
      <c r="N448" t="s">
        <v>71</v>
      </c>
      <c r="O448" s="4">
        <v>2</v>
      </c>
      <c r="P448" t="s">
        <v>71</v>
      </c>
      <c r="Q448" s="4">
        <v>0</v>
      </c>
      <c r="R448" t="s">
        <v>71</v>
      </c>
      <c r="S448" s="4">
        <v>0</v>
      </c>
      <c r="T448" t="s">
        <v>71</v>
      </c>
      <c r="U448" t="s">
        <v>92</v>
      </c>
      <c r="V448" t="s">
        <v>93</v>
      </c>
      <c r="W448" t="s">
        <v>75</v>
      </c>
      <c r="X448" t="s">
        <v>76</v>
      </c>
      <c r="Y448" t="s">
        <v>70</v>
      </c>
      <c r="Z448" s="4">
        <v>6</v>
      </c>
      <c r="AA448" t="s">
        <v>77</v>
      </c>
      <c r="AB448" s="4">
        <v>120</v>
      </c>
      <c r="AC448" s="4">
        <v>78</v>
      </c>
      <c r="AD448" s="4">
        <v>96</v>
      </c>
      <c r="AE448" s="4">
        <v>180</v>
      </c>
      <c r="AF448" s="4">
        <v>113</v>
      </c>
      <c r="AG448" s="4">
        <v>125</v>
      </c>
      <c r="AH448" s="4">
        <v>85</v>
      </c>
      <c r="AI448" s="4">
        <v>55</v>
      </c>
      <c r="AJ448" s="4">
        <v>80</v>
      </c>
      <c r="AK448" t="s">
        <v>78</v>
      </c>
      <c r="AL448" t="s">
        <v>95</v>
      </c>
      <c r="AM448" t="s">
        <v>80</v>
      </c>
      <c r="AN448" t="s">
        <v>96</v>
      </c>
      <c r="AO448" t="s">
        <v>97</v>
      </c>
      <c r="AP448" t="s">
        <v>85</v>
      </c>
      <c r="AQ448" t="s">
        <v>85</v>
      </c>
      <c r="AR448" t="s">
        <v>85</v>
      </c>
      <c r="AS448" t="s">
        <v>84</v>
      </c>
      <c r="AT448" t="s">
        <v>83</v>
      </c>
      <c r="AU448" t="s">
        <v>83</v>
      </c>
      <c r="AV448" t="s">
        <v>83</v>
      </c>
      <c r="AW448" s="4">
        <v>0</v>
      </c>
      <c r="AX448" s="4">
        <v>0</v>
      </c>
      <c r="AY448" s="4">
        <v>1</v>
      </c>
      <c r="AZ448" s="3">
        <v>1.8</v>
      </c>
      <c r="BA448" s="3">
        <v>3.24</v>
      </c>
      <c r="BB448" s="3">
        <v>29.629629629629626</v>
      </c>
      <c r="BC448" t="s">
        <v>98</v>
      </c>
      <c r="BD448" t="s">
        <v>99</v>
      </c>
      <c r="BE448" s="4">
        <v>1</v>
      </c>
      <c r="BF448" t="s">
        <v>87</v>
      </c>
      <c r="BG448" s="4">
        <v>1</v>
      </c>
      <c r="BH448" s="1" t="e">
        <v>#NULL!</v>
      </c>
      <c r="BI448" t="s">
        <v>83</v>
      </c>
      <c r="BJ448" s="4">
        <v>1</v>
      </c>
      <c r="BK448" t="s">
        <v>88</v>
      </c>
    </row>
    <row r="449" spans="1:63" x14ac:dyDescent="0.35">
      <c r="A449" s="4">
        <v>446</v>
      </c>
      <c r="B449" s="4">
        <v>61</v>
      </c>
      <c r="C449" t="s">
        <v>121</v>
      </c>
      <c r="D449" t="s">
        <v>64</v>
      </c>
      <c r="E449" t="s">
        <v>104</v>
      </c>
      <c r="F449" t="s">
        <v>101</v>
      </c>
      <c r="G449" t="s">
        <v>67</v>
      </c>
      <c r="H449" s="2">
        <v>400</v>
      </c>
      <c r="I449" t="s">
        <v>68</v>
      </c>
      <c r="J449" t="s">
        <v>69</v>
      </c>
      <c r="K449" t="s">
        <v>69</v>
      </c>
      <c r="L449" t="s">
        <v>69</v>
      </c>
      <c r="M449" s="4">
        <v>3</v>
      </c>
      <c r="N449" t="s">
        <v>91</v>
      </c>
      <c r="O449" s="4">
        <v>4</v>
      </c>
      <c r="P449" t="s">
        <v>91</v>
      </c>
      <c r="Q449" s="4">
        <v>2</v>
      </c>
      <c r="R449" t="s">
        <v>71</v>
      </c>
      <c r="S449" s="4">
        <v>1</v>
      </c>
      <c r="T449" t="s">
        <v>71</v>
      </c>
      <c r="U449" t="s">
        <v>103</v>
      </c>
      <c r="V449" t="s">
        <v>93</v>
      </c>
      <c r="W449" t="s">
        <v>93</v>
      </c>
      <c r="X449" t="s">
        <v>94</v>
      </c>
      <c r="Y449" t="s">
        <v>69</v>
      </c>
      <c r="Z449" s="4">
        <v>2</v>
      </c>
      <c r="AA449" t="s">
        <v>77</v>
      </c>
      <c r="AB449" s="4">
        <v>120</v>
      </c>
      <c r="AC449" s="4">
        <v>80</v>
      </c>
      <c r="AD449" s="4">
        <v>78</v>
      </c>
      <c r="AE449" s="4">
        <v>174</v>
      </c>
      <c r="AF449" s="4">
        <v>86</v>
      </c>
      <c r="AG449" s="4">
        <v>90</v>
      </c>
      <c r="AH449" s="4">
        <v>92</v>
      </c>
      <c r="AI449" s="4">
        <v>120</v>
      </c>
      <c r="AJ449" s="4">
        <v>34</v>
      </c>
      <c r="AK449" t="s">
        <v>78</v>
      </c>
      <c r="AL449" t="s">
        <v>95</v>
      </c>
      <c r="AM449" t="s">
        <v>80</v>
      </c>
      <c r="AN449" t="s">
        <v>96</v>
      </c>
      <c r="AO449" t="s">
        <v>97</v>
      </c>
      <c r="AP449" t="s">
        <v>83</v>
      </c>
      <c r="AQ449" t="s">
        <v>83</v>
      </c>
      <c r="AR449" t="s">
        <v>83</v>
      </c>
      <c r="AS449" t="s">
        <v>84</v>
      </c>
      <c r="AT449" t="s">
        <v>85</v>
      </c>
      <c r="AU449" t="s">
        <v>83</v>
      </c>
      <c r="AV449" t="s">
        <v>85</v>
      </c>
      <c r="AW449" s="4">
        <v>1</v>
      </c>
      <c r="AX449" s="4">
        <v>0</v>
      </c>
      <c r="AY449" s="4">
        <v>0</v>
      </c>
      <c r="AZ449" s="3">
        <v>1.74</v>
      </c>
      <c r="BA449" s="3">
        <v>3.0276000000000001</v>
      </c>
      <c r="BB449" s="3">
        <v>25.762980578676178</v>
      </c>
      <c r="BC449" t="s">
        <v>98</v>
      </c>
      <c r="BD449" t="s">
        <v>99</v>
      </c>
      <c r="BE449" s="4">
        <v>1</v>
      </c>
      <c r="BF449" t="s">
        <v>87</v>
      </c>
      <c r="BG449" s="4">
        <v>0</v>
      </c>
      <c r="BH449" s="1" t="e">
        <v>#NULL!</v>
      </c>
      <c r="BI449" t="s">
        <v>85</v>
      </c>
      <c r="BJ449" s="4">
        <v>1</v>
      </c>
      <c r="BK449" t="s">
        <v>88</v>
      </c>
    </row>
    <row r="450" spans="1:63" x14ac:dyDescent="0.35">
      <c r="A450" s="4">
        <v>489</v>
      </c>
      <c r="B450" s="4">
        <v>61</v>
      </c>
      <c r="C450" t="s">
        <v>121</v>
      </c>
      <c r="D450" t="s">
        <v>64</v>
      </c>
      <c r="E450" t="s">
        <v>104</v>
      </c>
      <c r="F450" t="s">
        <v>101</v>
      </c>
      <c r="G450" t="s">
        <v>67</v>
      </c>
      <c r="H450" s="2">
        <v>400</v>
      </c>
      <c r="I450" t="s">
        <v>68</v>
      </c>
      <c r="J450" t="s">
        <v>69</v>
      </c>
      <c r="K450" t="s">
        <v>69</v>
      </c>
      <c r="L450" t="s">
        <v>69</v>
      </c>
      <c r="M450" s="4">
        <v>6</v>
      </c>
      <c r="N450" t="s">
        <v>72</v>
      </c>
      <c r="O450" s="4">
        <v>3</v>
      </c>
      <c r="P450" t="s">
        <v>91</v>
      </c>
      <c r="Q450" s="4">
        <v>1</v>
      </c>
      <c r="R450" t="s">
        <v>71</v>
      </c>
      <c r="S450" s="4">
        <v>1</v>
      </c>
      <c r="T450" t="s">
        <v>71</v>
      </c>
      <c r="U450" t="s">
        <v>92</v>
      </c>
      <c r="V450" t="s">
        <v>93</v>
      </c>
      <c r="W450" t="s">
        <v>93</v>
      </c>
      <c r="X450" t="s">
        <v>94</v>
      </c>
      <c r="Y450" t="s">
        <v>69</v>
      </c>
      <c r="Z450" s="4">
        <v>10</v>
      </c>
      <c r="AA450" t="s">
        <v>117</v>
      </c>
      <c r="AB450" s="4">
        <v>106</v>
      </c>
      <c r="AC450" s="4">
        <v>76</v>
      </c>
      <c r="AD450" s="4">
        <v>68</v>
      </c>
      <c r="AE450" s="4">
        <v>174</v>
      </c>
      <c r="AF450" s="4">
        <v>98</v>
      </c>
      <c r="AG450" s="4">
        <v>106</v>
      </c>
      <c r="AH450" s="4">
        <v>132</v>
      </c>
      <c r="AI450" s="4">
        <v>66</v>
      </c>
      <c r="AJ450" s="4">
        <v>23</v>
      </c>
      <c r="AK450" t="s">
        <v>78</v>
      </c>
      <c r="AL450" t="s">
        <v>95</v>
      </c>
      <c r="AM450" t="s">
        <v>80</v>
      </c>
      <c r="AN450" t="s">
        <v>96</v>
      </c>
      <c r="AO450" t="s">
        <v>97</v>
      </c>
      <c r="AP450" t="s">
        <v>83</v>
      </c>
      <c r="AQ450" t="s">
        <v>83</v>
      </c>
      <c r="AR450" t="s">
        <v>83</v>
      </c>
      <c r="AS450" t="s">
        <v>102</v>
      </c>
      <c r="AT450" t="s">
        <v>83</v>
      </c>
      <c r="AU450" t="s">
        <v>83</v>
      </c>
      <c r="AV450" t="s">
        <v>83</v>
      </c>
      <c r="AW450" s="4">
        <v>2</v>
      </c>
      <c r="AX450" s="4">
        <v>1</v>
      </c>
      <c r="AY450" s="4">
        <v>2</v>
      </c>
      <c r="AZ450" s="3">
        <v>1.74</v>
      </c>
      <c r="BA450" s="3">
        <v>3.0276000000000001</v>
      </c>
      <c r="BB450" s="3">
        <v>22.460034350640772</v>
      </c>
      <c r="BC450" t="s">
        <v>85</v>
      </c>
      <c r="BD450" t="s">
        <v>86</v>
      </c>
      <c r="BE450" s="4">
        <v>3</v>
      </c>
      <c r="BF450" t="s">
        <v>111</v>
      </c>
      <c r="BG450" s="4">
        <v>0</v>
      </c>
      <c r="BH450" s="1" t="e">
        <v>#NULL!</v>
      </c>
      <c r="BI450" t="s">
        <v>85</v>
      </c>
      <c r="BJ450" s="4">
        <v>2</v>
      </c>
      <c r="BK450" t="s">
        <v>88</v>
      </c>
    </row>
    <row r="451" spans="1:63" x14ac:dyDescent="0.35">
      <c r="A451" s="4">
        <v>30</v>
      </c>
      <c r="B451" s="4">
        <v>62</v>
      </c>
      <c r="C451" t="s">
        <v>121</v>
      </c>
      <c r="D451" t="s">
        <v>64</v>
      </c>
      <c r="E451" t="s">
        <v>104</v>
      </c>
      <c r="F451" t="s">
        <v>66</v>
      </c>
      <c r="G451" t="s">
        <v>67</v>
      </c>
      <c r="H451" s="2">
        <v>300</v>
      </c>
      <c r="I451" t="s">
        <v>68</v>
      </c>
      <c r="J451" t="s">
        <v>69</v>
      </c>
      <c r="K451" t="s">
        <v>69</v>
      </c>
      <c r="L451" t="s">
        <v>69</v>
      </c>
      <c r="M451" s="4">
        <v>4</v>
      </c>
      <c r="N451" t="s">
        <v>91</v>
      </c>
      <c r="O451" s="4">
        <v>3</v>
      </c>
      <c r="P451" t="s">
        <v>91</v>
      </c>
      <c r="Q451" s="4">
        <v>3</v>
      </c>
      <c r="R451" t="s">
        <v>91</v>
      </c>
      <c r="S451" s="4">
        <v>3</v>
      </c>
      <c r="T451" t="s">
        <v>91</v>
      </c>
      <c r="U451" t="s">
        <v>92</v>
      </c>
      <c r="V451" t="s">
        <v>74</v>
      </c>
      <c r="W451" t="s">
        <v>93</v>
      </c>
      <c r="X451" t="s">
        <v>94</v>
      </c>
      <c r="Y451" t="s">
        <v>69</v>
      </c>
      <c r="Z451" s="4">
        <v>1</v>
      </c>
      <c r="AA451" t="s">
        <v>77</v>
      </c>
      <c r="AB451" s="4">
        <v>133</v>
      </c>
      <c r="AC451" s="4">
        <v>93</v>
      </c>
      <c r="AD451" s="4">
        <v>95</v>
      </c>
      <c r="AE451" s="4">
        <v>186</v>
      </c>
      <c r="AF451" s="4">
        <v>88</v>
      </c>
      <c r="AG451" s="4">
        <v>97</v>
      </c>
      <c r="AH451" s="4">
        <v>92</v>
      </c>
      <c r="AI451" s="4">
        <v>108</v>
      </c>
      <c r="AJ451" s="4">
        <v>37</v>
      </c>
      <c r="AK451" t="s">
        <v>78</v>
      </c>
      <c r="AL451" t="s">
        <v>79</v>
      </c>
      <c r="AM451" t="s">
        <v>108</v>
      </c>
      <c r="AN451" t="s">
        <v>109</v>
      </c>
      <c r="AO451" t="s">
        <v>82</v>
      </c>
      <c r="AP451" t="s">
        <v>83</v>
      </c>
      <c r="AQ451" t="s">
        <v>83</v>
      </c>
      <c r="AR451" t="s">
        <v>83</v>
      </c>
      <c r="AS451" t="s">
        <v>84</v>
      </c>
      <c r="AT451" t="s">
        <v>85</v>
      </c>
      <c r="AU451" t="s">
        <v>83</v>
      </c>
      <c r="AV451" t="s">
        <v>85</v>
      </c>
      <c r="AW451" s="4">
        <v>2</v>
      </c>
      <c r="AX451" s="4">
        <v>1</v>
      </c>
      <c r="AY451" s="4">
        <v>1</v>
      </c>
      <c r="AZ451" s="3">
        <v>1.86</v>
      </c>
      <c r="BA451" s="3">
        <v>3.4596000000000005</v>
      </c>
      <c r="BB451" s="3">
        <v>27.459821944733491</v>
      </c>
      <c r="BC451" t="s">
        <v>98</v>
      </c>
      <c r="BD451" t="s">
        <v>99</v>
      </c>
      <c r="BE451" s="4">
        <v>2</v>
      </c>
      <c r="BF451" t="s">
        <v>87</v>
      </c>
      <c r="BG451" s="4">
        <v>0</v>
      </c>
      <c r="BH451" s="1" t="e">
        <v>#NULL!</v>
      </c>
      <c r="BI451" t="s">
        <v>85</v>
      </c>
      <c r="BJ451" s="4">
        <v>2</v>
      </c>
      <c r="BK451" t="s">
        <v>88</v>
      </c>
    </row>
    <row r="452" spans="1:63" x14ac:dyDescent="0.35">
      <c r="A452" s="4">
        <v>141</v>
      </c>
      <c r="B452" s="4">
        <v>62</v>
      </c>
      <c r="C452" t="s">
        <v>121</v>
      </c>
      <c r="D452" t="s">
        <v>64</v>
      </c>
      <c r="E452" t="s">
        <v>104</v>
      </c>
      <c r="F452" t="s">
        <v>101</v>
      </c>
      <c r="G452" t="s">
        <v>67</v>
      </c>
      <c r="H452" s="2">
        <v>400</v>
      </c>
      <c r="I452" t="s">
        <v>68</v>
      </c>
      <c r="J452" t="s">
        <v>69</v>
      </c>
      <c r="K452" t="s">
        <v>70</v>
      </c>
      <c r="L452" t="s">
        <v>69</v>
      </c>
      <c r="M452" s="4">
        <v>6</v>
      </c>
      <c r="N452" t="s">
        <v>72</v>
      </c>
      <c r="O452" s="4">
        <v>3</v>
      </c>
      <c r="P452" t="s">
        <v>91</v>
      </c>
      <c r="Q452" s="4">
        <v>1</v>
      </c>
      <c r="R452" t="s">
        <v>71</v>
      </c>
      <c r="S452" s="4">
        <v>1</v>
      </c>
      <c r="T452" t="s">
        <v>71</v>
      </c>
      <c r="U452" t="s">
        <v>92</v>
      </c>
      <c r="V452" t="s">
        <v>93</v>
      </c>
      <c r="W452" t="s">
        <v>93</v>
      </c>
      <c r="X452" t="s">
        <v>94</v>
      </c>
      <c r="Y452" t="s">
        <v>69</v>
      </c>
      <c r="Z452" s="4">
        <v>10</v>
      </c>
      <c r="AA452" t="s">
        <v>117</v>
      </c>
      <c r="AB452" s="4">
        <v>106</v>
      </c>
      <c r="AC452" s="4">
        <v>76</v>
      </c>
      <c r="AD452" s="4">
        <v>68</v>
      </c>
      <c r="AE452" s="4">
        <v>174</v>
      </c>
      <c r="AF452" s="4">
        <v>97</v>
      </c>
      <c r="AG452" s="4">
        <v>106</v>
      </c>
      <c r="AH452" s="4">
        <v>132</v>
      </c>
      <c r="AI452" s="4">
        <v>66</v>
      </c>
      <c r="AJ452" s="4">
        <v>23</v>
      </c>
      <c r="AK452" t="s">
        <v>78</v>
      </c>
      <c r="AL452" t="s">
        <v>95</v>
      </c>
      <c r="AM452" t="s">
        <v>80</v>
      </c>
      <c r="AN452" t="s">
        <v>96</v>
      </c>
      <c r="AO452" t="s">
        <v>97</v>
      </c>
      <c r="AP452" t="s">
        <v>83</v>
      </c>
      <c r="AQ452" t="s">
        <v>83</v>
      </c>
      <c r="AR452" t="s">
        <v>83</v>
      </c>
      <c r="AS452" t="s">
        <v>102</v>
      </c>
      <c r="AT452" t="s">
        <v>83</v>
      </c>
      <c r="AU452" t="s">
        <v>83</v>
      </c>
      <c r="AV452" t="s">
        <v>83</v>
      </c>
      <c r="AW452" s="4">
        <v>2</v>
      </c>
      <c r="AX452" s="4">
        <v>1</v>
      </c>
      <c r="AY452" s="4">
        <v>2</v>
      </c>
      <c r="AZ452" s="3">
        <v>1.74</v>
      </c>
      <c r="BA452" s="3">
        <v>3.0276000000000001</v>
      </c>
      <c r="BB452" s="3">
        <v>22.460034350640772</v>
      </c>
      <c r="BC452" t="s">
        <v>85</v>
      </c>
      <c r="BD452" t="s">
        <v>86</v>
      </c>
      <c r="BE452" s="4">
        <v>3</v>
      </c>
      <c r="BF452" t="s">
        <v>111</v>
      </c>
      <c r="BG452" s="4">
        <v>0</v>
      </c>
      <c r="BH452" s="1" t="e">
        <v>#NULL!</v>
      </c>
      <c r="BI452" t="s">
        <v>85</v>
      </c>
      <c r="BJ452" s="4">
        <v>2</v>
      </c>
      <c r="BK452" t="s">
        <v>88</v>
      </c>
    </row>
    <row r="453" spans="1:63" x14ac:dyDescent="0.35">
      <c r="A453" s="4">
        <v>167</v>
      </c>
      <c r="B453" s="4">
        <v>62</v>
      </c>
      <c r="C453" t="s">
        <v>121</v>
      </c>
      <c r="D453" t="s">
        <v>64</v>
      </c>
      <c r="E453" t="s">
        <v>104</v>
      </c>
      <c r="F453" t="s">
        <v>90</v>
      </c>
      <c r="G453" t="s">
        <v>67</v>
      </c>
      <c r="H453" s="2">
        <v>500</v>
      </c>
      <c r="I453" t="s">
        <v>68</v>
      </c>
      <c r="J453" t="s">
        <v>69</v>
      </c>
      <c r="K453" t="s">
        <v>69</v>
      </c>
      <c r="L453" t="s">
        <v>69</v>
      </c>
      <c r="M453" s="4">
        <v>2</v>
      </c>
      <c r="N453" t="s">
        <v>71</v>
      </c>
      <c r="O453" s="4">
        <v>2</v>
      </c>
      <c r="P453" t="s">
        <v>71</v>
      </c>
      <c r="Q453" s="4">
        <v>0</v>
      </c>
      <c r="R453" t="s">
        <v>71</v>
      </c>
      <c r="S453" s="4">
        <v>0</v>
      </c>
      <c r="T453" t="s">
        <v>71</v>
      </c>
      <c r="U453" t="s">
        <v>92</v>
      </c>
      <c r="V453" t="s">
        <v>93</v>
      </c>
      <c r="W453" t="s">
        <v>75</v>
      </c>
      <c r="X453" t="s">
        <v>76</v>
      </c>
      <c r="Y453" t="s">
        <v>70</v>
      </c>
      <c r="Z453" s="4">
        <v>6</v>
      </c>
      <c r="AA453" t="s">
        <v>77</v>
      </c>
      <c r="AB453" s="4">
        <v>120</v>
      </c>
      <c r="AC453" s="4">
        <v>78</v>
      </c>
      <c r="AD453" s="4">
        <v>96</v>
      </c>
      <c r="AE453" s="4">
        <v>180</v>
      </c>
      <c r="AF453" s="4">
        <v>113</v>
      </c>
      <c r="AG453" s="4">
        <v>125</v>
      </c>
      <c r="AH453" s="4">
        <v>85</v>
      </c>
      <c r="AI453" s="4">
        <v>55</v>
      </c>
      <c r="AJ453" s="4">
        <v>80</v>
      </c>
      <c r="AK453" t="s">
        <v>78</v>
      </c>
      <c r="AL453" t="s">
        <v>95</v>
      </c>
      <c r="AM453" t="s">
        <v>80</v>
      </c>
      <c r="AN453" t="s">
        <v>96</v>
      </c>
      <c r="AO453" t="s">
        <v>97</v>
      </c>
      <c r="AP453" t="s">
        <v>85</v>
      </c>
      <c r="AQ453" t="s">
        <v>85</v>
      </c>
      <c r="AR453" t="s">
        <v>85</v>
      </c>
      <c r="AS453" t="s">
        <v>84</v>
      </c>
      <c r="AT453" t="s">
        <v>83</v>
      </c>
      <c r="AU453" t="s">
        <v>83</v>
      </c>
      <c r="AV453" t="s">
        <v>83</v>
      </c>
      <c r="AW453" s="4">
        <v>0</v>
      </c>
      <c r="AX453" s="4">
        <v>0</v>
      </c>
      <c r="AY453" s="4">
        <v>1</v>
      </c>
      <c r="AZ453" s="3">
        <v>1.8</v>
      </c>
      <c r="BA453" s="3">
        <v>3.24</v>
      </c>
      <c r="BB453" s="3">
        <v>29.629629629629626</v>
      </c>
      <c r="BC453" t="s">
        <v>98</v>
      </c>
      <c r="BD453" t="s">
        <v>99</v>
      </c>
      <c r="BE453" s="4">
        <v>1</v>
      </c>
      <c r="BF453" t="s">
        <v>87</v>
      </c>
      <c r="BG453" s="4">
        <v>1</v>
      </c>
      <c r="BH453" s="1" t="e">
        <v>#NULL!</v>
      </c>
      <c r="BI453" t="s">
        <v>83</v>
      </c>
      <c r="BJ453" s="4">
        <v>1</v>
      </c>
      <c r="BK453" t="s">
        <v>88</v>
      </c>
    </row>
    <row r="454" spans="1:63" x14ac:dyDescent="0.35">
      <c r="A454" s="4">
        <v>227</v>
      </c>
      <c r="B454" s="4">
        <v>62</v>
      </c>
      <c r="C454" t="s">
        <v>121</v>
      </c>
      <c r="D454" t="s">
        <v>64</v>
      </c>
      <c r="E454" t="s">
        <v>104</v>
      </c>
      <c r="F454" t="s">
        <v>101</v>
      </c>
      <c r="G454" t="s">
        <v>67</v>
      </c>
      <c r="H454" s="2">
        <v>400</v>
      </c>
      <c r="I454" t="s">
        <v>68</v>
      </c>
      <c r="J454" t="s">
        <v>69</v>
      </c>
      <c r="K454" t="s">
        <v>69</v>
      </c>
      <c r="L454" t="s">
        <v>69</v>
      </c>
      <c r="M454" s="4">
        <v>3</v>
      </c>
      <c r="N454" t="s">
        <v>91</v>
      </c>
      <c r="O454" s="4">
        <v>4</v>
      </c>
      <c r="P454" t="s">
        <v>91</v>
      </c>
      <c r="Q454" s="4">
        <v>2</v>
      </c>
      <c r="R454" t="s">
        <v>71</v>
      </c>
      <c r="S454" s="4">
        <v>1</v>
      </c>
      <c r="T454" t="s">
        <v>71</v>
      </c>
      <c r="U454" t="s">
        <v>103</v>
      </c>
      <c r="V454" t="s">
        <v>93</v>
      </c>
      <c r="W454" t="s">
        <v>93</v>
      </c>
      <c r="X454" t="s">
        <v>94</v>
      </c>
      <c r="Y454" t="s">
        <v>69</v>
      </c>
      <c r="Z454" s="4">
        <v>2</v>
      </c>
      <c r="AA454" t="s">
        <v>77</v>
      </c>
      <c r="AB454" s="4">
        <v>120</v>
      </c>
      <c r="AC454" s="4">
        <v>80</v>
      </c>
      <c r="AD454" s="4">
        <v>78</v>
      </c>
      <c r="AE454" s="4">
        <v>174</v>
      </c>
      <c r="AF454" s="4">
        <v>86</v>
      </c>
      <c r="AG454" s="4">
        <v>90</v>
      </c>
      <c r="AH454" s="4">
        <v>92</v>
      </c>
      <c r="AI454" s="4">
        <v>120</v>
      </c>
      <c r="AJ454" s="4">
        <v>34</v>
      </c>
      <c r="AK454" t="s">
        <v>78</v>
      </c>
      <c r="AL454" t="s">
        <v>95</v>
      </c>
      <c r="AM454" t="s">
        <v>80</v>
      </c>
      <c r="AN454" t="s">
        <v>96</v>
      </c>
      <c r="AO454" t="s">
        <v>97</v>
      </c>
      <c r="AP454" t="s">
        <v>83</v>
      </c>
      <c r="AQ454" t="s">
        <v>83</v>
      </c>
      <c r="AR454" t="s">
        <v>83</v>
      </c>
      <c r="AS454" t="s">
        <v>84</v>
      </c>
      <c r="AT454" t="s">
        <v>85</v>
      </c>
      <c r="AU454" t="s">
        <v>83</v>
      </c>
      <c r="AV454" t="s">
        <v>85</v>
      </c>
      <c r="AW454" s="4">
        <v>1</v>
      </c>
      <c r="AX454" s="4">
        <v>0</v>
      </c>
      <c r="AY454" s="4">
        <v>0</v>
      </c>
      <c r="AZ454" s="3">
        <v>1.74</v>
      </c>
      <c r="BA454" s="3">
        <v>3.0276000000000001</v>
      </c>
      <c r="BB454" s="3">
        <v>25.762980578676178</v>
      </c>
      <c r="BC454" t="s">
        <v>98</v>
      </c>
      <c r="BD454" t="s">
        <v>99</v>
      </c>
      <c r="BE454" s="4">
        <v>1</v>
      </c>
      <c r="BF454" t="s">
        <v>87</v>
      </c>
      <c r="BG454" s="4">
        <v>0</v>
      </c>
      <c r="BH454" s="1" t="e">
        <v>#NULL!</v>
      </c>
      <c r="BI454" t="s">
        <v>85</v>
      </c>
      <c r="BJ454" s="4">
        <v>1</v>
      </c>
      <c r="BK454" t="s">
        <v>88</v>
      </c>
    </row>
    <row r="455" spans="1:63" x14ac:dyDescent="0.35">
      <c r="A455" s="4">
        <v>245</v>
      </c>
      <c r="B455" s="4">
        <v>62</v>
      </c>
      <c r="C455" t="s">
        <v>121</v>
      </c>
      <c r="D455" t="s">
        <v>89</v>
      </c>
      <c r="E455" t="s">
        <v>104</v>
      </c>
      <c r="F455" t="s">
        <v>90</v>
      </c>
      <c r="G455" t="s">
        <v>67</v>
      </c>
      <c r="H455" s="2">
        <v>700</v>
      </c>
      <c r="I455" t="s">
        <v>105</v>
      </c>
      <c r="J455" t="s">
        <v>69</v>
      </c>
      <c r="K455" t="s">
        <v>69</v>
      </c>
      <c r="L455" t="s">
        <v>69</v>
      </c>
      <c r="M455" s="4">
        <v>0</v>
      </c>
      <c r="N455" t="s">
        <v>71</v>
      </c>
      <c r="O455" s="4">
        <v>1</v>
      </c>
      <c r="P455" t="s">
        <v>71</v>
      </c>
      <c r="Q455" s="4">
        <v>2</v>
      </c>
      <c r="R455" t="s">
        <v>71</v>
      </c>
      <c r="S455" s="4">
        <v>3</v>
      </c>
      <c r="T455" t="s">
        <v>91</v>
      </c>
      <c r="U455" t="s">
        <v>92</v>
      </c>
      <c r="V455" t="s">
        <v>93</v>
      </c>
      <c r="W455" t="s">
        <v>93</v>
      </c>
      <c r="X455" t="s">
        <v>94</v>
      </c>
      <c r="Y455" t="s">
        <v>69</v>
      </c>
      <c r="Z455" s="4">
        <v>6</v>
      </c>
      <c r="AA455" t="s">
        <v>77</v>
      </c>
      <c r="AB455" s="4">
        <v>160</v>
      </c>
      <c r="AC455" s="4">
        <v>108</v>
      </c>
      <c r="AD455" s="4">
        <v>84</v>
      </c>
      <c r="AE455" s="4">
        <v>164</v>
      </c>
      <c r="AF455" s="4">
        <v>94</v>
      </c>
      <c r="AG455" s="4">
        <v>106</v>
      </c>
      <c r="AH455" s="4">
        <v>132</v>
      </c>
      <c r="AI455" s="4">
        <v>120</v>
      </c>
      <c r="AJ455" s="4">
        <v>40</v>
      </c>
      <c r="AK455" t="s">
        <v>78</v>
      </c>
      <c r="AL455" t="s">
        <v>79</v>
      </c>
      <c r="AM455" t="s">
        <v>108</v>
      </c>
      <c r="AN455" t="s">
        <v>109</v>
      </c>
      <c r="AO455" t="s">
        <v>82</v>
      </c>
      <c r="AP455" t="s">
        <v>83</v>
      </c>
      <c r="AQ455" t="s">
        <v>85</v>
      </c>
      <c r="AR455" t="s">
        <v>83</v>
      </c>
      <c r="AS455" t="s">
        <v>102</v>
      </c>
      <c r="AT455" t="s">
        <v>83</v>
      </c>
      <c r="AU455" t="s">
        <v>83</v>
      </c>
      <c r="AV455" t="s">
        <v>83</v>
      </c>
      <c r="AW455" s="4">
        <v>3</v>
      </c>
      <c r="AX455" s="4">
        <v>1</v>
      </c>
      <c r="AY455" s="4">
        <v>2</v>
      </c>
      <c r="AZ455" s="3">
        <v>1.64</v>
      </c>
      <c r="BA455" s="3">
        <v>2.6895999999999995</v>
      </c>
      <c r="BB455" s="3">
        <v>31.231409875074366</v>
      </c>
      <c r="BC455" t="s">
        <v>110</v>
      </c>
      <c r="BD455" t="s">
        <v>99</v>
      </c>
      <c r="BE455" s="4">
        <v>4</v>
      </c>
      <c r="BF455" t="s">
        <v>111</v>
      </c>
      <c r="BG455" s="1" t="e">
        <v>#NULL!</v>
      </c>
      <c r="BH455" s="4">
        <v>1</v>
      </c>
      <c r="BI455" t="s">
        <v>83</v>
      </c>
      <c r="BJ455" s="4">
        <v>4</v>
      </c>
      <c r="BK455" t="s">
        <v>112</v>
      </c>
    </row>
    <row r="456" spans="1:63" x14ac:dyDescent="0.35">
      <c r="A456" s="4">
        <v>478</v>
      </c>
      <c r="B456" s="4">
        <v>62</v>
      </c>
      <c r="C456" t="s">
        <v>121</v>
      </c>
      <c r="D456" t="s">
        <v>64</v>
      </c>
      <c r="E456" t="s">
        <v>104</v>
      </c>
      <c r="F456" t="s">
        <v>101</v>
      </c>
      <c r="G456" t="s">
        <v>67</v>
      </c>
      <c r="H456" s="2">
        <v>600</v>
      </c>
      <c r="I456" t="s">
        <v>105</v>
      </c>
      <c r="J456" t="s">
        <v>69</v>
      </c>
      <c r="K456" t="s">
        <v>69</v>
      </c>
      <c r="L456" t="s">
        <v>69</v>
      </c>
      <c r="M456" s="4">
        <v>7</v>
      </c>
      <c r="N456" t="s">
        <v>72</v>
      </c>
      <c r="O456" s="4">
        <v>6</v>
      </c>
      <c r="P456" t="s">
        <v>72</v>
      </c>
      <c r="Q456" s="4">
        <v>7</v>
      </c>
      <c r="R456" t="s">
        <v>72</v>
      </c>
      <c r="S456" s="4">
        <v>6</v>
      </c>
      <c r="T456" t="s">
        <v>72</v>
      </c>
      <c r="U456" t="s">
        <v>73</v>
      </c>
      <c r="V456" t="s">
        <v>93</v>
      </c>
      <c r="W456" t="s">
        <v>93</v>
      </c>
      <c r="X456" t="s">
        <v>94</v>
      </c>
      <c r="Y456" t="s">
        <v>69</v>
      </c>
      <c r="Z456" s="4">
        <v>3</v>
      </c>
      <c r="AA456" t="s">
        <v>77</v>
      </c>
      <c r="AB456" s="4">
        <v>120</v>
      </c>
      <c r="AC456" s="4">
        <v>78</v>
      </c>
      <c r="AD456" s="4">
        <v>86</v>
      </c>
      <c r="AE456" s="4">
        <v>173</v>
      </c>
      <c r="AF456" s="4">
        <v>107</v>
      </c>
      <c r="AG456" s="4">
        <v>120</v>
      </c>
      <c r="AH456" s="4">
        <v>87</v>
      </c>
      <c r="AI456" s="4">
        <v>130</v>
      </c>
      <c r="AJ456" s="4">
        <v>53</v>
      </c>
      <c r="AK456" t="s">
        <v>78</v>
      </c>
      <c r="AL456" t="s">
        <v>95</v>
      </c>
      <c r="AM456" t="s">
        <v>80</v>
      </c>
      <c r="AN456" t="s">
        <v>96</v>
      </c>
      <c r="AO456" t="s">
        <v>97</v>
      </c>
      <c r="AP456" t="s">
        <v>85</v>
      </c>
      <c r="AQ456" t="s">
        <v>85</v>
      </c>
      <c r="AR456" t="s">
        <v>85</v>
      </c>
      <c r="AS456" t="s">
        <v>84</v>
      </c>
      <c r="AT456" t="s">
        <v>83</v>
      </c>
      <c r="AU456" t="s">
        <v>83</v>
      </c>
      <c r="AV456" t="s">
        <v>83</v>
      </c>
      <c r="AW456" s="4">
        <v>0</v>
      </c>
      <c r="AX456" s="4">
        <v>0</v>
      </c>
      <c r="AY456" s="4">
        <v>1</v>
      </c>
      <c r="AZ456" s="3">
        <v>1.73</v>
      </c>
      <c r="BA456" s="3">
        <v>2.9929000000000001</v>
      </c>
      <c r="BB456" s="3">
        <v>28.734672057202044</v>
      </c>
      <c r="BC456" t="s">
        <v>98</v>
      </c>
      <c r="BD456" t="s">
        <v>99</v>
      </c>
      <c r="BE456" s="4">
        <v>1</v>
      </c>
      <c r="BF456" t="s">
        <v>87</v>
      </c>
      <c r="BG456" s="4">
        <v>1</v>
      </c>
      <c r="BH456" s="1" t="e">
        <v>#NULL!</v>
      </c>
      <c r="BI456" t="s">
        <v>83</v>
      </c>
      <c r="BJ456" s="4">
        <v>1</v>
      </c>
      <c r="BK456" t="s">
        <v>88</v>
      </c>
    </row>
    <row r="457" spans="1:63" x14ac:dyDescent="0.35">
      <c r="A457" s="4">
        <v>12</v>
      </c>
      <c r="B457" s="4">
        <v>63</v>
      </c>
      <c r="C457" t="s">
        <v>121</v>
      </c>
      <c r="D457" t="s">
        <v>64</v>
      </c>
      <c r="E457" t="s">
        <v>104</v>
      </c>
      <c r="F457" t="s">
        <v>101</v>
      </c>
      <c r="G457" t="s">
        <v>67</v>
      </c>
      <c r="H457" s="2">
        <v>600</v>
      </c>
      <c r="I457" t="s">
        <v>105</v>
      </c>
      <c r="J457" t="s">
        <v>69</v>
      </c>
      <c r="K457" t="s">
        <v>70</v>
      </c>
      <c r="L457" t="s">
        <v>69</v>
      </c>
      <c r="M457" s="4">
        <v>7</v>
      </c>
      <c r="N457" t="s">
        <v>72</v>
      </c>
      <c r="O457" s="4">
        <v>6</v>
      </c>
      <c r="P457" t="s">
        <v>72</v>
      </c>
      <c r="Q457" s="4">
        <v>7</v>
      </c>
      <c r="R457" t="s">
        <v>72</v>
      </c>
      <c r="S457" s="4">
        <v>6</v>
      </c>
      <c r="T457" t="s">
        <v>72</v>
      </c>
      <c r="U457" t="s">
        <v>73</v>
      </c>
      <c r="V457" t="s">
        <v>93</v>
      </c>
      <c r="W457" t="s">
        <v>93</v>
      </c>
      <c r="X457" t="s">
        <v>94</v>
      </c>
      <c r="Y457" t="s">
        <v>69</v>
      </c>
      <c r="Z457" s="4">
        <v>3</v>
      </c>
      <c r="AA457" t="s">
        <v>77</v>
      </c>
      <c r="AB457" s="4">
        <v>120</v>
      </c>
      <c r="AC457" s="4">
        <v>78</v>
      </c>
      <c r="AD457" s="4">
        <v>86</v>
      </c>
      <c r="AE457" s="4">
        <v>173</v>
      </c>
      <c r="AF457" s="4">
        <v>107</v>
      </c>
      <c r="AG457" s="4">
        <v>120</v>
      </c>
      <c r="AH457" s="4">
        <v>87</v>
      </c>
      <c r="AI457" s="4">
        <v>130</v>
      </c>
      <c r="AJ457" s="4">
        <v>53</v>
      </c>
      <c r="AK457" t="s">
        <v>78</v>
      </c>
      <c r="AL457" t="s">
        <v>95</v>
      </c>
      <c r="AM457" t="s">
        <v>80</v>
      </c>
      <c r="AN457" t="s">
        <v>96</v>
      </c>
      <c r="AO457" t="s">
        <v>97</v>
      </c>
      <c r="AP457" t="s">
        <v>85</v>
      </c>
      <c r="AQ457" t="s">
        <v>85</v>
      </c>
      <c r="AR457" t="s">
        <v>85</v>
      </c>
      <c r="AS457" t="s">
        <v>84</v>
      </c>
      <c r="AT457" t="s">
        <v>83</v>
      </c>
      <c r="AU457" t="s">
        <v>83</v>
      </c>
      <c r="AV457" t="s">
        <v>83</v>
      </c>
      <c r="AW457" s="4">
        <v>0</v>
      </c>
      <c r="AX457" s="4">
        <v>0</v>
      </c>
      <c r="AY457" s="4">
        <v>1</v>
      </c>
      <c r="AZ457" s="3">
        <v>1.73</v>
      </c>
      <c r="BA457" s="3">
        <v>2.9929000000000001</v>
      </c>
      <c r="BB457" s="3">
        <v>28.734672057202044</v>
      </c>
      <c r="BC457" t="s">
        <v>98</v>
      </c>
      <c r="BD457" t="s">
        <v>99</v>
      </c>
      <c r="BE457" s="4">
        <v>1</v>
      </c>
      <c r="BF457" t="s">
        <v>87</v>
      </c>
      <c r="BG457" s="4">
        <v>1</v>
      </c>
      <c r="BH457" s="1" t="e">
        <v>#NULL!</v>
      </c>
      <c r="BI457" t="s">
        <v>83</v>
      </c>
      <c r="BJ457" s="4">
        <v>1</v>
      </c>
      <c r="BK457" t="s">
        <v>88</v>
      </c>
    </row>
    <row r="458" spans="1:63" x14ac:dyDescent="0.35">
      <c r="A458" s="4">
        <v>288</v>
      </c>
      <c r="B458" s="4">
        <v>63</v>
      </c>
      <c r="C458" t="s">
        <v>121</v>
      </c>
      <c r="D458" t="s">
        <v>64</v>
      </c>
      <c r="E458" t="s">
        <v>104</v>
      </c>
      <c r="F458" t="s">
        <v>101</v>
      </c>
      <c r="G458" t="s">
        <v>67</v>
      </c>
      <c r="H458" s="2">
        <v>400</v>
      </c>
      <c r="I458" t="s">
        <v>68</v>
      </c>
      <c r="J458" t="s">
        <v>69</v>
      </c>
      <c r="K458" t="s">
        <v>70</v>
      </c>
      <c r="L458" t="s">
        <v>69</v>
      </c>
      <c r="M458" s="4">
        <v>6</v>
      </c>
      <c r="N458" t="s">
        <v>72</v>
      </c>
      <c r="O458" s="4">
        <v>3</v>
      </c>
      <c r="P458" t="s">
        <v>91</v>
      </c>
      <c r="Q458" s="4">
        <v>1</v>
      </c>
      <c r="R458" t="s">
        <v>71</v>
      </c>
      <c r="S458" s="4">
        <v>1</v>
      </c>
      <c r="T458" t="s">
        <v>71</v>
      </c>
      <c r="U458" t="s">
        <v>92</v>
      </c>
      <c r="V458" t="s">
        <v>93</v>
      </c>
      <c r="W458" t="s">
        <v>93</v>
      </c>
      <c r="X458" t="s">
        <v>94</v>
      </c>
      <c r="Y458" t="s">
        <v>69</v>
      </c>
      <c r="Z458" s="4">
        <v>10</v>
      </c>
      <c r="AA458" t="s">
        <v>117</v>
      </c>
      <c r="AB458" s="4">
        <v>106</v>
      </c>
      <c r="AC458" s="4">
        <v>76</v>
      </c>
      <c r="AD458" s="4">
        <v>68</v>
      </c>
      <c r="AE458" s="4">
        <v>174</v>
      </c>
      <c r="AF458" s="4">
        <v>97</v>
      </c>
      <c r="AG458" s="4">
        <v>106</v>
      </c>
      <c r="AH458" s="4">
        <v>132</v>
      </c>
      <c r="AI458" s="4">
        <v>66</v>
      </c>
      <c r="AJ458" s="4">
        <v>23</v>
      </c>
      <c r="AK458" t="s">
        <v>78</v>
      </c>
      <c r="AL458" t="s">
        <v>95</v>
      </c>
      <c r="AM458" t="s">
        <v>80</v>
      </c>
      <c r="AN458" t="s">
        <v>96</v>
      </c>
      <c r="AO458" t="s">
        <v>97</v>
      </c>
      <c r="AP458" t="s">
        <v>83</v>
      </c>
      <c r="AQ458" t="s">
        <v>83</v>
      </c>
      <c r="AR458" t="s">
        <v>83</v>
      </c>
      <c r="AS458" t="s">
        <v>102</v>
      </c>
      <c r="AT458" t="s">
        <v>83</v>
      </c>
      <c r="AU458" t="s">
        <v>83</v>
      </c>
      <c r="AV458" t="s">
        <v>83</v>
      </c>
      <c r="AW458" s="4">
        <v>2</v>
      </c>
      <c r="AX458" s="4">
        <v>1</v>
      </c>
      <c r="AY458" s="4">
        <v>2</v>
      </c>
      <c r="AZ458" s="3">
        <v>1.74</v>
      </c>
      <c r="BA458" s="3">
        <v>3.0276000000000001</v>
      </c>
      <c r="BB458" s="3">
        <v>22.460034350640772</v>
      </c>
      <c r="BC458" t="s">
        <v>85</v>
      </c>
      <c r="BD458" t="s">
        <v>86</v>
      </c>
      <c r="BE458" s="4">
        <v>3</v>
      </c>
      <c r="BF458" t="s">
        <v>111</v>
      </c>
      <c r="BG458" s="4">
        <v>0</v>
      </c>
      <c r="BH458" s="1" t="e">
        <v>#NULL!</v>
      </c>
      <c r="BI458" t="s">
        <v>85</v>
      </c>
      <c r="BJ458" s="4">
        <v>2</v>
      </c>
      <c r="BK458" t="s">
        <v>88</v>
      </c>
    </row>
    <row r="459" spans="1:63" x14ac:dyDescent="0.35">
      <c r="A459" s="4">
        <v>300</v>
      </c>
      <c r="B459" s="4">
        <v>64</v>
      </c>
      <c r="C459" t="s">
        <v>121</v>
      </c>
      <c r="D459" t="s">
        <v>64</v>
      </c>
      <c r="E459" t="s">
        <v>104</v>
      </c>
      <c r="F459" t="s">
        <v>101</v>
      </c>
      <c r="G459" t="s">
        <v>67</v>
      </c>
      <c r="H459" s="2">
        <v>600</v>
      </c>
      <c r="I459" t="s">
        <v>105</v>
      </c>
      <c r="J459" t="s">
        <v>69</v>
      </c>
      <c r="K459" t="s">
        <v>70</v>
      </c>
      <c r="L459" t="s">
        <v>69</v>
      </c>
      <c r="M459" s="4">
        <v>7</v>
      </c>
      <c r="N459" t="s">
        <v>72</v>
      </c>
      <c r="O459" s="4">
        <v>6</v>
      </c>
      <c r="P459" t="s">
        <v>72</v>
      </c>
      <c r="Q459" s="4">
        <v>7</v>
      </c>
      <c r="R459" t="s">
        <v>72</v>
      </c>
      <c r="S459" s="4">
        <v>6</v>
      </c>
      <c r="T459" t="s">
        <v>72</v>
      </c>
      <c r="U459" t="s">
        <v>73</v>
      </c>
      <c r="V459" t="s">
        <v>93</v>
      </c>
      <c r="W459" t="s">
        <v>93</v>
      </c>
      <c r="X459" t="s">
        <v>94</v>
      </c>
      <c r="Y459" t="s">
        <v>69</v>
      </c>
      <c r="Z459" s="4">
        <v>3</v>
      </c>
      <c r="AA459" t="s">
        <v>77</v>
      </c>
      <c r="AB459" s="4">
        <v>120</v>
      </c>
      <c r="AC459" s="4">
        <v>78</v>
      </c>
      <c r="AD459" s="4">
        <v>86</v>
      </c>
      <c r="AE459" s="4">
        <v>173</v>
      </c>
      <c r="AF459" s="4">
        <v>107</v>
      </c>
      <c r="AG459" s="4">
        <v>120</v>
      </c>
      <c r="AH459" s="4">
        <v>87</v>
      </c>
      <c r="AI459" s="4">
        <v>130</v>
      </c>
      <c r="AJ459" s="4">
        <v>53</v>
      </c>
      <c r="AK459" t="s">
        <v>78</v>
      </c>
      <c r="AL459" t="s">
        <v>95</v>
      </c>
      <c r="AM459" t="s">
        <v>80</v>
      </c>
      <c r="AN459" t="s">
        <v>96</v>
      </c>
      <c r="AO459" t="s">
        <v>97</v>
      </c>
      <c r="AP459" t="s">
        <v>85</v>
      </c>
      <c r="AQ459" t="s">
        <v>85</v>
      </c>
      <c r="AR459" t="s">
        <v>85</v>
      </c>
      <c r="AS459" t="s">
        <v>84</v>
      </c>
      <c r="AT459" t="s">
        <v>83</v>
      </c>
      <c r="AU459" t="s">
        <v>83</v>
      </c>
      <c r="AV459" t="s">
        <v>83</v>
      </c>
      <c r="AW459" s="4">
        <v>0</v>
      </c>
      <c r="AX459" s="4">
        <v>0</v>
      </c>
      <c r="AY459" s="4">
        <v>1</v>
      </c>
      <c r="AZ459" s="3">
        <v>1.73</v>
      </c>
      <c r="BA459" s="3">
        <v>2.9929000000000001</v>
      </c>
      <c r="BB459" s="3">
        <v>28.734672057202044</v>
      </c>
      <c r="BC459" t="s">
        <v>98</v>
      </c>
      <c r="BD459" t="s">
        <v>99</v>
      </c>
      <c r="BE459" s="4">
        <v>1</v>
      </c>
      <c r="BF459" t="s">
        <v>87</v>
      </c>
      <c r="BG459" s="4">
        <v>1</v>
      </c>
      <c r="BH459" s="1" t="e">
        <v>#NULL!</v>
      </c>
      <c r="BI459" t="s">
        <v>83</v>
      </c>
      <c r="BJ459" s="4">
        <v>1</v>
      </c>
      <c r="BK459" t="s">
        <v>88</v>
      </c>
    </row>
    <row r="460" spans="1:63" x14ac:dyDescent="0.35">
      <c r="A460" s="4">
        <v>143</v>
      </c>
      <c r="B460" s="4">
        <v>64</v>
      </c>
      <c r="C460" t="s">
        <v>121</v>
      </c>
      <c r="D460" t="s">
        <v>89</v>
      </c>
      <c r="E460" t="s">
        <v>104</v>
      </c>
      <c r="F460" t="s">
        <v>66</v>
      </c>
      <c r="G460" t="s">
        <v>67</v>
      </c>
      <c r="H460" s="2">
        <v>700</v>
      </c>
      <c r="I460" t="s">
        <v>105</v>
      </c>
      <c r="J460" t="s">
        <v>69</v>
      </c>
      <c r="K460" t="s">
        <v>69</v>
      </c>
      <c r="L460" t="s">
        <v>69</v>
      </c>
      <c r="M460" s="4">
        <v>7</v>
      </c>
      <c r="N460" t="s">
        <v>72</v>
      </c>
      <c r="O460" s="4">
        <v>4</v>
      </c>
      <c r="P460" t="s">
        <v>91</v>
      </c>
      <c r="Q460" s="4">
        <v>3</v>
      </c>
      <c r="R460" t="s">
        <v>91</v>
      </c>
      <c r="S460" s="4">
        <v>7</v>
      </c>
      <c r="T460" t="s">
        <v>72</v>
      </c>
      <c r="U460" t="s">
        <v>73</v>
      </c>
      <c r="V460" t="s">
        <v>93</v>
      </c>
      <c r="W460" t="s">
        <v>93</v>
      </c>
      <c r="X460" t="s">
        <v>94</v>
      </c>
      <c r="Y460" t="s">
        <v>69</v>
      </c>
      <c r="Z460" s="4">
        <v>7</v>
      </c>
      <c r="AA460" t="s">
        <v>77</v>
      </c>
      <c r="AB460" s="4">
        <v>180</v>
      </c>
      <c r="AC460" s="4">
        <v>120</v>
      </c>
      <c r="AD460" s="4">
        <v>105</v>
      </c>
      <c r="AE460" s="4">
        <v>172</v>
      </c>
      <c r="AF460" s="4">
        <v>114</v>
      </c>
      <c r="AG460" s="4">
        <v>125</v>
      </c>
      <c r="AH460" s="4">
        <v>78</v>
      </c>
      <c r="AI460" s="4">
        <v>107</v>
      </c>
      <c r="AJ460" s="4">
        <v>22</v>
      </c>
      <c r="AK460" t="s">
        <v>78</v>
      </c>
      <c r="AL460" t="s">
        <v>79</v>
      </c>
      <c r="AM460" t="s">
        <v>108</v>
      </c>
      <c r="AN460" t="s">
        <v>109</v>
      </c>
      <c r="AO460" t="s">
        <v>82</v>
      </c>
      <c r="AP460" t="s">
        <v>83</v>
      </c>
      <c r="AQ460" t="s">
        <v>83</v>
      </c>
      <c r="AR460" t="s">
        <v>83</v>
      </c>
      <c r="AS460" t="s">
        <v>84</v>
      </c>
      <c r="AT460" t="s">
        <v>83</v>
      </c>
      <c r="AU460" t="s">
        <v>83</v>
      </c>
      <c r="AV460" t="s">
        <v>83</v>
      </c>
      <c r="AW460" s="4">
        <v>2</v>
      </c>
      <c r="AX460" s="4">
        <v>1</v>
      </c>
      <c r="AY460" s="4">
        <v>2</v>
      </c>
      <c r="AZ460" s="3">
        <v>1.72</v>
      </c>
      <c r="BA460" s="3">
        <v>2.9583999999999997</v>
      </c>
      <c r="BB460" s="3">
        <v>35.492157923201731</v>
      </c>
      <c r="BC460" t="s">
        <v>110</v>
      </c>
      <c r="BD460" t="s">
        <v>99</v>
      </c>
      <c r="BE460" s="4">
        <v>3</v>
      </c>
      <c r="BF460" t="s">
        <v>111</v>
      </c>
      <c r="BG460" s="1" t="e">
        <v>#NULL!</v>
      </c>
      <c r="BH460" s="4">
        <v>1</v>
      </c>
      <c r="BI460" t="s">
        <v>83</v>
      </c>
      <c r="BJ460" s="4">
        <v>3</v>
      </c>
      <c r="BK460" t="s">
        <v>112</v>
      </c>
    </row>
    <row r="461" spans="1:63" x14ac:dyDescent="0.35">
      <c r="A461" s="4">
        <v>395</v>
      </c>
      <c r="B461" s="4">
        <v>64</v>
      </c>
      <c r="C461" t="s">
        <v>121</v>
      </c>
      <c r="D461" t="s">
        <v>64</v>
      </c>
      <c r="E461" t="s">
        <v>104</v>
      </c>
      <c r="F461" t="s">
        <v>90</v>
      </c>
      <c r="G461" t="s">
        <v>67</v>
      </c>
      <c r="H461" s="2">
        <v>2800</v>
      </c>
      <c r="I461" t="s">
        <v>116</v>
      </c>
      <c r="J461" t="s">
        <v>69</v>
      </c>
      <c r="K461" t="s">
        <v>70</v>
      </c>
      <c r="L461" t="s">
        <v>69</v>
      </c>
      <c r="M461" s="4">
        <v>2</v>
      </c>
      <c r="N461" t="s">
        <v>71</v>
      </c>
      <c r="O461" s="4">
        <v>2</v>
      </c>
      <c r="P461" t="s">
        <v>71</v>
      </c>
      <c r="Q461" s="4">
        <v>2</v>
      </c>
      <c r="R461" t="s">
        <v>71</v>
      </c>
      <c r="S461" s="4">
        <v>1</v>
      </c>
      <c r="T461" t="s">
        <v>71</v>
      </c>
      <c r="U461" t="s">
        <v>103</v>
      </c>
      <c r="V461" t="s">
        <v>93</v>
      </c>
      <c r="W461" t="s">
        <v>93</v>
      </c>
      <c r="X461" t="s">
        <v>94</v>
      </c>
      <c r="Y461" t="s">
        <v>69</v>
      </c>
      <c r="Z461" s="4">
        <v>8</v>
      </c>
      <c r="AA461" t="s">
        <v>117</v>
      </c>
      <c r="AB461" s="4">
        <v>158</v>
      </c>
      <c r="AC461" s="4">
        <v>96</v>
      </c>
      <c r="AD461" s="4">
        <v>96</v>
      </c>
      <c r="AE461" s="4">
        <v>172</v>
      </c>
      <c r="AF461" s="4">
        <v>98</v>
      </c>
      <c r="AG461" s="4">
        <v>112</v>
      </c>
      <c r="AH461" s="4">
        <v>148</v>
      </c>
      <c r="AI461" s="4">
        <v>178</v>
      </c>
      <c r="AJ461" s="4">
        <v>36</v>
      </c>
      <c r="AK461" t="s">
        <v>107</v>
      </c>
      <c r="AL461" t="s">
        <v>79</v>
      </c>
      <c r="AM461" t="s">
        <v>108</v>
      </c>
      <c r="AN461" t="s">
        <v>109</v>
      </c>
      <c r="AO461" t="s">
        <v>82</v>
      </c>
      <c r="AP461" t="s">
        <v>83</v>
      </c>
      <c r="AQ461" t="s">
        <v>83</v>
      </c>
      <c r="AR461" t="s">
        <v>83</v>
      </c>
      <c r="AS461" t="s">
        <v>102</v>
      </c>
      <c r="AT461" t="s">
        <v>83</v>
      </c>
      <c r="AU461" t="s">
        <v>83</v>
      </c>
      <c r="AV461" t="s">
        <v>83</v>
      </c>
      <c r="AW461" s="4">
        <v>4</v>
      </c>
      <c r="AX461" s="4">
        <v>1</v>
      </c>
      <c r="AY461" s="4">
        <v>2</v>
      </c>
      <c r="AZ461" s="3">
        <v>1.72</v>
      </c>
      <c r="BA461" s="3">
        <v>2.9583999999999997</v>
      </c>
      <c r="BB461" s="3">
        <v>32.449972958355872</v>
      </c>
      <c r="BC461" t="s">
        <v>110</v>
      </c>
      <c r="BD461" t="s">
        <v>99</v>
      </c>
      <c r="BE461" s="4">
        <v>5</v>
      </c>
      <c r="BF461" t="s">
        <v>111</v>
      </c>
      <c r="BG461" s="4">
        <v>0</v>
      </c>
      <c r="BH461" s="1" t="e">
        <v>#NULL!</v>
      </c>
      <c r="BI461" t="s">
        <v>85</v>
      </c>
      <c r="BJ461" s="4">
        <v>4</v>
      </c>
      <c r="BK461" t="s">
        <v>112</v>
      </c>
    </row>
    <row r="462" spans="1:63" x14ac:dyDescent="0.35">
      <c r="A462" s="4">
        <v>61</v>
      </c>
      <c r="B462" s="4">
        <v>65</v>
      </c>
      <c r="C462" t="s">
        <v>122</v>
      </c>
      <c r="D462" t="s">
        <v>64</v>
      </c>
      <c r="E462" t="s">
        <v>104</v>
      </c>
      <c r="F462" t="s">
        <v>90</v>
      </c>
      <c r="G462" t="s">
        <v>67</v>
      </c>
      <c r="H462" s="2">
        <v>800</v>
      </c>
      <c r="I462" t="s">
        <v>105</v>
      </c>
      <c r="J462" t="s">
        <v>70</v>
      </c>
      <c r="K462" t="s">
        <v>70</v>
      </c>
      <c r="L462" t="s">
        <v>69</v>
      </c>
      <c r="M462" s="4">
        <v>3</v>
      </c>
      <c r="N462" t="s">
        <v>91</v>
      </c>
      <c r="O462" s="4">
        <v>2</v>
      </c>
      <c r="P462" t="s">
        <v>71</v>
      </c>
      <c r="Q462" s="4">
        <v>2</v>
      </c>
      <c r="R462" t="s">
        <v>71</v>
      </c>
      <c r="S462" s="4">
        <v>2</v>
      </c>
      <c r="T462" t="s">
        <v>71</v>
      </c>
      <c r="U462" t="s">
        <v>103</v>
      </c>
      <c r="V462" t="s">
        <v>93</v>
      </c>
      <c r="W462" t="s">
        <v>93</v>
      </c>
      <c r="X462" t="s">
        <v>94</v>
      </c>
      <c r="Y462" t="s">
        <v>69</v>
      </c>
      <c r="Z462" s="4">
        <v>5</v>
      </c>
      <c r="AA462" t="s">
        <v>77</v>
      </c>
      <c r="AB462" s="4">
        <v>152</v>
      </c>
      <c r="AC462" s="4">
        <v>86</v>
      </c>
      <c r="AD462" s="4">
        <v>63</v>
      </c>
      <c r="AE462" s="4">
        <v>171</v>
      </c>
      <c r="AF462" s="4">
        <v>77</v>
      </c>
      <c r="AG462" s="4">
        <v>94</v>
      </c>
      <c r="AH462" s="4">
        <v>99</v>
      </c>
      <c r="AI462" s="4">
        <v>108</v>
      </c>
      <c r="AJ462" s="4">
        <v>44</v>
      </c>
      <c r="AK462" t="s">
        <v>78</v>
      </c>
      <c r="AL462" t="s">
        <v>79</v>
      </c>
      <c r="AM462" t="s">
        <v>108</v>
      </c>
      <c r="AN462" t="s">
        <v>109</v>
      </c>
      <c r="AO462" t="s">
        <v>82</v>
      </c>
      <c r="AP462" t="s">
        <v>83</v>
      </c>
      <c r="AQ462" t="s">
        <v>85</v>
      </c>
      <c r="AR462" t="s">
        <v>85</v>
      </c>
      <c r="AS462" t="s">
        <v>84</v>
      </c>
      <c r="AT462" t="s">
        <v>85</v>
      </c>
      <c r="AU462" t="s">
        <v>85</v>
      </c>
      <c r="AV462" t="s">
        <v>85</v>
      </c>
      <c r="AW462" s="4">
        <v>1</v>
      </c>
      <c r="AX462" s="4">
        <v>0</v>
      </c>
      <c r="AY462" s="4">
        <v>0</v>
      </c>
      <c r="AZ462" s="3">
        <v>1.71</v>
      </c>
      <c r="BA462" s="3">
        <v>2.9240999999999997</v>
      </c>
      <c r="BB462" s="3">
        <v>21.545090797168363</v>
      </c>
      <c r="BC462" t="s">
        <v>85</v>
      </c>
      <c r="BD462" t="s">
        <v>86</v>
      </c>
      <c r="BE462" s="4">
        <v>1</v>
      </c>
      <c r="BF462" t="s">
        <v>87</v>
      </c>
      <c r="BG462" s="4">
        <v>0</v>
      </c>
      <c r="BH462" s="1" t="e">
        <v>#NULL!</v>
      </c>
      <c r="BI462" t="s">
        <v>85</v>
      </c>
      <c r="BJ462" s="4">
        <v>1</v>
      </c>
      <c r="BK462" t="s">
        <v>88</v>
      </c>
    </row>
    <row r="463" spans="1:63" x14ac:dyDescent="0.35">
      <c r="A463" s="4">
        <v>202</v>
      </c>
      <c r="B463" s="4">
        <v>65</v>
      </c>
      <c r="C463" t="s">
        <v>122</v>
      </c>
      <c r="D463" t="s">
        <v>64</v>
      </c>
      <c r="E463" t="s">
        <v>104</v>
      </c>
      <c r="F463" t="s">
        <v>90</v>
      </c>
      <c r="G463" t="s">
        <v>67</v>
      </c>
      <c r="H463" s="2">
        <v>1800</v>
      </c>
      <c r="I463" t="s">
        <v>116</v>
      </c>
      <c r="J463" t="s">
        <v>69</v>
      </c>
      <c r="K463" t="s">
        <v>70</v>
      </c>
      <c r="L463" t="s">
        <v>69</v>
      </c>
      <c r="M463" s="4">
        <v>2</v>
      </c>
      <c r="N463" t="s">
        <v>71</v>
      </c>
      <c r="O463" s="4">
        <v>2</v>
      </c>
      <c r="P463" t="s">
        <v>71</v>
      </c>
      <c r="Q463" s="4">
        <v>1</v>
      </c>
      <c r="R463" t="s">
        <v>71</v>
      </c>
      <c r="S463" s="4">
        <v>1</v>
      </c>
      <c r="T463" t="s">
        <v>71</v>
      </c>
      <c r="U463" t="s">
        <v>92</v>
      </c>
      <c r="V463" t="s">
        <v>74</v>
      </c>
      <c r="W463" t="s">
        <v>93</v>
      </c>
      <c r="X463" t="s">
        <v>94</v>
      </c>
      <c r="Y463" t="s">
        <v>69</v>
      </c>
      <c r="Z463" s="4">
        <v>3</v>
      </c>
      <c r="AA463" t="s">
        <v>77</v>
      </c>
      <c r="AB463" s="4">
        <v>120</v>
      </c>
      <c r="AC463" s="4">
        <v>80</v>
      </c>
      <c r="AD463" s="4">
        <v>90</v>
      </c>
      <c r="AE463" s="4">
        <v>185</v>
      </c>
      <c r="AF463" s="4">
        <v>90</v>
      </c>
      <c r="AG463" s="4">
        <v>104</v>
      </c>
      <c r="AH463" s="4">
        <v>90</v>
      </c>
      <c r="AI463" s="4">
        <v>120</v>
      </c>
      <c r="AJ463" s="4">
        <v>58</v>
      </c>
      <c r="AK463" t="s">
        <v>78</v>
      </c>
      <c r="AL463" t="s">
        <v>95</v>
      </c>
      <c r="AM463" t="s">
        <v>80</v>
      </c>
      <c r="AN463" t="s">
        <v>96</v>
      </c>
      <c r="AO463" t="s">
        <v>97</v>
      </c>
      <c r="AP463" t="s">
        <v>85</v>
      </c>
      <c r="AQ463" t="s">
        <v>85</v>
      </c>
      <c r="AR463" t="s">
        <v>85</v>
      </c>
      <c r="AS463" t="s">
        <v>84</v>
      </c>
      <c r="AT463" t="s">
        <v>85</v>
      </c>
      <c r="AU463" t="s">
        <v>83</v>
      </c>
      <c r="AV463" t="s">
        <v>85</v>
      </c>
      <c r="AW463" s="4">
        <v>0</v>
      </c>
      <c r="AX463" s="4">
        <v>0</v>
      </c>
      <c r="AY463" s="4">
        <v>0</v>
      </c>
      <c r="AZ463" s="3">
        <v>1.85</v>
      </c>
      <c r="BA463" s="3">
        <v>3.4225000000000003</v>
      </c>
      <c r="BB463" s="3">
        <v>26.296566837107374</v>
      </c>
      <c r="BC463" t="s">
        <v>98</v>
      </c>
      <c r="BD463" t="s">
        <v>99</v>
      </c>
      <c r="BE463" s="4">
        <v>0</v>
      </c>
      <c r="BF463" t="s">
        <v>87</v>
      </c>
      <c r="BG463" s="4">
        <v>0</v>
      </c>
      <c r="BH463" s="1" t="e">
        <v>#NULL!</v>
      </c>
      <c r="BI463" t="s">
        <v>85</v>
      </c>
      <c r="BJ463" s="4">
        <v>0</v>
      </c>
      <c r="BK463" t="s">
        <v>88</v>
      </c>
    </row>
    <row r="464" spans="1:63" x14ac:dyDescent="0.35">
      <c r="A464" s="4">
        <v>216</v>
      </c>
      <c r="B464" s="4">
        <v>65</v>
      </c>
      <c r="C464" t="s">
        <v>122</v>
      </c>
      <c r="D464" t="s">
        <v>64</v>
      </c>
      <c r="E464" t="s">
        <v>104</v>
      </c>
      <c r="F464" t="s">
        <v>90</v>
      </c>
      <c r="G464" t="s">
        <v>67</v>
      </c>
      <c r="H464" s="2">
        <v>2800</v>
      </c>
      <c r="I464" t="s">
        <v>116</v>
      </c>
      <c r="J464" t="s">
        <v>69</v>
      </c>
      <c r="K464" t="s">
        <v>70</v>
      </c>
      <c r="L464" t="s">
        <v>69</v>
      </c>
      <c r="M464" s="4">
        <v>2</v>
      </c>
      <c r="N464" t="s">
        <v>71</v>
      </c>
      <c r="O464" s="4">
        <v>2</v>
      </c>
      <c r="P464" t="s">
        <v>71</v>
      </c>
      <c r="Q464" s="4">
        <v>2</v>
      </c>
      <c r="R464" t="s">
        <v>71</v>
      </c>
      <c r="S464" s="4">
        <v>1</v>
      </c>
      <c r="T464" t="s">
        <v>71</v>
      </c>
      <c r="U464" t="s">
        <v>103</v>
      </c>
      <c r="V464" t="s">
        <v>93</v>
      </c>
      <c r="W464" t="s">
        <v>93</v>
      </c>
      <c r="X464" t="s">
        <v>94</v>
      </c>
      <c r="Y464" t="s">
        <v>69</v>
      </c>
      <c r="Z464" s="4">
        <v>8</v>
      </c>
      <c r="AA464" t="s">
        <v>117</v>
      </c>
      <c r="AB464" s="4">
        <v>158</v>
      </c>
      <c r="AC464" s="4">
        <v>96</v>
      </c>
      <c r="AD464" s="4">
        <v>96</v>
      </c>
      <c r="AE464" s="4">
        <v>172</v>
      </c>
      <c r="AF464" s="4">
        <v>98</v>
      </c>
      <c r="AG464" s="4">
        <v>112</v>
      </c>
      <c r="AH464" s="4">
        <v>148</v>
      </c>
      <c r="AI464" s="4">
        <v>178</v>
      </c>
      <c r="AJ464" s="4">
        <v>36</v>
      </c>
      <c r="AK464" t="s">
        <v>107</v>
      </c>
      <c r="AL464" t="s">
        <v>79</v>
      </c>
      <c r="AM464" t="s">
        <v>108</v>
      </c>
      <c r="AN464" t="s">
        <v>109</v>
      </c>
      <c r="AO464" t="s">
        <v>82</v>
      </c>
      <c r="AP464" t="s">
        <v>83</v>
      </c>
      <c r="AQ464" t="s">
        <v>83</v>
      </c>
      <c r="AR464" t="s">
        <v>83</v>
      </c>
      <c r="AS464" t="s">
        <v>102</v>
      </c>
      <c r="AT464" t="s">
        <v>83</v>
      </c>
      <c r="AU464" t="s">
        <v>83</v>
      </c>
      <c r="AV464" t="s">
        <v>83</v>
      </c>
      <c r="AW464" s="4">
        <v>4</v>
      </c>
      <c r="AX464" s="4">
        <v>1</v>
      </c>
      <c r="AY464" s="4">
        <v>2</v>
      </c>
      <c r="AZ464" s="3">
        <v>1.72</v>
      </c>
      <c r="BA464" s="3">
        <v>2.9583999999999997</v>
      </c>
      <c r="BB464" s="3">
        <v>32.449972958355872</v>
      </c>
      <c r="BC464" t="s">
        <v>110</v>
      </c>
      <c r="BD464" t="s">
        <v>99</v>
      </c>
      <c r="BE464" s="4">
        <v>5</v>
      </c>
      <c r="BF464" t="s">
        <v>111</v>
      </c>
      <c r="BG464" s="4">
        <v>0</v>
      </c>
      <c r="BH464" s="1" t="e">
        <v>#NULL!</v>
      </c>
      <c r="BI464" t="s">
        <v>85</v>
      </c>
      <c r="BJ464" s="4">
        <v>4</v>
      </c>
      <c r="BK464" t="s">
        <v>112</v>
      </c>
    </row>
    <row r="465" spans="1:63" x14ac:dyDescent="0.35">
      <c r="A465" s="4">
        <v>338</v>
      </c>
      <c r="B465" s="4">
        <v>65</v>
      </c>
      <c r="C465" t="s">
        <v>122</v>
      </c>
      <c r="D465" t="s">
        <v>89</v>
      </c>
      <c r="E465" t="s">
        <v>104</v>
      </c>
      <c r="F465" t="s">
        <v>66</v>
      </c>
      <c r="G465" t="s">
        <v>67</v>
      </c>
      <c r="H465" s="2">
        <v>700</v>
      </c>
      <c r="I465" t="s">
        <v>105</v>
      </c>
      <c r="J465" t="s">
        <v>69</v>
      </c>
      <c r="K465" t="s">
        <v>69</v>
      </c>
      <c r="L465" t="s">
        <v>69</v>
      </c>
      <c r="M465" s="4">
        <v>7</v>
      </c>
      <c r="N465" t="s">
        <v>72</v>
      </c>
      <c r="O465" s="4">
        <v>4</v>
      </c>
      <c r="P465" t="s">
        <v>91</v>
      </c>
      <c r="Q465" s="4">
        <v>3</v>
      </c>
      <c r="R465" t="s">
        <v>91</v>
      </c>
      <c r="S465" s="4">
        <v>7</v>
      </c>
      <c r="T465" t="s">
        <v>72</v>
      </c>
      <c r="U465" t="s">
        <v>73</v>
      </c>
      <c r="V465" t="s">
        <v>93</v>
      </c>
      <c r="W465" t="s">
        <v>93</v>
      </c>
      <c r="X465" t="s">
        <v>94</v>
      </c>
      <c r="Y465" t="s">
        <v>69</v>
      </c>
      <c r="Z465" s="4">
        <v>7</v>
      </c>
      <c r="AA465" t="s">
        <v>77</v>
      </c>
      <c r="AB465" s="4">
        <v>180</v>
      </c>
      <c r="AC465" s="4">
        <v>120</v>
      </c>
      <c r="AD465" s="4">
        <v>105</v>
      </c>
      <c r="AE465" s="4">
        <v>172</v>
      </c>
      <c r="AF465" s="4">
        <v>114</v>
      </c>
      <c r="AG465" s="4">
        <v>125</v>
      </c>
      <c r="AH465" s="4">
        <v>78</v>
      </c>
      <c r="AI465" s="4">
        <v>107</v>
      </c>
      <c r="AJ465" s="4">
        <v>22</v>
      </c>
      <c r="AK465" t="s">
        <v>78</v>
      </c>
      <c r="AL465" t="s">
        <v>79</v>
      </c>
      <c r="AM465" t="s">
        <v>108</v>
      </c>
      <c r="AN465" t="s">
        <v>109</v>
      </c>
      <c r="AO465" t="s">
        <v>82</v>
      </c>
      <c r="AP465" t="s">
        <v>83</v>
      </c>
      <c r="AQ465" t="s">
        <v>83</v>
      </c>
      <c r="AR465" t="s">
        <v>83</v>
      </c>
      <c r="AS465" t="s">
        <v>84</v>
      </c>
      <c r="AT465" t="s">
        <v>83</v>
      </c>
      <c r="AU465" t="s">
        <v>83</v>
      </c>
      <c r="AV465" t="s">
        <v>83</v>
      </c>
      <c r="AW465" s="4">
        <v>2</v>
      </c>
      <c r="AX465" s="4">
        <v>1</v>
      </c>
      <c r="AY465" s="4">
        <v>2</v>
      </c>
      <c r="AZ465" s="3">
        <v>1.72</v>
      </c>
      <c r="BA465" s="3">
        <v>2.9583999999999997</v>
      </c>
      <c r="BB465" s="3">
        <v>35.492157923201731</v>
      </c>
      <c r="BC465" t="s">
        <v>110</v>
      </c>
      <c r="BD465" t="s">
        <v>99</v>
      </c>
      <c r="BE465" s="4">
        <v>3</v>
      </c>
      <c r="BF465" t="s">
        <v>111</v>
      </c>
      <c r="BG465" s="1" t="e">
        <v>#NULL!</v>
      </c>
      <c r="BH465" s="4">
        <v>1</v>
      </c>
      <c r="BI465" t="s">
        <v>83</v>
      </c>
      <c r="BJ465" s="4">
        <v>3</v>
      </c>
      <c r="BK465" t="s">
        <v>112</v>
      </c>
    </row>
    <row r="466" spans="1:63" x14ac:dyDescent="0.35">
      <c r="A466" s="4">
        <v>398</v>
      </c>
      <c r="B466" s="4">
        <v>65</v>
      </c>
      <c r="C466" t="s">
        <v>122</v>
      </c>
      <c r="D466" t="s">
        <v>64</v>
      </c>
      <c r="E466" t="s">
        <v>104</v>
      </c>
      <c r="F466" t="s">
        <v>90</v>
      </c>
      <c r="G466" t="s">
        <v>67</v>
      </c>
      <c r="H466" s="2">
        <v>2000</v>
      </c>
      <c r="I466" t="s">
        <v>116</v>
      </c>
      <c r="J466" t="s">
        <v>70</v>
      </c>
      <c r="K466" t="s">
        <v>69</v>
      </c>
      <c r="L466" t="s">
        <v>69</v>
      </c>
      <c r="M466" s="4">
        <v>3</v>
      </c>
      <c r="N466" t="s">
        <v>91</v>
      </c>
      <c r="O466" s="4">
        <v>4</v>
      </c>
      <c r="P466" t="s">
        <v>91</v>
      </c>
      <c r="Q466" s="4">
        <v>6</v>
      </c>
      <c r="R466" t="s">
        <v>72</v>
      </c>
      <c r="S466" s="4">
        <v>6</v>
      </c>
      <c r="T466" t="s">
        <v>72</v>
      </c>
      <c r="U466" t="s">
        <v>92</v>
      </c>
      <c r="V466" t="s">
        <v>93</v>
      </c>
      <c r="W466" t="s">
        <v>93</v>
      </c>
      <c r="X466" t="s">
        <v>94</v>
      </c>
      <c r="Y466" t="s">
        <v>69</v>
      </c>
      <c r="Z466" s="4">
        <v>6</v>
      </c>
      <c r="AA466" t="s">
        <v>77</v>
      </c>
      <c r="AB466" s="4">
        <v>160</v>
      </c>
      <c r="AC466" s="4">
        <v>104</v>
      </c>
      <c r="AD466" s="4">
        <v>82</v>
      </c>
      <c r="AE466" s="4">
        <v>172</v>
      </c>
      <c r="AF466" s="4">
        <v>91</v>
      </c>
      <c r="AG466" s="4">
        <v>101</v>
      </c>
      <c r="AH466" s="4">
        <v>122</v>
      </c>
      <c r="AI466" s="4">
        <v>178</v>
      </c>
      <c r="AJ466" s="4">
        <v>30</v>
      </c>
      <c r="AK466" t="s">
        <v>107</v>
      </c>
      <c r="AL466" t="s">
        <v>79</v>
      </c>
      <c r="AM466" t="s">
        <v>108</v>
      </c>
      <c r="AN466" t="s">
        <v>109</v>
      </c>
      <c r="AO466" t="s">
        <v>82</v>
      </c>
      <c r="AP466" t="s">
        <v>83</v>
      </c>
      <c r="AQ466" t="s">
        <v>83</v>
      </c>
      <c r="AR466" t="s">
        <v>83</v>
      </c>
      <c r="AS466" t="s">
        <v>102</v>
      </c>
      <c r="AT466" t="s">
        <v>85</v>
      </c>
      <c r="AU466" t="s">
        <v>83</v>
      </c>
      <c r="AV466" t="s">
        <v>85</v>
      </c>
      <c r="AW466" s="4">
        <v>4</v>
      </c>
      <c r="AX466" s="4">
        <v>1</v>
      </c>
      <c r="AY466" s="4">
        <v>1</v>
      </c>
      <c r="AZ466" s="3">
        <v>1.72</v>
      </c>
      <c r="BA466" s="3">
        <v>2.9583999999999997</v>
      </c>
      <c r="BB466" s="3">
        <v>27.717685235262305</v>
      </c>
      <c r="BC466" t="s">
        <v>98</v>
      </c>
      <c r="BD466" t="s">
        <v>99</v>
      </c>
      <c r="BE466" s="4">
        <v>4</v>
      </c>
      <c r="BF466" t="s">
        <v>87</v>
      </c>
      <c r="BG466" s="4">
        <v>0</v>
      </c>
      <c r="BH466" s="1" t="e">
        <v>#NULL!</v>
      </c>
      <c r="BI466" t="s">
        <v>85</v>
      </c>
      <c r="BJ466" s="4">
        <v>4</v>
      </c>
      <c r="BK466" t="s">
        <v>112</v>
      </c>
    </row>
    <row r="467" spans="1:63" x14ac:dyDescent="0.35">
      <c r="A467" s="4">
        <v>280</v>
      </c>
      <c r="B467" s="4">
        <v>66</v>
      </c>
      <c r="C467" t="s">
        <v>122</v>
      </c>
      <c r="D467" t="s">
        <v>64</v>
      </c>
      <c r="E467" t="s">
        <v>104</v>
      </c>
      <c r="F467" t="s">
        <v>90</v>
      </c>
      <c r="G467" t="s">
        <v>67</v>
      </c>
      <c r="H467" s="2">
        <v>800</v>
      </c>
      <c r="I467" t="s">
        <v>105</v>
      </c>
      <c r="J467" t="s">
        <v>70</v>
      </c>
      <c r="K467" t="s">
        <v>70</v>
      </c>
      <c r="L467" t="s">
        <v>69</v>
      </c>
      <c r="M467" s="4">
        <v>3</v>
      </c>
      <c r="N467" t="s">
        <v>91</v>
      </c>
      <c r="O467" s="4">
        <v>2</v>
      </c>
      <c r="P467" t="s">
        <v>71</v>
      </c>
      <c r="Q467" s="4">
        <v>2</v>
      </c>
      <c r="R467" t="s">
        <v>71</v>
      </c>
      <c r="S467" s="4">
        <v>2</v>
      </c>
      <c r="T467" t="s">
        <v>71</v>
      </c>
      <c r="U467" t="s">
        <v>103</v>
      </c>
      <c r="V467" t="s">
        <v>93</v>
      </c>
      <c r="W467" t="s">
        <v>93</v>
      </c>
      <c r="X467" t="s">
        <v>94</v>
      </c>
      <c r="Y467" t="s">
        <v>69</v>
      </c>
      <c r="Z467" s="4">
        <v>5</v>
      </c>
      <c r="AA467" t="s">
        <v>77</v>
      </c>
      <c r="AB467" s="4">
        <v>152</v>
      </c>
      <c r="AC467" s="4">
        <v>86</v>
      </c>
      <c r="AD467" s="4">
        <v>63</v>
      </c>
      <c r="AE467" s="4">
        <v>171</v>
      </c>
      <c r="AF467" s="4">
        <v>77</v>
      </c>
      <c r="AG467" s="4">
        <v>94</v>
      </c>
      <c r="AH467" s="4">
        <v>99</v>
      </c>
      <c r="AI467" s="4">
        <v>108</v>
      </c>
      <c r="AJ467" s="4">
        <v>44</v>
      </c>
      <c r="AK467" t="s">
        <v>78</v>
      </c>
      <c r="AL467" t="s">
        <v>79</v>
      </c>
      <c r="AM467" t="s">
        <v>108</v>
      </c>
      <c r="AN467" t="s">
        <v>109</v>
      </c>
      <c r="AO467" t="s">
        <v>82</v>
      </c>
      <c r="AP467" t="s">
        <v>83</v>
      </c>
      <c r="AQ467" t="s">
        <v>85</v>
      </c>
      <c r="AR467" t="s">
        <v>85</v>
      </c>
      <c r="AS467" t="s">
        <v>84</v>
      </c>
      <c r="AT467" t="s">
        <v>85</v>
      </c>
      <c r="AU467" t="s">
        <v>85</v>
      </c>
      <c r="AV467" t="s">
        <v>85</v>
      </c>
      <c r="AW467" s="4">
        <v>1</v>
      </c>
      <c r="AX467" s="4">
        <v>0</v>
      </c>
      <c r="AY467" s="4">
        <v>0</v>
      </c>
      <c r="AZ467" s="3">
        <v>1.71</v>
      </c>
      <c r="BA467" s="3">
        <v>2.9240999999999997</v>
      </c>
      <c r="BB467" s="3">
        <v>21.545090797168363</v>
      </c>
      <c r="BC467" t="s">
        <v>85</v>
      </c>
      <c r="BD467" t="s">
        <v>86</v>
      </c>
      <c r="BE467" s="4">
        <v>1</v>
      </c>
      <c r="BF467" t="s">
        <v>87</v>
      </c>
      <c r="BG467" s="4">
        <v>0</v>
      </c>
      <c r="BH467" s="1" t="e">
        <v>#NULL!</v>
      </c>
      <c r="BI467" t="s">
        <v>85</v>
      </c>
      <c r="BJ467" s="4">
        <v>1</v>
      </c>
      <c r="BK467" t="s">
        <v>88</v>
      </c>
    </row>
    <row r="468" spans="1:63" x14ac:dyDescent="0.35">
      <c r="A468" s="4">
        <v>396</v>
      </c>
      <c r="B468" s="4">
        <v>66</v>
      </c>
      <c r="C468" t="s">
        <v>122</v>
      </c>
      <c r="D468" t="s">
        <v>64</v>
      </c>
      <c r="E468" t="s">
        <v>104</v>
      </c>
      <c r="F468" t="s">
        <v>101</v>
      </c>
      <c r="G468" t="s">
        <v>67</v>
      </c>
      <c r="H468" s="2">
        <v>1800</v>
      </c>
      <c r="I468" t="s">
        <v>116</v>
      </c>
      <c r="J468" t="s">
        <v>70</v>
      </c>
      <c r="K468" t="s">
        <v>70</v>
      </c>
      <c r="L468" t="s">
        <v>69</v>
      </c>
      <c r="M468" s="4">
        <v>3</v>
      </c>
      <c r="N468" t="s">
        <v>91</v>
      </c>
      <c r="O468" s="4">
        <v>3</v>
      </c>
      <c r="P468" t="s">
        <v>91</v>
      </c>
      <c r="Q468" s="4">
        <v>1</v>
      </c>
      <c r="R468" t="s">
        <v>71</v>
      </c>
      <c r="S468" s="4">
        <v>1</v>
      </c>
      <c r="T468" t="s">
        <v>71</v>
      </c>
      <c r="U468" t="s">
        <v>103</v>
      </c>
      <c r="V468" t="s">
        <v>93</v>
      </c>
      <c r="W468" t="s">
        <v>93</v>
      </c>
      <c r="X468" t="s">
        <v>94</v>
      </c>
      <c r="Y468" t="s">
        <v>69</v>
      </c>
      <c r="Z468" s="4">
        <v>8</v>
      </c>
      <c r="AA468" t="s">
        <v>117</v>
      </c>
      <c r="AB468" s="4">
        <v>160</v>
      </c>
      <c r="AC468" s="4">
        <v>105</v>
      </c>
      <c r="AD468" s="4">
        <v>86</v>
      </c>
      <c r="AE468" s="4">
        <v>171</v>
      </c>
      <c r="AF468" s="4">
        <v>93</v>
      </c>
      <c r="AG468" s="4">
        <v>106</v>
      </c>
      <c r="AH468" s="4">
        <v>138</v>
      </c>
      <c r="AI468" s="4">
        <v>180</v>
      </c>
      <c r="AJ468" s="4">
        <v>38</v>
      </c>
      <c r="AK468" t="s">
        <v>107</v>
      </c>
      <c r="AL468" t="s">
        <v>79</v>
      </c>
      <c r="AM468" t="s">
        <v>108</v>
      </c>
      <c r="AN468" t="s">
        <v>109</v>
      </c>
      <c r="AO468" t="s">
        <v>82</v>
      </c>
      <c r="AP468" t="s">
        <v>83</v>
      </c>
      <c r="AQ468" t="s">
        <v>83</v>
      </c>
      <c r="AR468" t="s">
        <v>83</v>
      </c>
      <c r="AS468" t="s">
        <v>102</v>
      </c>
      <c r="AT468" t="s">
        <v>85</v>
      </c>
      <c r="AU468" t="s">
        <v>83</v>
      </c>
      <c r="AV468" t="s">
        <v>85</v>
      </c>
      <c r="AW468" s="4">
        <v>4</v>
      </c>
      <c r="AX468" s="4">
        <v>1</v>
      </c>
      <c r="AY468" s="4">
        <v>1</v>
      </c>
      <c r="AZ468" s="3">
        <v>1.71</v>
      </c>
      <c r="BA468" s="3">
        <v>2.9240999999999997</v>
      </c>
      <c r="BB468" s="3">
        <v>29.410758865975858</v>
      </c>
      <c r="BC468" t="s">
        <v>98</v>
      </c>
      <c r="BD468" t="s">
        <v>99</v>
      </c>
      <c r="BE468" s="4">
        <v>4</v>
      </c>
      <c r="BF468" t="s">
        <v>87</v>
      </c>
      <c r="BG468" s="4">
        <v>0</v>
      </c>
      <c r="BH468" s="1" t="e">
        <v>#NULL!</v>
      </c>
      <c r="BI468" t="s">
        <v>85</v>
      </c>
      <c r="BJ468" s="4">
        <v>4</v>
      </c>
      <c r="BK468" t="s">
        <v>112</v>
      </c>
    </row>
    <row r="469" spans="1:63" x14ac:dyDescent="0.35">
      <c r="A469" s="4">
        <v>408</v>
      </c>
      <c r="B469" s="4">
        <v>66</v>
      </c>
      <c r="C469" t="s">
        <v>122</v>
      </c>
      <c r="D469" t="s">
        <v>89</v>
      </c>
      <c r="E469" t="s">
        <v>104</v>
      </c>
      <c r="F469" t="s">
        <v>66</v>
      </c>
      <c r="G469" t="s">
        <v>67</v>
      </c>
      <c r="H469" s="2">
        <v>300</v>
      </c>
      <c r="I469" t="s">
        <v>68</v>
      </c>
      <c r="J469" t="s">
        <v>69</v>
      </c>
      <c r="K469" t="s">
        <v>69</v>
      </c>
      <c r="L469" t="s">
        <v>69</v>
      </c>
      <c r="M469" s="4">
        <v>2</v>
      </c>
      <c r="N469" t="s">
        <v>71</v>
      </c>
      <c r="O469" s="4">
        <v>4</v>
      </c>
      <c r="P469" t="s">
        <v>91</v>
      </c>
      <c r="Q469" s="4">
        <v>3</v>
      </c>
      <c r="R469" t="s">
        <v>91</v>
      </c>
      <c r="S469" s="4">
        <v>1</v>
      </c>
      <c r="T469" t="s">
        <v>71</v>
      </c>
      <c r="U469" t="s">
        <v>103</v>
      </c>
      <c r="V469" t="s">
        <v>93</v>
      </c>
      <c r="W469" t="s">
        <v>93</v>
      </c>
      <c r="X469" t="s">
        <v>94</v>
      </c>
      <c r="Y469" t="s">
        <v>69</v>
      </c>
      <c r="Z469" s="4">
        <v>10</v>
      </c>
      <c r="AA469" t="s">
        <v>117</v>
      </c>
      <c r="AB469" s="4">
        <v>232</v>
      </c>
      <c r="AC469" s="4">
        <v>94</v>
      </c>
      <c r="AD469" s="4">
        <v>48</v>
      </c>
      <c r="AE469" s="4">
        <v>165</v>
      </c>
      <c r="AF469" s="4">
        <v>76</v>
      </c>
      <c r="AG469" s="4">
        <v>87</v>
      </c>
      <c r="AH469" s="4">
        <v>99</v>
      </c>
      <c r="AI469" s="4">
        <v>149</v>
      </c>
      <c r="AJ469" s="4">
        <v>38</v>
      </c>
      <c r="AK469" t="s">
        <v>78</v>
      </c>
      <c r="AL469" t="s">
        <v>79</v>
      </c>
      <c r="AM469" t="s">
        <v>108</v>
      </c>
      <c r="AN469" t="s">
        <v>109</v>
      </c>
      <c r="AO469" t="s">
        <v>82</v>
      </c>
      <c r="AP469" t="s">
        <v>83</v>
      </c>
      <c r="AQ469" t="s">
        <v>83</v>
      </c>
      <c r="AR469" t="s">
        <v>83</v>
      </c>
      <c r="AS469" t="s">
        <v>84</v>
      </c>
      <c r="AT469" t="s">
        <v>85</v>
      </c>
      <c r="AU469" t="s">
        <v>85</v>
      </c>
      <c r="AV469" t="s">
        <v>85</v>
      </c>
      <c r="AW469" s="4">
        <v>2</v>
      </c>
      <c r="AX469" s="4">
        <v>1</v>
      </c>
      <c r="AY469" s="4">
        <v>1</v>
      </c>
      <c r="AZ469" s="3">
        <v>1.65</v>
      </c>
      <c r="BA469" s="3">
        <v>2.7224999999999997</v>
      </c>
      <c r="BB469" s="3">
        <v>17.630853994490359</v>
      </c>
      <c r="BC469" t="s">
        <v>100</v>
      </c>
      <c r="BD469" t="s">
        <v>86</v>
      </c>
      <c r="BE469" s="4">
        <v>2</v>
      </c>
      <c r="BF469" t="s">
        <v>87</v>
      </c>
      <c r="BG469" s="1" t="e">
        <v>#NULL!</v>
      </c>
      <c r="BH469" s="4">
        <v>0</v>
      </c>
      <c r="BI469" t="s">
        <v>85</v>
      </c>
      <c r="BJ469" s="4">
        <v>2</v>
      </c>
      <c r="BK469" t="s">
        <v>88</v>
      </c>
    </row>
    <row r="470" spans="1:63" x14ac:dyDescent="0.35">
      <c r="A470" s="4">
        <v>95</v>
      </c>
      <c r="B470" s="4">
        <v>67</v>
      </c>
      <c r="C470" t="s">
        <v>122</v>
      </c>
      <c r="D470" t="s">
        <v>89</v>
      </c>
      <c r="E470" t="s">
        <v>104</v>
      </c>
      <c r="F470" t="s">
        <v>66</v>
      </c>
      <c r="G470" t="s">
        <v>67</v>
      </c>
      <c r="H470" s="2">
        <v>300</v>
      </c>
      <c r="I470" t="s">
        <v>68</v>
      </c>
      <c r="J470" t="s">
        <v>69</v>
      </c>
      <c r="K470" t="s">
        <v>69</v>
      </c>
      <c r="L470" t="s">
        <v>69</v>
      </c>
      <c r="M470" s="4">
        <v>2</v>
      </c>
      <c r="N470" t="s">
        <v>71</v>
      </c>
      <c r="O470" s="4">
        <v>4</v>
      </c>
      <c r="P470" t="s">
        <v>91</v>
      </c>
      <c r="Q470" s="4">
        <v>3</v>
      </c>
      <c r="R470" t="s">
        <v>91</v>
      </c>
      <c r="S470" s="4">
        <v>1</v>
      </c>
      <c r="T470" t="s">
        <v>71</v>
      </c>
      <c r="U470" t="s">
        <v>103</v>
      </c>
      <c r="V470" t="s">
        <v>93</v>
      </c>
      <c r="W470" t="s">
        <v>93</v>
      </c>
      <c r="X470" t="s">
        <v>94</v>
      </c>
      <c r="Y470" t="s">
        <v>69</v>
      </c>
      <c r="Z470" s="4">
        <v>10</v>
      </c>
      <c r="AA470" t="s">
        <v>117</v>
      </c>
      <c r="AB470" s="4">
        <v>232</v>
      </c>
      <c r="AC470" s="4">
        <v>94</v>
      </c>
      <c r="AD470" s="4">
        <v>48</v>
      </c>
      <c r="AE470" s="4">
        <v>165</v>
      </c>
      <c r="AF470" s="4">
        <v>76</v>
      </c>
      <c r="AG470" s="4">
        <v>87</v>
      </c>
      <c r="AH470" s="4">
        <v>99</v>
      </c>
      <c r="AI470" s="4">
        <v>149</v>
      </c>
      <c r="AJ470" s="4">
        <v>38</v>
      </c>
      <c r="AK470" t="s">
        <v>78</v>
      </c>
      <c r="AL470" t="s">
        <v>79</v>
      </c>
      <c r="AM470" t="s">
        <v>108</v>
      </c>
      <c r="AN470" t="s">
        <v>109</v>
      </c>
      <c r="AO470" t="s">
        <v>82</v>
      </c>
      <c r="AP470" t="s">
        <v>83</v>
      </c>
      <c r="AQ470" t="s">
        <v>83</v>
      </c>
      <c r="AR470" t="s">
        <v>83</v>
      </c>
      <c r="AS470" t="s">
        <v>84</v>
      </c>
      <c r="AT470" t="s">
        <v>85</v>
      </c>
      <c r="AU470" t="s">
        <v>85</v>
      </c>
      <c r="AV470" t="s">
        <v>85</v>
      </c>
      <c r="AW470" s="4">
        <v>2</v>
      </c>
      <c r="AX470" s="4">
        <v>1</v>
      </c>
      <c r="AY470" s="4">
        <v>1</v>
      </c>
      <c r="AZ470" s="3">
        <v>1.65</v>
      </c>
      <c r="BA470" s="3">
        <v>2.7224999999999997</v>
      </c>
      <c r="BB470" s="3">
        <v>17.630853994490359</v>
      </c>
      <c r="BC470" t="s">
        <v>100</v>
      </c>
      <c r="BD470" t="s">
        <v>86</v>
      </c>
      <c r="BE470" s="4">
        <v>2</v>
      </c>
      <c r="BF470" t="s">
        <v>87</v>
      </c>
      <c r="BG470" s="1" t="e">
        <v>#NULL!</v>
      </c>
      <c r="BH470" s="4">
        <v>0</v>
      </c>
      <c r="BI470" t="s">
        <v>85</v>
      </c>
      <c r="BJ470" s="4">
        <v>2</v>
      </c>
      <c r="BK470" t="s">
        <v>88</v>
      </c>
    </row>
    <row r="471" spans="1:63" x14ac:dyDescent="0.35">
      <c r="A471" s="4">
        <v>226</v>
      </c>
      <c r="B471" s="4">
        <v>67</v>
      </c>
      <c r="C471" t="s">
        <v>122</v>
      </c>
      <c r="D471" t="s">
        <v>64</v>
      </c>
      <c r="E471" t="s">
        <v>104</v>
      </c>
      <c r="F471" t="s">
        <v>101</v>
      </c>
      <c r="G471" t="s">
        <v>67</v>
      </c>
      <c r="H471" s="2">
        <v>1800</v>
      </c>
      <c r="I471" t="s">
        <v>116</v>
      </c>
      <c r="J471" t="s">
        <v>70</v>
      </c>
      <c r="K471" t="s">
        <v>69</v>
      </c>
      <c r="L471" t="s">
        <v>69</v>
      </c>
      <c r="M471" s="4">
        <v>3</v>
      </c>
      <c r="N471" t="s">
        <v>91</v>
      </c>
      <c r="O471" s="4">
        <v>3</v>
      </c>
      <c r="P471" t="s">
        <v>91</v>
      </c>
      <c r="Q471" s="4">
        <v>1</v>
      </c>
      <c r="R471" t="s">
        <v>71</v>
      </c>
      <c r="S471" s="4">
        <v>1</v>
      </c>
      <c r="T471" t="s">
        <v>71</v>
      </c>
      <c r="U471" t="s">
        <v>103</v>
      </c>
      <c r="V471" t="s">
        <v>93</v>
      </c>
      <c r="W471" t="s">
        <v>93</v>
      </c>
      <c r="X471" t="s">
        <v>94</v>
      </c>
      <c r="Y471" t="s">
        <v>69</v>
      </c>
      <c r="Z471" s="4">
        <v>8</v>
      </c>
      <c r="AA471" t="s">
        <v>117</v>
      </c>
      <c r="AB471" s="4">
        <v>160</v>
      </c>
      <c r="AC471" s="4">
        <v>105</v>
      </c>
      <c r="AD471" s="4">
        <v>86</v>
      </c>
      <c r="AE471" s="4">
        <v>171</v>
      </c>
      <c r="AF471" s="4">
        <v>93</v>
      </c>
      <c r="AG471" s="4">
        <v>106</v>
      </c>
      <c r="AH471" s="4">
        <v>138</v>
      </c>
      <c r="AI471" s="4">
        <v>180</v>
      </c>
      <c r="AJ471" s="4">
        <v>38</v>
      </c>
      <c r="AK471" t="s">
        <v>107</v>
      </c>
      <c r="AL471" t="s">
        <v>79</v>
      </c>
      <c r="AM471" t="s">
        <v>108</v>
      </c>
      <c r="AN471" t="s">
        <v>109</v>
      </c>
      <c r="AO471" t="s">
        <v>82</v>
      </c>
      <c r="AP471" t="s">
        <v>83</v>
      </c>
      <c r="AQ471" t="s">
        <v>83</v>
      </c>
      <c r="AR471" t="s">
        <v>83</v>
      </c>
      <c r="AS471" t="s">
        <v>102</v>
      </c>
      <c r="AT471" t="s">
        <v>85</v>
      </c>
      <c r="AU471" t="s">
        <v>83</v>
      </c>
      <c r="AV471" t="s">
        <v>85</v>
      </c>
      <c r="AW471" s="4">
        <v>4</v>
      </c>
      <c r="AX471" s="4">
        <v>1</v>
      </c>
      <c r="AY471" s="4">
        <v>1</v>
      </c>
      <c r="AZ471" s="3">
        <v>1.71</v>
      </c>
      <c r="BA471" s="3">
        <v>2.9240999999999997</v>
      </c>
      <c r="BB471" s="3">
        <v>29.410758865975858</v>
      </c>
      <c r="BC471" t="s">
        <v>98</v>
      </c>
      <c r="BD471" t="s">
        <v>99</v>
      </c>
      <c r="BE471" s="4">
        <v>4</v>
      </c>
      <c r="BF471" t="s">
        <v>87</v>
      </c>
      <c r="BG471" s="4">
        <v>0</v>
      </c>
      <c r="BH471" s="1" t="e">
        <v>#NULL!</v>
      </c>
      <c r="BI471" t="s">
        <v>85</v>
      </c>
      <c r="BJ471" s="4">
        <v>4</v>
      </c>
      <c r="BK471" t="s">
        <v>112</v>
      </c>
    </row>
    <row r="472" spans="1:63" x14ac:dyDescent="0.35">
      <c r="A472" s="4">
        <v>246</v>
      </c>
      <c r="B472" s="4">
        <v>67</v>
      </c>
      <c r="C472" t="s">
        <v>122</v>
      </c>
      <c r="D472" t="s">
        <v>64</v>
      </c>
      <c r="E472" t="s">
        <v>104</v>
      </c>
      <c r="F472" t="s">
        <v>90</v>
      </c>
      <c r="G472" t="s">
        <v>67</v>
      </c>
      <c r="H472" s="2">
        <v>2000</v>
      </c>
      <c r="I472" t="s">
        <v>116</v>
      </c>
      <c r="J472" t="s">
        <v>70</v>
      </c>
      <c r="K472" t="s">
        <v>70</v>
      </c>
      <c r="L472" t="s">
        <v>69</v>
      </c>
      <c r="M472" s="4">
        <v>3</v>
      </c>
      <c r="N472" t="s">
        <v>91</v>
      </c>
      <c r="O472" s="4">
        <v>4</v>
      </c>
      <c r="P472" t="s">
        <v>91</v>
      </c>
      <c r="Q472" s="4">
        <v>6</v>
      </c>
      <c r="R472" t="s">
        <v>72</v>
      </c>
      <c r="S472" s="4">
        <v>6</v>
      </c>
      <c r="T472" t="s">
        <v>72</v>
      </c>
      <c r="U472" t="s">
        <v>92</v>
      </c>
      <c r="V472" t="s">
        <v>93</v>
      </c>
      <c r="W472" t="s">
        <v>93</v>
      </c>
      <c r="X472" t="s">
        <v>94</v>
      </c>
      <c r="Y472" t="s">
        <v>69</v>
      </c>
      <c r="Z472" s="4">
        <v>6</v>
      </c>
      <c r="AA472" t="s">
        <v>77</v>
      </c>
      <c r="AB472" s="4">
        <v>160</v>
      </c>
      <c r="AC472" s="4">
        <v>104</v>
      </c>
      <c r="AD472" s="4">
        <v>82</v>
      </c>
      <c r="AE472" s="4">
        <v>172</v>
      </c>
      <c r="AF472" s="4">
        <v>91</v>
      </c>
      <c r="AG472" s="4">
        <v>101</v>
      </c>
      <c r="AH472" s="4">
        <v>122</v>
      </c>
      <c r="AI472" s="4">
        <v>178</v>
      </c>
      <c r="AJ472" s="4">
        <v>30</v>
      </c>
      <c r="AK472" t="s">
        <v>107</v>
      </c>
      <c r="AL472" t="s">
        <v>79</v>
      </c>
      <c r="AM472" t="s">
        <v>108</v>
      </c>
      <c r="AN472" t="s">
        <v>109</v>
      </c>
      <c r="AO472" t="s">
        <v>82</v>
      </c>
      <c r="AP472" t="s">
        <v>83</v>
      </c>
      <c r="AQ472" t="s">
        <v>83</v>
      </c>
      <c r="AR472" t="s">
        <v>83</v>
      </c>
      <c r="AS472" t="s">
        <v>102</v>
      </c>
      <c r="AT472" t="s">
        <v>85</v>
      </c>
      <c r="AU472" t="s">
        <v>83</v>
      </c>
      <c r="AV472" t="s">
        <v>85</v>
      </c>
      <c r="AW472" s="4">
        <v>4</v>
      </c>
      <c r="AX472" s="4">
        <v>1</v>
      </c>
      <c r="AY472" s="4">
        <v>1</v>
      </c>
      <c r="AZ472" s="3">
        <v>1.72</v>
      </c>
      <c r="BA472" s="3">
        <v>2.9583999999999997</v>
      </c>
      <c r="BB472" s="3">
        <v>27.717685235262305</v>
      </c>
      <c r="BC472" t="s">
        <v>98</v>
      </c>
      <c r="BD472" t="s">
        <v>99</v>
      </c>
      <c r="BE472" s="4">
        <v>4</v>
      </c>
      <c r="BF472" t="s">
        <v>87</v>
      </c>
      <c r="BG472" s="4">
        <v>0</v>
      </c>
      <c r="BH472" s="1" t="e">
        <v>#NULL!</v>
      </c>
      <c r="BI472" t="s">
        <v>85</v>
      </c>
      <c r="BJ472" s="4">
        <v>4</v>
      </c>
      <c r="BK472" t="s">
        <v>112</v>
      </c>
    </row>
    <row r="473" spans="1:63" x14ac:dyDescent="0.35">
      <c r="A473" s="4">
        <v>253</v>
      </c>
      <c r="B473" s="4">
        <v>67</v>
      </c>
      <c r="C473" t="s">
        <v>122</v>
      </c>
      <c r="D473" t="s">
        <v>89</v>
      </c>
      <c r="E473" t="s">
        <v>104</v>
      </c>
      <c r="F473" t="s">
        <v>66</v>
      </c>
      <c r="G473" t="s">
        <v>67</v>
      </c>
      <c r="H473" s="2">
        <v>200</v>
      </c>
      <c r="I473" t="s">
        <v>68</v>
      </c>
      <c r="J473" t="s">
        <v>69</v>
      </c>
      <c r="K473" t="s">
        <v>69</v>
      </c>
      <c r="L473" t="s">
        <v>69</v>
      </c>
      <c r="M473" s="4">
        <v>2</v>
      </c>
      <c r="N473" t="s">
        <v>71</v>
      </c>
      <c r="O473" s="4">
        <v>2</v>
      </c>
      <c r="P473" t="s">
        <v>71</v>
      </c>
      <c r="Q473" s="4">
        <v>3</v>
      </c>
      <c r="R473" t="s">
        <v>91</v>
      </c>
      <c r="S473" s="4">
        <v>3</v>
      </c>
      <c r="T473" t="s">
        <v>91</v>
      </c>
      <c r="U473" t="s">
        <v>73</v>
      </c>
      <c r="V473" t="s">
        <v>93</v>
      </c>
      <c r="W473" t="s">
        <v>93</v>
      </c>
      <c r="X473" t="s">
        <v>94</v>
      </c>
      <c r="Y473" t="s">
        <v>69</v>
      </c>
      <c r="Z473" s="4">
        <v>2</v>
      </c>
      <c r="AA473" t="s">
        <v>77</v>
      </c>
      <c r="AB473" s="4">
        <v>116</v>
      </c>
      <c r="AC473" s="4">
        <v>58</v>
      </c>
      <c r="AD473" s="4">
        <v>84</v>
      </c>
      <c r="AE473" s="4">
        <v>170</v>
      </c>
      <c r="AF473" s="4">
        <v>92</v>
      </c>
      <c r="AG473" s="4">
        <v>116</v>
      </c>
      <c r="AH473" s="4">
        <v>233</v>
      </c>
      <c r="AI473" s="4">
        <v>108</v>
      </c>
      <c r="AJ473" s="4">
        <v>52</v>
      </c>
      <c r="AK473" t="s">
        <v>78</v>
      </c>
      <c r="AL473" t="s">
        <v>95</v>
      </c>
      <c r="AM473" t="s">
        <v>80</v>
      </c>
      <c r="AN473" t="s">
        <v>96</v>
      </c>
      <c r="AO473" t="s">
        <v>97</v>
      </c>
      <c r="AP473" t="s">
        <v>85</v>
      </c>
      <c r="AQ473" t="s">
        <v>85</v>
      </c>
      <c r="AR473" t="s">
        <v>85</v>
      </c>
      <c r="AS473" t="s">
        <v>102</v>
      </c>
      <c r="AT473" t="s">
        <v>85</v>
      </c>
      <c r="AU473" t="s">
        <v>83</v>
      </c>
      <c r="AV473" t="s">
        <v>83</v>
      </c>
      <c r="AW473" s="4">
        <v>1</v>
      </c>
      <c r="AX473" s="4">
        <v>0</v>
      </c>
      <c r="AY473" s="4">
        <v>1</v>
      </c>
      <c r="AZ473" s="3">
        <v>1.7</v>
      </c>
      <c r="BA473" s="3">
        <v>2.8899999999999997</v>
      </c>
      <c r="BB473" s="3">
        <v>29.065743944636683</v>
      </c>
      <c r="BC473" t="s">
        <v>98</v>
      </c>
      <c r="BD473" t="s">
        <v>99</v>
      </c>
      <c r="BE473" s="4">
        <v>2</v>
      </c>
      <c r="BF473" t="s">
        <v>87</v>
      </c>
      <c r="BG473" s="1" t="e">
        <v>#NULL!</v>
      </c>
      <c r="BH473" s="4">
        <v>1</v>
      </c>
      <c r="BI473" t="s">
        <v>83</v>
      </c>
      <c r="BJ473" s="4">
        <v>2</v>
      </c>
      <c r="BK473" t="s">
        <v>88</v>
      </c>
    </row>
    <row r="474" spans="1:63" x14ac:dyDescent="0.35">
      <c r="A474" s="4">
        <v>319</v>
      </c>
      <c r="B474" s="4">
        <v>67</v>
      </c>
      <c r="C474" t="s">
        <v>122</v>
      </c>
      <c r="D474" t="s">
        <v>64</v>
      </c>
      <c r="E474" t="s">
        <v>104</v>
      </c>
      <c r="F474" t="s">
        <v>90</v>
      </c>
      <c r="G474" t="s">
        <v>67</v>
      </c>
      <c r="H474" s="2">
        <v>1800</v>
      </c>
      <c r="I474" t="s">
        <v>116</v>
      </c>
      <c r="J474" t="s">
        <v>69</v>
      </c>
      <c r="K474" t="s">
        <v>69</v>
      </c>
      <c r="L474" t="s">
        <v>69</v>
      </c>
      <c r="M474" s="4">
        <v>2</v>
      </c>
      <c r="N474" t="s">
        <v>71</v>
      </c>
      <c r="O474" s="4">
        <v>2</v>
      </c>
      <c r="P474" t="s">
        <v>71</v>
      </c>
      <c r="Q474" s="4">
        <v>1</v>
      </c>
      <c r="R474" t="s">
        <v>71</v>
      </c>
      <c r="S474" s="4">
        <v>1</v>
      </c>
      <c r="T474" t="s">
        <v>71</v>
      </c>
      <c r="U474" t="s">
        <v>92</v>
      </c>
      <c r="V474" t="s">
        <v>74</v>
      </c>
      <c r="W474" t="s">
        <v>93</v>
      </c>
      <c r="X474" t="s">
        <v>94</v>
      </c>
      <c r="Y474" t="s">
        <v>69</v>
      </c>
      <c r="Z474" s="4">
        <v>3</v>
      </c>
      <c r="AA474" t="s">
        <v>77</v>
      </c>
      <c r="AB474" s="4">
        <v>120</v>
      </c>
      <c r="AC474" s="4">
        <v>80</v>
      </c>
      <c r="AD474" s="4">
        <v>90</v>
      </c>
      <c r="AE474" s="4">
        <v>185</v>
      </c>
      <c r="AF474" s="4">
        <v>91</v>
      </c>
      <c r="AG474" s="4">
        <v>104</v>
      </c>
      <c r="AH474" s="4">
        <v>90</v>
      </c>
      <c r="AI474" s="4">
        <v>120</v>
      </c>
      <c r="AJ474" s="4">
        <v>58</v>
      </c>
      <c r="AK474" t="s">
        <v>78</v>
      </c>
      <c r="AL474" t="s">
        <v>95</v>
      </c>
      <c r="AM474" t="s">
        <v>80</v>
      </c>
      <c r="AN474" t="s">
        <v>96</v>
      </c>
      <c r="AO474" t="s">
        <v>97</v>
      </c>
      <c r="AP474" t="s">
        <v>85</v>
      </c>
      <c r="AQ474" t="s">
        <v>85</v>
      </c>
      <c r="AR474" t="s">
        <v>85</v>
      </c>
      <c r="AS474" t="s">
        <v>84</v>
      </c>
      <c r="AT474" t="s">
        <v>85</v>
      </c>
      <c r="AU474" t="s">
        <v>83</v>
      </c>
      <c r="AV474" t="s">
        <v>85</v>
      </c>
      <c r="AW474" s="4">
        <v>0</v>
      </c>
      <c r="AX474" s="4">
        <v>0</v>
      </c>
      <c r="AY474" s="4">
        <v>0</v>
      </c>
      <c r="AZ474" s="3">
        <v>1.85</v>
      </c>
      <c r="BA474" s="3">
        <v>3.4225000000000003</v>
      </c>
      <c r="BB474" s="3">
        <v>26.296566837107374</v>
      </c>
      <c r="BC474" t="s">
        <v>98</v>
      </c>
      <c r="BD474" t="s">
        <v>99</v>
      </c>
      <c r="BE474" s="4">
        <v>0</v>
      </c>
      <c r="BF474" t="s">
        <v>87</v>
      </c>
      <c r="BG474" s="4">
        <v>0</v>
      </c>
      <c r="BH474" s="1" t="e">
        <v>#NULL!</v>
      </c>
      <c r="BI474" t="s">
        <v>85</v>
      </c>
      <c r="BJ474" s="4">
        <v>0</v>
      </c>
      <c r="BK474" t="s">
        <v>88</v>
      </c>
    </row>
    <row r="475" spans="1:63" x14ac:dyDescent="0.35">
      <c r="A475" s="4">
        <v>40</v>
      </c>
      <c r="B475" s="4">
        <v>68</v>
      </c>
      <c r="C475" t="s">
        <v>122</v>
      </c>
      <c r="D475" t="s">
        <v>89</v>
      </c>
      <c r="E475" t="s">
        <v>104</v>
      </c>
      <c r="F475" t="s">
        <v>66</v>
      </c>
      <c r="G475" t="s">
        <v>67</v>
      </c>
      <c r="H475" s="2">
        <v>200</v>
      </c>
      <c r="I475" t="s">
        <v>68</v>
      </c>
      <c r="J475" t="s">
        <v>69</v>
      </c>
      <c r="K475" t="s">
        <v>69</v>
      </c>
      <c r="L475" t="s">
        <v>69</v>
      </c>
      <c r="M475" s="4">
        <v>2</v>
      </c>
      <c r="N475" t="s">
        <v>71</v>
      </c>
      <c r="O475" s="4">
        <v>2</v>
      </c>
      <c r="P475" t="s">
        <v>71</v>
      </c>
      <c r="Q475" s="4">
        <v>3</v>
      </c>
      <c r="R475" t="s">
        <v>91</v>
      </c>
      <c r="S475" s="4">
        <v>3</v>
      </c>
      <c r="T475" t="s">
        <v>91</v>
      </c>
      <c r="U475" t="s">
        <v>73</v>
      </c>
      <c r="V475" t="s">
        <v>93</v>
      </c>
      <c r="W475" t="s">
        <v>93</v>
      </c>
      <c r="X475" t="s">
        <v>94</v>
      </c>
      <c r="Y475" t="s">
        <v>69</v>
      </c>
      <c r="Z475" s="4">
        <v>2</v>
      </c>
      <c r="AA475" t="s">
        <v>77</v>
      </c>
      <c r="AB475" s="4">
        <v>116</v>
      </c>
      <c r="AC475" s="4">
        <v>58</v>
      </c>
      <c r="AD475" s="4">
        <v>84</v>
      </c>
      <c r="AE475" s="4">
        <v>170</v>
      </c>
      <c r="AF475" s="4">
        <v>92</v>
      </c>
      <c r="AG475" s="4">
        <v>116</v>
      </c>
      <c r="AH475" s="4">
        <v>233</v>
      </c>
      <c r="AI475" s="4">
        <v>108</v>
      </c>
      <c r="AJ475" s="4">
        <v>52</v>
      </c>
      <c r="AK475" t="s">
        <v>78</v>
      </c>
      <c r="AL475" t="s">
        <v>95</v>
      </c>
      <c r="AM475" t="s">
        <v>80</v>
      </c>
      <c r="AN475" t="s">
        <v>96</v>
      </c>
      <c r="AO475" t="s">
        <v>97</v>
      </c>
      <c r="AP475" t="s">
        <v>85</v>
      </c>
      <c r="AQ475" t="s">
        <v>85</v>
      </c>
      <c r="AR475" t="s">
        <v>85</v>
      </c>
      <c r="AS475" t="s">
        <v>102</v>
      </c>
      <c r="AT475" t="s">
        <v>85</v>
      </c>
      <c r="AU475" t="s">
        <v>83</v>
      </c>
      <c r="AV475" t="s">
        <v>83</v>
      </c>
      <c r="AW475" s="4">
        <v>1</v>
      </c>
      <c r="AX475" s="4">
        <v>0</v>
      </c>
      <c r="AY475" s="4">
        <v>1</v>
      </c>
      <c r="AZ475" s="3">
        <v>1.7</v>
      </c>
      <c r="BA475" s="3">
        <v>2.8899999999999997</v>
      </c>
      <c r="BB475" s="3">
        <v>29.065743944636683</v>
      </c>
      <c r="BC475" t="s">
        <v>98</v>
      </c>
      <c r="BD475" t="s">
        <v>99</v>
      </c>
      <c r="BE475" s="4">
        <v>2</v>
      </c>
      <c r="BF475" t="s">
        <v>87</v>
      </c>
      <c r="BG475" s="1" t="e">
        <v>#NULL!</v>
      </c>
      <c r="BH475" s="4">
        <v>1</v>
      </c>
      <c r="BI475" t="s">
        <v>83</v>
      </c>
      <c r="BJ475" s="4">
        <v>2</v>
      </c>
      <c r="BK475" t="s">
        <v>88</v>
      </c>
    </row>
    <row r="476" spans="1:63" x14ac:dyDescent="0.35">
      <c r="A476" s="4">
        <v>487</v>
      </c>
      <c r="B476" s="4">
        <v>69</v>
      </c>
      <c r="C476" t="s">
        <v>122</v>
      </c>
      <c r="D476" t="s">
        <v>64</v>
      </c>
      <c r="E476" t="s">
        <v>104</v>
      </c>
      <c r="F476" t="s">
        <v>66</v>
      </c>
      <c r="G476" t="s">
        <v>67</v>
      </c>
      <c r="H476" s="2">
        <v>900</v>
      </c>
      <c r="I476" t="s">
        <v>105</v>
      </c>
      <c r="J476" t="s">
        <v>70</v>
      </c>
      <c r="K476" t="s">
        <v>70</v>
      </c>
      <c r="L476" t="s">
        <v>69</v>
      </c>
      <c r="M476" s="4">
        <v>5</v>
      </c>
      <c r="N476" t="s">
        <v>72</v>
      </c>
      <c r="O476" s="4">
        <v>5</v>
      </c>
      <c r="P476" t="s">
        <v>72</v>
      </c>
      <c r="Q476" s="4">
        <v>5</v>
      </c>
      <c r="R476" t="s">
        <v>72</v>
      </c>
      <c r="S476" s="4">
        <v>5</v>
      </c>
      <c r="T476" t="s">
        <v>72</v>
      </c>
      <c r="U476" t="s">
        <v>73</v>
      </c>
      <c r="V476" t="s">
        <v>93</v>
      </c>
      <c r="W476" t="s">
        <v>93</v>
      </c>
      <c r="X476" t="s">
        <v>94</v>
      </c>
      <c r="Y476" t="s">
        <v>69</v>
      </c>
      <c r="Z476" s="4">
        <v>6</v>
      </c>
      <c r="AA476" t="s">
        <v>77</v>
      </c>
      <c r="AB476" s="4">
        <v>137</v>
      </c>
      <c r="AC476" s="4">
        <v>67</v>
      </c>
      <c r="AD476" s="4">
        <v>95</v>
      </c>
      <c r="AE476" s="4">
        <v>176</v>
      </c>
      <c r="AF476" s="4">
        <v>107</v>
      </c>
      <c r="AG476" s="4">
        <v>110</v>
      </c>
      <c r="AH476" s="4">
        <v>104</v>
      </c>
      <c r="AI476" s="4">
        <v>96</v>
      </c>
      <c r="AJ476" s="4">
        <v>40</v>
      </c>
      <c r="AK476" t="s">
        <v>78</v>
      </c>
      <c r="AL476" t="s">
        <v>79</v>
      </c>
      <c r="AM476" t="s">
        <v>80</v>
      </c>
      <c r="AN476" t="s">
        <v>81</v>
      </c>
      <c r="AO476" t="s">
        <v>82</v>
      </c>
      <c r="AP476" t="s">
        <v>83</v>
      </c>
      <c r="AQ476" t="s">
        <v>85</v>
      </c>
      <c r="AR476" t="s">
        <v>85</v>
      </c>
      <c r="AS476" t="s">
        <v>102</v>
      </c>
      <c r="AT476" t="s">
        <v>83</v>
      </c>
      <c r="AU476" t="s">
        <v>83</v>
      </c>
      <c r="AV476" t="s">
        <v>83</v>
      </c>
      <c r="AW476" s="4">
        <v>2</v>
      </c>
      <c r="AX476" s="4">
        <v>1</v>
      </c>
      <c r="AY476" s="4">
        <v>2</v>
      </c>
      <c r="AZ476" s="3">
        <v>1.76</v>
      </c>
      <c r="BA476" s="3">
        <v>3.0975999999999999</v>
      </c>
      <c r="BB476" s="3">
        <v>30.668904958677686</v>
      </c>
      <c r="BC476" t="s">
        <v>110</v>
      </c>
      <c r="BD476" t="s">
        <v>99</v>
      </c>
      <c r="BE476" s="4">
        <v>3</v>
      </c>
      <c r="BF476" t="s">
        <v>111</v>
      </c>
      <c r="BG476" s="4">
        <v>1</v>
      </c>
      <c r="BH476" s="1" t="e">
        <v>#NULL!</v>
      </c>
      <c r="BI476" t="s">
        <v>83</v>
      </c>
      <c r="BJ476" s="4">
        <v>3</v>
      </c>
      <c r="BK476" t="s">
        <v>112</v>
      </c>
    </row>
    <row r="477" spans="1:63" x14ac:dyDescent="0.35">
      <c r="A477" s="4">
        <v>200</v>
      </c>
      <c r="B477" s="4">
        <v>69</v>
      </c>
      <c r="C477" t="s">
        <v>122</v>
      </c>
      <c r="D477" t="s">
        <v>89</v>
      </c>
      <c r="E477" t="s">
        <v>104</v>
      </c>
      <c r="F477" t="s">
        <v>115</v>
      </c>
      <c r="G477" t="s">
        <v>67</v>
      </c>
      <c r="H477" s="2">
        <v>500</v>
      </c>
      <c r="I477" t="s">
        <v>68</v>
      </c>
      <c r="J477" t="s">
        <v>69</v>
      </c>
      <c r="K477" t="s">
        <v>69</v>
      </c>
      <c r="L477" t="s">
        <v>69</v>
      </c>
      <c r="M477" s="4">
        <v>5</v>
      </c>
      <c r="N477" t="s">
        <v>72</v>
      </c>
      <c r="O477" s="4">
        <v>4</v>
      </c>
      <c r="P477" t="s">
        <v>91</v>
      </c>
      <c r="Q477" s="4">
        <v>0</v>
      </c>
      <c r="R477" t="s">
        <v>71</v>
      </c>
      <c r="S477" s="4">
        <v>0</v>
      </c>
      <c r="T477" t="s">
        <v>71</v>
      </c>
      <c r="U477" t="s">
        <v>92</v>
      </c>
      <c r="V477" t="s">
        <v>93</v>
      </c>
      <c r="W477" t="s">
        <v>93</v>
      </c>
      <c r="X477" t="s">
        <v>94</v>
      </c>
      <c r="Y477" t="s">
        <v>69</v>
      </c>
      <c r="Z477" s="4">
        <v>6</v>
      </c>
      <c r="AA477" t="s">
        <v>77</v>
      </c>
      <c r="AB477" s="4">
        <v>120</v>
      </c>
      <c r="AC477" s="4">
        <v>80</v>
      </c>
      <c r="AD477" s="4">
        <v>63</v>
      </c>
      <c r="AE477" s="4">
        <v>166</v>
      </c>
      <c r="AF477" s="4">
        <v>79</v>
      </c>
      <c r="AG477" s="4">
        <v>96</v>
      </c>
      <c r="AH477" s="4">
        <v>226</v>
      </c>
      <c r="AI477" s="4">
        <v>69</v>
      </c>
      <c r="AJ477" s="4">
        <v>54</v>
      </c>
      <c r="AK477" t="s">
        <v>78</v>
      </c>
      <c r="AL477" t="s">
        <v>95</v>
      </c>
      <c r="AM477" t="s">
        <v>80</v>
      </c>
      <c r="AN477" t="s">
        <v>96</v>
      </c>
      <c r="AO477" t="s">
        <v>97</v>
      </c>
      <c r="AP477" t="s">
        <v>85</v>
      </c>
      <c r="AQ477" t="s">
        <v>85</v>
      </c>
      <c r="AR477" t="s">
        <v>85</v>
      </c>
      <c r="AS477" t="s">
        <v>102</v>
      </c>
      <c r="AT477" t="s">
        <v>85</v>
      </c>
      <c r="AU477" t="s">
        <v>85</v>
      </c>
      <c r="AV477" t="s">
        <v>85</v>
      </c>
      <c r="AW477" s="4">
        <v>1</v>
      </c>
      <c r="AX477" s="4">
        <v>0</v>
      </c>
      <c r="AY477" s="4">
        <v>0</v>
      </c>
      <c r="AZ477" s="3">
        <v>1.66</v>
      </c>
      <c r="BA477" s="3">
        <v>2.7555999999999998</v>
      </c>
      <c r="BB477" s="3">
        <v>22.862534475250399</v>
      </c>
      <c r="BC477" t="s">
        <v>85</v>
      </c>
      <c r="BD477" t="s">
        <v>86</v>
      </c>
      <c r="BE477" s="4">
        <v>1</v>
      </c>
      <c r="BF477" t="s">
        <v>87</v>
      </c>
      <c r="BG477" s="1" t="e">
        <v>#NULL!</v>
      </c>
      <c r="BH477" s="4">
        <v>0</v>
      </c>
      <c r="BI477" t="s">
        <v>85</v>
      </c>
      <c r="BJ477" s="4">
        <v>1</v>
      </c>
      <c r="BK477" t="s">
        <v>88</v>
      </c>
    </row>
    <row r="478" spans="1:63" x14ac:dyDescent="0.35">
      <c r="A478" s="4">
        <v>412</v>
      </c>
      <c r="B478" s="4">
        <v>69</v>
      </c>
      <c r="C478" t="s">
        <v>122</v>
      </c>
      <c r="D478" t="s">
        <v>64</v>
      </c>
      <c r="E478" t="s">
        <v>104</v>
      </c>
      <c r="F478" t="s">
        <v>90</v>
      </c>
      <c r="G478" t="s">
        <v>67</v>
      </c>
      <c r="H478" s="2">
        <v>600</v>
      </c>
      <c r="I478" t="s">
        <v>105</v>
      </c>
      <c r="J478" t="s">
        <v>70</v>
      </c>
      <c r="K478" t="s">
        <v>69</v>
      </c>
      <c r="L478" t="s">
        <v>69</v>
      </c>
      <c r="M478" s="4">
        <v>2</v>
      </c>
      <c r="N478" t="s">
        <v>71</v>
      </c>
      <c r="O478" s="4">
        <v>2</v>
      </c>
      <c r="P478" t="s">
        <v>71</v>
      </c>
      <c r="Q478" s="4">
        <v>2</v>
      </c>
      <c r="R478" t="s">
        <v>71</v>
      </c>
      <c r="S478" s="4">
        <v>1</v>
      </c>
      <c r="T478" t="s">
        <v>71</v>
      </c>
      <c r="U478" t="s">
        <v>92</v>
      </c>
      <c r="V478" t="s">
        <v>93</v>
      </c>
      <c r="W478" t="s">
        <v>93</v>
      </c>
      <c r="X478" t="s">
        <v>94</v>
      </c>
      <c r="Y478" t="s">
        <v>69</v>
      </c>
      <c r="Z478" s="4">
        <v>8</v>
      </c>
      <c r="AA478" t="s">
        <v>117</v>
      </c>
      <c r="AB478" s="4">
        <v>162</v>
      </c>
      <c r="AC478" s="4">
        <v>82</v>
      </c>
      <c r="AD478" s="4">
        <v>77</v>
      </c>
      <c r="AE478" s="4">
        <v>167</v>
      </c>
      <c r="AF478" s="4">
        <v>112</v>
      </c>
      <c r="AG478" s="4">
        <v>120</v>
      </c>
      <c r="AH478" s="4">
        <v>95</v>
      </c>
      <c r="AI478" s="4">
        <v>107</v>
      </c>
      <c r="AJ478" s="4">
        <v>26</v>
      </c>
      <c r="AK478" t="s">
        <v>78</v>
      </c>
      <c r="AL478" t="s">
        <v>79</v>
      </c>
      <c r="AM478" t="s">
        <v>80</v>
      </c>
      <c r="AN478" t="s">
        <v>81</v>
      </c>
      <c r="AO478" t="s">
        <v>82</v>
      </c>
      <c r="AP478" t="s">
        <v>83</v>
      </c>
      <c r="AQ478" t="s">
        <v>83</v>
      </c>
      <c r="AR478" t="s">
        <v>83</v>
      </c>
      <c r="AS478" t="s">
        <v>84</v>
      </c>
      <c r="AT478" t="s">
        <v>83</v>
      </c>
      <c r="AU478" t="s">
        <v>83</v>
      </c>
      <c r="AV478" t="s">
        <v>83</v>
      </c>
      <c r="AW478" s="4">
        <v>2</v>
      </c>
      <c r="AX478" s="4">
        <v>1</v>
      </c>
      <c r="AY478" s="4">
        <v>2</v>
      </c>
      <c r="AZ478" s="3">
        <v>1.67</v>
      </c>
      <c r="BA478" s="3">
        <v>2.7888999999999999</v>
      </c>
      <c r="BB478" s="3">
        <v>27.609451755172291</v>
      </c>
      <c r="BC478" t="s">
        <v>98</v>
      </c>
      <c r="BD478" t="s">
        <v>99</v>
      </c>
      <c r="BE478" s="4">
        <v>3</v>
      </c>
      <c r="BF478" t="s">
        <v>111</v>
      </c>
      <c r="BG478" s="4">
        <v>1</v>
      </c>
      <c r="BH478" s="1" t="e">
        <v>#NULL!</v>
      </c>
      <c r="BI478" t="s">
        <v>83</v>
      </c>
      <c r="BJ478" s="4">
        <v>3</v>
      </c>
      <c r="BK478" t="s">
        <v>112</v>
      </c>
    </row>
    <row r="479" spans="1:63" x14ac:dyDescent="0.35">
      <c r="A479" s="4">
        <v>428</v>
      </c>
      <c r="B479" s="4">
        <v>69</v>
      </c>
      <c r="C479" t="s">
        <v>122</v>
      </c>
      <c r="D479" t="s">
        <v>64</v>
      </c>
      <c r="E479" t="s">
        <v>104</v>
      </c>
      <c r="F479" t="s">
        <v>66</v>
      </c>
      <c r="G479" t="s">
        <v>67</v>
      </c>
      <c r="H479" s="2">
        <v>400</v>
      </c>
      <c r="I479" t="s">
        <v>68</v>
      </c>
      <c r="J479" t="s">
        <v>69</v>
      </c>
      <c r="K479" t="s">
        <v>69</v>
      </c>
      <c r="L479" t="s">
        <v>69</v>
      </c>
      <c r="M479" s="4">
        <v>1</v>
      </c>
      <c r="N479" t="s">
        <v>71</v>
      </c>
      <c r="O479" s="4">
        <v>4</v>
      </c>
      <c r="P479" t="s">
        <v>91</v>
      </c>
      <c r="Q479" s="4">
        <v>1</v>
      </c>
      <c r="R479" t="s">
        <v>71</v>
      </c>
      <c r="S479" s="4">
        <v>2</v>
      </c>
      <c r="T479" t="s">
        <v>71</v>
      </c>
      <c r="U479" t="s">
        <v>92</v>
      </c>
      <c r="V479" t="s">
        <v>93</v>
      </c>
      <c r="W479" t="s">
        <v>93</v>
      </c>
      <c r="X479" t="s">
        <v>94</v>
      </c>
      <c r="Y479" t="s">
        <v>69</v>
      </c>
      <c r="Z479" s="4">
        <v>5</v>
      </c>
      <c r="AA479" t="s">
        <v>77</v>
      </c>
      <c r="AB479" s="4">
        <v>133</v>
      </c>
      <c r="AC479" s="4">
        <v>76</v>
      </c>
      <c r="AD479" s="4">
        <v>69</v>
      </c>
      <c r="AE479" s="4">
        <v>184</v>
      </c>
      <c r="AF479" s="4">
        <v>84</v>
      </c>
      <c r="AG479" s="4">
        <v>107</v>
      </c>
      <c r="AH479" s="4">
        <v>162</v>
      </c>
      <c r="AI479" s="4">
        <v>114</v>
      </c>
      <c r="AJ479" s="4">
        <v>43</v>
      </c>
      <c r="AK479" t="s">
        <v>78</v>
      </c>
      <c r="AL479" t="s">
        <v>79</v>
      </c>
      <c r="AM479" t="s">
        <v>80</v>
      </c>
      <c r="AN479" t="s">
        <v>81</v>
      </c>
      <c r="AO479" t="s">
        <v>82</v>
      </c>
      <c r="AP479" t="s">
        <v>83</v>
      </c>
      <c r="AQ479" t="s">
        <v>85</v>
      </c>
      <c r="AR479" t="s">
        <v>85</v>
      </c>
      <c r="AS479" t="s">
        <v>102</v>
      </c>
      <c r="AT479" t="s">
        <v>85</v>
      </c>
      <c r="AU479" t="s">
        <v>83</v>
      </c>
      <c r="AV479" t="s">
        <v>85</v>
      </c>
      <c r="AW479" s="4">
        <v>2</v>
      </c>
      <c r="AX479" s="4">
        <v>1</v>
      </c>
      <c r="AY479" s="4">
        <v>1</v>
      </c>
      <c r="AZ479" s="3">
        <v>1.84</v>
      </c>
      <c r="BA479" s="3">
        <v>3.3856000000000002</v>
      </c>
      <c r="BB479" s="3">
        <v>20.380434782608695</v>
      </c>
      <c r="BC479" t="s">
        <v>85</v>
      </c>
      <c r="BD479" t="s">
        <v>86</v>
      </c>
      <c r="BE479" s="4">
        <v>2</v>
      </c>
      <c r="BF479" t="s">
        <v>87</v>
      </c>
      <c r="BG479" s="4">
        <v>0</v>
      </c>
      <c r="BH479" s="1" t="e">
        <v>#NULL!</v>
      </c>
      <c r="BI479" t="s">
        <v>85</v>
      </c>
      <c r="BJ479" s="4">
        <v>2</v>
      </c>
      <c r="BK479" t="s">
        <v>88</v>
      </c>
    </row>
    <row r="480" spans="1:63" x14ac:dyDescent="0.35">
      <c r="A480" s="4">
        <v>472</v>
      </c>
      <c r="B480" s="4">
        <v>69</v>
      </c>
      <c r="C480" t="s">
        <v>122</v>
      </c>
      <c r="D480" t="s">
        <v>89</v>
      </c>
      <c r="E480" t="s">
        <v>104</v>
      </c>
      <c r="F480" t="s">
        <v>90</v>
      </c>
      <c r="G480" t="s">
        <v>67</v>
      </c>
      <c r="H480" s="2">
        <v>700</v>
      </c>
      <c r="I480" t="s">
        <v>105</v>
      </c>
      <c r="J480" t="s">
        <v>70</v>
      </c>
      <c r="K480" t="s">
        <v>69</v>
      </c>
      <c r="L480" t="s">
        <v>69</v>
      </c>
      <c r="M480" s="4">
        <v>4</v>
      </c>
      <c r="N480" t="s">
        <v>91</v>
      </c>
      <c r="O480" s="4">
        <v>4</v>
      </c>
      <c r="P480" t="s">
        <v>91</v>
      </c>
      <c r="Q480" s="4">
        <v>3</v>
      </c>
      <c r="R480" t="s">
        <v>91</v>
      </c>
      <c r="S480" s="4">
        <v>3</v>
      </c>
      <c r="T480" t="s">
        <v>91</v>
      </c>
      <c r="U480" t="s">
        <v>92</v>
      </c>
      <c r="V480" t="s">
        <v>93</v>
      </c>
      <c r="W480" t="s">
        <v>93</v>
      </c>
      <c r="X480" t="s">
        <v>94</v>
      </c>
      <c r="Y480" t="s">
        <v>69</v>
      </c>
      <c r="Z480" s="4">
        <v>4</v>
      </c>
      <c r="AA480" t="s">
        <v>77</v>
      </c>
      <c r="AB480" s="4">
        <v>169</v>
      </c>
      <c r="AC480" s="4">
        <v>117</v>
      </c>
      <c r="AD480" s="4">
        <v>100</v>
      </c>
      <c r="AE480" s="4">
        <v>177</v>
      </c>
      <c r="AF480" s="4">
        <v>110</v>
      </c>
      <c r="AG480" s="4">
        <v>129</v>
      </c>
      <c r="AH480" s="4">
        <v>152</v>
      </c>
      <c r="AI480" s="4">
        <v>121</v>
      </c>
      <c r="AJ480" s="4">
        <v>36</v>
      </c>
      <c r="AK480" t="s">
        <v>78</v>
      </c>
      <c r="AL480" t="s">
        <v>79</v>
      </c>
      <c r="AM480" t="s">
        <v>108</v>
      </c>
      <c r="AN480" t="s">
        <v>109</v>
      </c>
      <c r="AO480" t="s">
        <v>82</v>
      </c>
      <c r="AP480" t="s">
        <v>83</v>
      </c>
      <c r="AQ480" t="s">
        <v>83</v>
      </c>
      <c r="AR480" t="s">
        <v>83</v>
      </c>
      <c r="AS480" t="s">
        <v>102</v>
      </c>
      <c r="AT480" t="s">
        <v>83</v>
      </c>
      <c r="AU480" t="s">
        <v>83</v>
      </c>
      <c r="AV480" t="s">
        <v>83</v>
      </c>
      <c r="AW480" s="4">
        <v>3</v>
      </c>
      <c r="AX480" s="4">
        <v>1</v>
      </c>
      <c r="AY480" s="4">
        <v>2</v>
      </c>
      <c r="AZ480" s="3">
        <v>1.77</v>
      </c>
      <c r="BA480" s="3">
        <v>3.1329000000000002</v>
      </c>
      <c r="BB480" s="3">
        <v>31.919307989402789</v>
      </c>
      <c r="BC480" t="s">
        <v>110</v>
      </c>
      <c r="BD480" t="s">
        <v>99</v>
      </c>
      <c r="BE480" s="4">
        <v>4</v>
      </c>
      <c r="BF480" t="s">
        <v>111</v>
      </c>
      <c r="BG480" s="1" t="e">
        <v>#NULL!</v>
      </c>
      <c r="BH480" s="4">
        <v>1</v>
      </c>
      <c r="BI480" t="s">
        <v>83</v>
      </c>
      <c r="BJ480" s="4">
        <v>4</v>
      </c>
      <c r="BK480" t="s">
        <v>112</v>
      </c>
    </row>
    <row r="481" spans="1:63" x14ac:dyDescent="0.35">
      <c r="A481" s="4">
        <v>488</v>
      </c>
      <c r="B481" s="4">
        <v>69</v>
      </c>
      <c r="C481" t="s">
        <v>122</v>
      </c>
      <c r="D481" t="s">
        <v>64</v>
      </c>
      <c r="E481" t="s">
        <v>104</v>
      </c>
      <c r="F481" t="s">
        <v>90</v>
      </c>
      <c r="G481" t="s">
        <v>67</v>
      </c>
      <c r="H481" s="2">
        <v>600</v>
      </c>
      <c r="I481" t="s">
        <v>105</v>
      </c>
      <c r="J481" t="s">
        <v>70</v>
      </c>
      <c r="K481" t="s">
        <v>69</v>
      </c>
      <c r="L481" t="s">
        <v>69</v>
      </c>
      <c r="M481" s="4">
        <v>2</v>
      </c>
      <c r="N481" t="s">
        <v>71</v>
      </c>
      <c r="O481" s="4">
        <v>2</v>
      </c>
      <c r="P481" t="s">
        <v>71</v>
      </c>
      <c r="Q481" s="4">
        <v>2</v>
      </c>
      <c r="R481" t="s">
        <v>71</v>
      </c>
      <c r="S481" s="4">
        <v>1</v>
      </c>
      <c r="T481" t="s">
        <v>71</v>
      </c>
      <c r="U481" t="s">
        <v>92</v>
      </c>
      <c r="V481" t="s">
        <v>93</v>
      </c>
      <c r="W481" t="s">
        <v>93</v>
      </c>
      <c r="X481" t="s">
        <v>94</v>
      </c>
      <c r="Y481" t="s">
        <v>69</v>
      </c>
      <c r="Z481" s="4">
        <v>8</v>
      </c>
      <c r="AA481" t="s">
        <v>117</v>
      </c>
      <c r="AB481" s="4">
        <v>162</v>
      </c>
      <c r="AC481" s="4">
        <v>82</v>
      </c>
      <c r="AD481" s="4">
        <v>77</v>
      </c>
      <c r="AE481" s="4">
        <v>167</v>
      </c>
      <c r="AF481" s="4">
        <v>112</v>
      </c>
      <c r="AG481" s="4">
        <v>120</v>
      </c>
      <c r="AH481" s="4">
        <v>95</v>
      </c>
      <c r="AI481" s="4">
        <v>107</v>
      </c>
      <c r="AJ481" s="4">
        <v>26</v>
      </c>
      <c r="AK481" t="s">
        <v>78</v>
      </c>
      <c r="AL481" t="s">
        <v>79</v>
      </c>
      <c r="AM481" t="s">
        <v>80</v>
      </c>
      <c r="AN481" t="s">
        <v>81</v>
      </c>
      <c r="AO481" t="s">
        <v>82</v>
      </c>
      <c r="AP481" t="s">
        <v>83</v>
      </c>
      <c r="AQ481" t="s">
        <v>83</v>
      </c>
      <c r="AR481" t="s">
        <v>83</v>
      </c>
      <c r="AS481" t="s">
        <v>84</v>
      </c>
      <c r="AT481" t="s">
        <v>83</v>
      </c>
      <c r="AU481" t="s">
        <v>83</v>
      </c>
      <c r="AV481" t="s">
        <v>83</v>
      </c>
      <c r="AW481" s="4">
        <v>2</v>
      </c>
      <c r="AX481" s="4">
        <v>1</v>
      </c>
      <c r="AY481" s="4">
        <v>2</v>
      </c>
      <c r="AZ481" s="3">
        <v>1.67</v>
      </c>
      <c r="BA481" s="3">
        <v>2.7888999999999999</v>
      </c>
      <c r="BB481" s="3">
        <v>27.609451755172291</v>
      </c>
      <c r="BC481" t="s">
        <v>98</v>
      </c>
      <c r="BD481" t="s">
        <v>99</v>
      </c>
      <c r="BE481" s="4">
        <v>3</v>
      </c>
      <c r="BF481" t="s">
        <v>111</v>
      </c>
      <c r="BG481" s="4">
        <v>1</v>
      </c>
      <c r="BH481" s="1" t="e">
        <v>#NULL!</v>
      </c>
      <c r="BI481" t="s">
        <v>83</v>
      </c>
      <c r="BJ481" s="4">
        <v>3</v>
      </c>
      <c r="BK481" t="s">
        <v>112</v>
      </c>
    </row>
    <row r="482" spans="1:63" x14ac:dyDescent="0.35">
      <c r="A482" s="4">
        <v>467</v>
      </c>
      <c r="B482" s="4">
        <v>69</v>
      </c>
      <c r="C482" t="s">
        <v>122</v>
      </c>
      <c r="D482" t="s">
        <v>89</v>
      </c>
      <c r="E482" t="s">
        <v>113</v>
      </c>
      <c r="F482" t="s">
        <v>66</v>
      </c>
      <c r="G482" t="s">
        <v>67</v>
      </c>
      <c r="H482" s="2">
        <v>150</v>
      </c>
      <c r="I482" t="s">
        <v>68</v>
      </c>
      <c r="J482" t="s">
        <v>69</v>
      </c>
      <c r="K482" t="s">
        <v>69</v>
      </c>
      <c r="L482" t="s">
        <v>69</v>
      </c>
      <c r="M482" s="4">
        <v>2</v>
      </c>
      <c r="N482" t="s">
        <v>71</v>
      </c>
      <c r="O482" s="4">
        <v>2</v>
      </c>
      <c r="P482" t="s">
        <v>71</v>
      </c>
      <c r="Q482" s="4">
        <v>3</v>
      </c>
      <c r="R482" t="s">
        <v>91</v>
      </c>
      <c r="S482" s="4">
        <v>2</v>
      </c>
      <c r="T482" t="s">
        <v>71</v>
      </c>
      <c r="U482" t="s">
        <v>92</v>
      </c>
      <c r="V482" t="s">
        <v>93</v>
      </c>
      <c r="W482" t="s">
        <v>93</v>
      </c>
      <c r="X482" t="s">
        <v>94</v>
      </c>
      <c r="Y482" t="s">
        <v>69</v>
      </c>
      <c r="Z482" s="4">
        <v>12</v>
      </c>
      <c r="AA482" t="s">
        <v>117</v>
      </c>
      <c r="AB482" s="4">
        <v>175</v>
      </c>
      <c r="AC482" s="4">
        <v>100</v>
      </c>
      <c r="AD482" s="4">
        <v>84</v>
      </c>
      <c r="AE482" s="4">
        <v>170</v>
      </c>
      <c r="AF482" s="4">
        <v>90</v>
      </c>
      <c r="AG482" s="4">
        <v>117</v>
      </c>
      <c r="AH482" s="4">
        <v>115</v>
      </c>
      <c r="AI482" s="4">
        <v>119</v>
      </c>
      <c r="AJ482" s="4">
        <v>51</v>
      </c>
      <c r="AK482" t="s">
        <v>78</v>
      </c>
      <c r="AL482" t="s">
        <v>79</v>
      </c>
      <c r="AM482" t="s">
        <v>108</v>
      </c>
      <c r="AN482" t="s">
        <v>109</v>
      </c>
      <c r="AO482" t="s">
        <v>82</v>
      </c>
      <c r="AP482" t="s">
        <v>85</v>
      </c>
      <c r="AQ482" t="s">
        <v>85</v>
      </c>
      <c r="AR482" t="s">
        <v>85</v>
      </c>
      <c r="AS482" t="s">
        <v>102</v>
      </c>
      <c r="AT482" t="s">
        <v>85</v>
      </c>
      <c r="AU482" t="s">
        <v>83</v>
      </c>
      <c r="AV482" t="s">
        <v>83</v>
      </c>
      <c r="AW482" s="4">
        <v>2</v>
      </c>
      <c r="AX482" s="4">
        <v>1</v>
      </c>
      <c r="AY482" s="4">
        <v>2</v>
      </c>
      <c r="AZ482" s="3">
        <v>1.7</v>
      </c>
      <c r="BA482" s="3">
        <v>2.8899999999999997</v>
      </c>
      <c r="BB482" s="3">
        <v>29.065743944636683</v>
      </c>
      <c r="BC482" t="s">
        <v>98</v>
      </c>
      <c r="BD482" t="s">
        <v>99</v>
      </c>
      <c r="BE482" s="4">
        <v>3</v>
      </c>
      <c r="BF482" t="s">
        <v>111</v>
      </c>
      <c r="BG482" s="1" t="e">
        <v>#NULL!</v>
      </c>
      <c r="BH482" s="4">
        <v>1</v>
      </c>
      <c r="BI482" t="s">
        <v>83</v>
      </c>
      <c r="BJ482" s="4">
        <v>3</v>
      </c>
      <c r="BK482" t="s">
        <v>112</v>
      </c>
    </row>
    <row r="483" spans="1:63" x14ac:dyDescent="0.35">
      <c r="A483" s="4">
        <v>121</v>
      </c>
      <c r="B483" s="4">
        <v>70</v>
      </c>
      <c r="C483" t="s">
        <v>122</v>
      </c>
      <c r="D483" t="s">
        <v>64</v>
      </c>
      <c r="E483" t="s">
        <v>104</v>
      </c>
      <c r="F483" t="s">
        <v>66</v>
      </c>
      <c r="G483" t="s">
        <v>67</v>
      </c>
      <c r="H483" s="2">
        <v>900</v>
      </c>
      <c r="I483" t="s">
        <v>105</v>
      </c>
      <c r="J483" t="s">
        <v>70</v>
      </c>
      <c r="K483" t="s">
        <v>70</v>
      </c>
      <c r="L483" t="s">
        <v>69</v>
      </c>
      <c r="M483" s="4">
        <v>5</v>
      </c>
      <c r="N483" t="s">
        <v>72</v>
      </c>
      <c r="O483" s="4">
        <v>5</v>
      </c>
      <c r="P483" t="s">
        <v>72</v>
      </c>
      <c r="Q483" s="4">
        <v>5</v>
      </c>
      <c r="R483" t="s">
        <v>72</v>
      </c>
      <c r="S483" s="4">
        <v>5</v>
      </c>
      <c r="T483" t="s">
        <v>72</v>
      </c>
      <c r="U483" t="s">
        <v>73</v>
      </c>
      <c r="V483" t="s">
        <v>93</v>
      </c>
      <c r="W483" t="s">
        <v>93</v>
      </c>
      <c r="X483" t="s">
        <v>94</v>
      </c>
      <c r="Y483" t="s">
        <v>69</v>
      </c>
      <c r="Z483" s="4">
        <v>6</v>
      </c>
      <c r="AA483" t="s">
        <v>77</v>
      </c>
      <c r="AB483" s="4">
        <v>137</v>
      </c>
      <c r="AC483" s="4">
        <v>67</v>
      </c>
      <c r="AD483" s="4">
        <v>95</v>
      </c>
      <c r="AE483" s="4">
        <v>176</v>
      </c>
      <c r="AF483" s="4">
        <v>107</v>
      </c>
      <c r="AG483" s="4">
        <v>110</v>
      </c>
      <c r="AH483" s="4">
        <v>104</v>
      </c>
      <c r="AI483" s="4">
        <v>96</v>
      </c>
      <c r="AJ483" s="4">
        <v>40</v>
      </c>
      <c r="AK483" t="s">
        <v>78</v>
      </c>
      <c r="AL483" t="s">
        <v>79</v>
      </c>
      <c r="AM483" t="s">
        <v>80</v>
      </c>
      <c r="AN483" t="s">
        <v>81</v>
      </c>
      <c r="AO483" t="s">
        <v>82</v>
      </c>
      <c r="AP483" t="s">
        <v>83</v>
      </c>
      <c r="AQ483" t="s">
        <v>85</v>
      </c>
      <c r="AR483" t="s">
        <v>85</v>
      </c>
      <c r="AS483" t="s">
        <v>102</v>
      </c>
      <c r="AT483" t="s">
        <v>83</v>
      </c>
      <c r="AU483" t="s">
        <v>83</v>
      </c>
      <c r="AV483" t="s">
        <v>83</v>
      </c>
      <c r="AW483" s="4">
        <v>2</v>
      </c>
      <c r="AX483" s="4">
        <v>1</v>
      </c>
      <c r="AY483" s="4">
        <v>2</v>
      </c>
      <c r="AZ483" s="3">
        <v>1.76</v>
      </c>
      <c r="BA483" s="3">
        <v>3.0975999999999999</v>
      </c>
      <c r="BB483" s="3">
        <v>30.668904958677686</v>
      </c>
      <c r="BC483" t="s">
        <v>110</v>
      </c>
      <c r="BD483" t="s">
        <v>99</v>
      </c>
      <c r="BE483" s="4">
        <v>3</v>
      </c>
      <c r="BF483" t="s">
        <v>111</v>
      </c>
      <c r="BG483" s="4">
        <v>1</v>
      </c>
      <c r="BH483" s="1" t="e">
        <v>#NULL!</v>
      </c>
      <c r="BI483" t="s">
        <v>83</v>
      </c>
      <c r="BJ483" s="4">
        <v>3</v>
      </c>
      <c r="BK483" t="s">
        <v>112</v>
      </c>
    </row>
    <row r="484" spans="1:63" x14ac:dyDescent="0.35">
      <c r="A484" s="4">
        <v>47</v>
      </c>
      <c r="B484" s="4">
        <v>70</v>
      </c>
      <c r="C484" t="s">
        <v>122</v>
      </c>
      <c r="D484" t="s">
        <v>64</v>
      </c>
      <c r="E484" t="s">
        <v>104</v>
      </c>
      <c r="F484" t="s">
        <v>66</v>
      </c>
      <c r="G484" t="s">
        <v>67</v>
      </c>
      <c r="H484" s="2">
        <v>400</v>
      </c>
      <c r="I484" t="s">
        <v>68</v>
      </c>
      <c r="J484" t="s">
        <v>69</v>
      </c>
      <c r="K484" t="s">
        <v>70</v>
      </c>
      <c r="L484" t="s">
        <v>69</v>
      </c>
      <c r="M484" s="4">
        <v>1</v>
      </c>
      <c r="N484" t="s">
        <v>71</v>
      </c>
      <c r="O484" s="4">
        <v>4</v>
      </c>
      <c r="P484" t="s">
        <v>91</v>
      </c>
      <c r="Q484" s="4">
        <v>1</v>
      </c>
      <c r="R484" t="s">
        <v>71</v>
      </c>
      <c r="S484" s="4">
        <v>2</v>
      </c>
      <c r="T484" t="s">
        <v>71</v>
      </c>
      <c r="U484" t="s">
        <v>92</v>
      </c>
      <c r="V484" t="s">
        <v>93</v>
      </c>
      <c r="W484" t="s">
        <v>93</v>
      </c>
      <c r="X484" t="s">
        <v>94</v>
      </c>
      <c r="Y484" t="s">
        <v>69</v>
      </c>
      <c r="Z484" s="4">
        <v>5</v>
      </c>
      <c r="AA484" t="s">
        <v>77</v>
      </c>
      <c r="AB484" s="4">
        <v>133</v>
      </c>
      <c r="AC484" s="4">
        <v>76</v>
      </c>
      <c r="AD484" s="4">
        <v>69</v>
      </c>
      <c r="AE484" s="4">
        <v>184</v>
      </c>
      <c r="AF484" s="4">
        <v>84</v>
      </c>
      <c r="AG484" s="4">
        <v>107</v>
      </c>
      <c r="AH484" s="4">
        <v>162</v>
      </c>
      <c r="AI484" s="4">
        <v>114</v>
      </c>
      <c r="AJ484" s="4">
        <v>43</v>
      </c>
      <c r="AK484" t="s">
        <v>78</v>
      </c>
      <c r="AL484" t="s">
        <v>79</v>
      </c>
      <c r="AM484" t="s">
        <v>80</v>
      </c>
      <c r="AN484" t="s">
        <v>81</v>
      </c>
      <c r="AO484" t="s">
        <v>82</v>
      </c>
      <c r="AP484" t="s">
        <v>83</v>
      </c>
      <c r="AQ484" t="s">
        <v>85</v>
      </c>
      <c r="AR484" t="s">
        <v>85</v>
      </c>
      <c r="AS484" t="s">
        <v>102</v>
      </c>
      <c r="AT484" t="s">
        <v>85</v>
      </c>
      <c r="AU484" t="s">
        <v>83</v>
      </c>
      <c r="AV484" t="s">
        <v>85</v>
      </c>
      <c r="AW484" s="4">
        <v>2</v>
      </c>
      <c r="AX484" s="4">
        <v>1</v>
      </c>
      <c r="AY484" s="4">
        <v>1</v>
      </c>
      <c r="AZ484" s="3">
        <v>1.84</v>
      </c>
      <c r="BA484" s="3">
        <v>3.3856000000000002</v>
      </c>
      <c r="BB484" s="3">
        <v>20.380434782608695</v>
      </c>
      <c r="BC484" t="s">
        <v>85</v>
      </c>
      <c r="BD484" t="s">
        <v>86</v>
      </c>
      <c r="BE484" s="4">
        <v>2</v>
      </c>
      <c r="BF484" t="s">
        <v>87</v>
      </c>
      <c r="BG484" s="4">
        <v>0</v>
      </c>
      <c r="BH484" s="1" t="e">
        <v>#NULL!</v>
      </c>
      <c r="BI484" t="s">
        <v>85</v>
      </c>
      <c r="BJ484" s="4">
        <v>2</v>
      </c>
      <c r="BK484" t="s">
        <v>88</v>
      </c>
    </row>
    <row r="485" spans="1:63" x14ac:dyDescent="0.35">
      <c r="A485" s="4">
        <v>109</v>
      </c>
      <c r="B485" s="4">
        <v>70</v>
      </c>
      <c r="C485" t="s">
        <v>122</v>
      </c>
      <c r="D485" t="s">
        <v>89</v>
      </c>
      <c r="E485" t="s">
        <v>104</v>
      </c>
      <c r="F485" t="s">
        <v>90</v>
      </c>
      <c r="G485" t="s">
        <v>67</v>
      </c>
      <c r="H485" s="2">
        <v>700</v>
      </c>
      <c r="I485" t="s">
        <v>105</v>
      </c>
      <c r="J485" t="s">
        <v>70</v>
      </c>
      <c r="K485" t="s">
        <v>69</v>
      </c>
      <c r="L485" t="s">
        <v>69</v>
      </c>
      <c r="M485" s="4">
        <v>4</v>
      </c>
      <c r="N485" t="s">
        <v>91</v>
      </c>
      <c r="O485" s="4">
        <v>4</v>
      </c>
      <c r="P485" t="s">
        <v>91</v>
      </c>
      <c r="Q485" s="4">
        <v>3</v>
      </c>
      <c r="R485" t="s">
        <v>91</v>
      </c>
      <c r="S485" s="4">
        <v>3</v>
      </c>
      <c r="T485" t="s">
        <v>91</v>
      </c>
      <c r="U485" t="s">
        <v>92</v>
      </c>
      <c r="V485" t="s">
        <v>93</v>
      </c>
      <c r="W485" t="s">
        <v>93</v>
      </c>
      <c r="X485" t="s">
        <v>94</v>
      </c>
      <c r="Y485" t="s">
        <v>69</v>
      </c>
      <c r="Z485" s="4">
        <v>4</v>
      </c>
      <c r="AA485" t="s">
        <v>77</v>
      </c>
      <c r="AB485" s="4">
        <v>169</v>
      </c>
      <c r="AC485" s="4">
        <v>117</v>
      </c>
      <c r="AD485" s="4">
        <v>100</v>
      </c>
      <c r="AE485" s="4">
        <v>177</v>
      </c>
      <c r="AF485" s="4">
        <v>110</v>
      </c>
      <c r="AG485" s="4">
        <v>129</v>
      </c>
      <c r="AH485" s="4">
        <v>152</v>
      </c>
      <c r="AI485" s="4">
        <v>121</v>
      </c>
      <c r="AJ485" s="4">
        <v>36</v>
      </c>
      <c r="AK485" t="s">
        <v>78</v>
      </c>
      <c r="AL485" t="s">
        <v>79</v>
      </c>
      <c r="AM485" t="s">
        <v>108</v>
      </c>
      <c r="AN485" t="s">
        <v>109</v>
      </c>
      <c r="AO485" t="s">
        <v>82</v>
      </c>
      <c r="AP485" t="s">
        <v>83</v>
      </c>
      <c r="AQ485" t="s">
        <v>83</v>
      </c>
      <c r="AR485" t="s">
        <v>83</v>
      </c>
      <c r="AS485" t="s">
        <v>102</v>
      </c>
      <c r="AT485" t="s">
        <v>83</v>
      </c>
      <c r="AU485" t="s">
        <v>83</v>
      </c>
      <c r="AV485" t="s">
        <v>83</v>
      </c>
      <c r="AW485" s="4">
        <v>3</v>
      </c>
      <c r="AX485" s="4">
        <v>1</v>
      </c>
      <c r="AY485" s="4">
        <v>2</v>
      </c>
      <c r="AZ485" s="3">
        <v>1.77</v>
      </c>
      <c r="BA485" s="3">
        <v>3.1329000000000002</v>
      </c>
      <c r="BB485" s="3">
        <v>31.919307989402789</v>
      </c>
      <c r="BC485" t="s">
        <v>110</v>
      </c>
      <c r="BD485" t="s">
        <v>99</v>
      </c>
      <c r="BE485" s="4">
        <v>4</v>
      </c>
      <c r="BF485" t="s">
        <v>111</v>
      </c>
      <c r="BG485" s="1" t="e">
        <v>#NULL!</v>
      </c>
      <c r="BH485" s="4">
        <v>1</v>
      </c>
      <c r="BI485" t="s">
        <v>83</v>
      </c>
      <c r="BJ485" s="4">
        <v>4</v>
      </c>
      <c r="BK485" t="s">
        <v>112</v>
      </c>
    </row>
    <row r="486" spans="1:63" x14ac:dyDescent="0.35">
      <c r="A486" s="4">
        <v>135</v>
      </c>
      <c r="B486" s="4">
        <v>70</v>
      </c>
      <c r="C486" t="s">
        <v>122</v>
      </c>
      <c r="D486" t="s">
        <v>64</v>
      </c>
      <c r="E486" t="s">
        <v>104</v>
      </c>
      <c r="F486" t="s">
        <v>90</v>
      </c>
      <c r="G486" t="s">
        <v>67</v>
      </c>
      <c r="H486" s="2">
        <v>600</v>
      </c>
      <c r="I486" t="s">
        <v>105</v>
      </c>
      <c r="J486" t="s">
        <v>70</v>
      </c>
      <c r="K486" t="s">
        <v>70</v>
      </c>
      <c r="L486" t="s">
        <v>69</v>
      </c>
      <c r="M486" s="4">
        <v>2</v>
      </c>
      <c r="N486" t="s">
        <v>71</v>
      </c>
      <c r="O486" s="4">
        <v>2</v>
      </c>
      <c r="P486" t="s">
        <v>71</v>
      </c>
      <c r="Q486" s="4">
        <v>2</v>
      </c>
      <c r="R486" t="s">
        <v>71</v>
      </c>
      <c r="S486" s="4">
        <v>1</v>
      </c>
      <c r="T486" t="s">
        <v>71</v>
      </c>
      <c r="U486" t="s">
        <v>92</v>
      </c>
      <c r="V486" t="s">
        <v>93</v>
      </c>
      <c r="W486" t="s">
        <v>93</v>
      </c>
      <c r="X486" t="s">
        <v>94</v>
      </c>
      <c r="Y486" t="s">
        <v>69</v>
      </c>
      <c r="Z486" s="4">
        <v>8</v>
      </c>
      <c r="AA486" t="s">
        <v>117</v>
      </c>
      <c r="AB486" s="4">
        <v>162</v>
      </c>
      <c r="AC486" s="4">
        <v>82</v>
      </c>
      <c r="AD486" s="4">
        <v>77</v>
      </c>
      <c r="AE486" s="4">
        <v>167</v>
      </c>
      <c r="AF486" s="4">
        <v>112</v>
      </c>
      <c r="AG486" s="4">
        <v>120</v>
      </c>
      <c r="AH486" s="4">
        <v>95</v>
      </c>
      <c r="AI486" s="4">
        <v>107</v>
      </c>
      <c r="AJ486" s="4">
        <v>26</v>
      </c>
      <c r="AK486" t="s">
        <v>78</v>
      </c>
      <c r="AL486" t="s">
        <v>79</v>
      </c>
      <c r="AM486" t="s">
        <v>80</v>
      </c>
      <c r="AN486" t="s">
        <v>81</v>
      </c>
      <c r="AO486" t="s">
        <v>82</v>
      </c>
      <c r="AP486" t="s">
        <v>83</v>
      </c>
      <c r="AQ486" t="s">
        <v>83</v>
      </c>
      <c r="AR486" t="s">
        <v>83</v>
      </c>
      <c r="AS486" t="s">
        <v>84</v>
      </c>
      <c r="AT486" t="s">
        <v>83</v>
      </c>
      <c r="AU486" t="s">
        <v>83</v>
      </c>
      <c r="AV486" t="s">
        <v>83</v>
      </c>
      <c r="AW486" s="4">
        <v>2</v>
      </c>
      <c r="AX486" s="4">
        <v>1</v>
      </c>
      <c r="AY486" s="4">
        <v>2</v>
      </c>
      <c r="AZ486" s="3">
        <v>1.67</v>
      </c>
      <c r="BA486" s="3">
        <v>2.7888999999999999</v>
      </c>
      <c r="BB486" s="3">
        <v>27.609451755172291</v>
      </c>
      <c r="BC486" t="s">
        <v>98</v>
      </c>
      <c r="BD486" t="s">
        <v>99</v>
      </c>
      <c r="BE486" s="4">
        <v>3</v>
      </c>
      <c r="BF486" t="s">
        <v>111</v>
      </c>
      <c r="BG486" s="4">
        <v>1</v>
      </c>
      <c r="BH486" s="1" t="e">
        <v>#NULL!</v>
      </c>
      <c r="BI486" t="s">
        <v>83</v>
      </c>
      <c r="BJ486" s="4">
        <v>3</v>
      </c>
      <c r="BK486" t="s">
        <v>112</v>
      </c>
    </row>
    <row r="487" spans="1:63" x14ac:dyDescent="0.35">
      <c r="A487" s="4">
        <v>204</v>
      </c>
      <c r="B487" s="4">
        <v>70</v>
      </c>
      <c r="C487" t="s">
        <v>122</v>
      </c>
      <c r="D487" t="s">
        <v>64</v>
      </c>
      <c r="E487" t="s">
        <v>104</v>
      </c>
      <c r="F487" t="s">
        <v>66</v>
      </c>
      <c r="G487" t="s">
        <v>67</v>
      </c>
      <c r="H487" s="2">
        <v>700</v>
      </c>
      <c r="I487" t="s">
        <v>105</v>
      </c>
      <c r="J487" t="s">
        <v>70</v>
      </c>
      <c r="K487" t="s">
        <v>70</v>
      </c>
      <c r="L487" t="s">
        <v>69</v>
      </c>
      <c r="M487" s="4">
        <v>1</v>
      </c>
      <c r="N487" t="s">
        <v>71</v>
      </c>
      <c r="O487" s="4">
        <v>4</v>
      </c>
      <c r="P487" t="s">
        <v>91</v>
      </c>
      <c r="Q487" s="4">
        <v>3</v>
      </c>
      <c r="R487" t="s">
        <v>91</v>
      </c>
      <c r="S487" s="4">
        <v>3</v>
      </c>
      <c r="T487" t="s">
        <v>91</v>
      </c>
      <c r="U487" t="s">
        <v>103</v>
      </c>
      <c r="V487" t="s">
        <v>93</v>
      </c>
      <c r="W487" t="s">
        <v>93</v>
      </c>
      <c r="X487" t="s">
        <v>94</v>
      </c>
      <c r="Y487" t="s">
        <v>69</v>
      </c>
      <c r="Z487" s="4">
        <v>10</v>
      </c>
      <c r="AA487" t="s">
        <v>117</v>
      </c>
      <c r="AB487" s="4">
        <v>145</v>
      </c>
      <c r="AC487" s="4">
        <v>91</v>
      </c>
      <c r="AD487" s="4">
        <v>90</v>
      </c>
      <c r="AE487" s="4">
        <v>172</v>
      </c>
      <c r="AF487" s="4">
        <v>106</v>
      </c>
      <c r="AG487" s="4">
        <v>110</v>
      </c>
      <c r="AH487" s="4">
        <v>108</v>
      </c>
      <c r="AI487" s="4">
        <v>170</v>
      </c>
      <c r="AJ487" s="4">
        <v>38</v>
      </c>
      <c r="AK487" t="s">
        <v>107</v>
      </c>
      <c r="AL487" t="s">
        <v>79</v>
      </c>
      <c r="AM487" t="s">
        <v>108</v>
      </c>
      <c r="AN487" t="s">
        <v>109</v>
      </c>
      <c r="AO487" t="s">
        <v>82</v>
      </c>
      <c r="AP487" t="s">
        <v>83</v>
      </c>
      <c r="AQ487" t="s">
        <v>83</v>
      </c>
      <c r="AR487" t="s">
        <v>83</v>
      </c>
      <c r="AS487" t="s">
        <v>102</v>
      </c>
      <c r="AT487" t="s">
        <v>83</v>
      </c>
      <c r="AU487" t="s">
        <v>83</v>
      </c>
      <c r="AV487" t="s">
        <v>83</v>
      </c>
      <c r="AW487" s="4">
        <v>4</v>
      </c>
      <c r="AX487" s="4">
        <v>1</v>
      </c>
      <c r="AY487" s="4">
        <v>2</v>
      </c>
      <c r="AZ487" s="3">
        <v>1.72</v>
      </c>
      <c r="BA487" s="3">
        <v>2.9583999999999997</v>
      </c>
      <c r="BB487" s="3">
        <v>30.421849648458629</v>
      </c>
      <c r="BC487" t="s">
        <v>110</v>
      </c>
      <c r="BD487" t="s">
        <v>99</v>
      </c>
      <c r="BE487" s="4">
        <v>5</v>
      </c>
      <c r="BF487" t="s">
        <v>111</v>
      </c>
      <c r="BG487" s="4">
        <v>1</v>
      </c>
      <c r="BH487" s="1" t="e">
        <v>#NULL!</v>
      </c>
      <c r="BI487" t="s">
        <v>83</v>
      </c>
      <c r="BJ487" s="4">
        <v>5</v>
      </c>
      <c r="BK487" t="s">
        <v>112</v>
      </c>
    </row>
    <row r="488" spans="1:63" x14ac:dyDescent="0.35">
      <c r="A488" s="4">
        <v>269</v>
      </c>
      <c r="B488" s="4">
        <v>70</v>
      </c>
      <c r="C488" t="s">
        <v>122</v>
      </c>
      <c r="D488" t="s">
        <v>89</v>
      </c>
      <c r="E488" t="s">
        <v>113</v>
      </c>
      <c r="F488" t="s">
        <v>115</v>
      </c>
      <c r="G488" t="s">
        <v>67</v>
      </c>
      <c r="H488" s="2">
        <v>500</v>
      </c>
      <c r="I488" t="s">
        <v>68</v>
      </c>
      <c r="J488" t="s">
        <v>69</v>
      </c>
      <c r="K488" t="s">
        <v>69</v>
      </c>
      <c r="L488" t="s">
        <v>69</v>
      </c>
      <c r="M488" s="4">
        <v>5</v>
      </c>
      <c r="N488" t="s">
        <v>72</v>
      </c>
      <c r="O488" s="4">
        <v>4</v>
      </c>
      <c r="P488" t="s">
        <v>91</v>
      </c>
      <c r="Q488" s="4">
        <v>0</v>
      </c>
      <c r="R488" t="s">
        <v>71</v>
      </c>
      <c r="S488" s="4">
        <v>0</v>
      </c>
      <c r="T488" t="s">
        <v>71</v>
      </c>
      <c r="U488" t="s">
        <v>92</v>
      </c>
      <c r="V488" t="s">
        <v>93</v>
      </c>
      <c r="W488" t="s">
        <v>93</v>
      </c>
      <c r="X488" t="s">
        <v>94</v>
      </c>
      <c r="Y488" t="s">
        <v>69</v>
      </c>
      <c r="Z488" s="4">
        <v>6</v>
      </c>
      <c r="AA488" t="s">
        <v>77</v>
      </c>
      <c r="AB488" s="4">
        <v>120</v>
      </c>
      <c r="AC488" s="4">
        <v>80</v>
      </c>
      <c r="AD488" s="4">
        <v>63</v>
      </c>
      <c r="AE488" s="4">
        <v>166</v>
      </c>
      <c r="AF488" s="4">
        <v>79</v>
      </c>
      <c r="AG488" s="4">
        <v>96</v>
      </c>
      <c r="AH488" s="4">
        <v>226</v>
      </c>
      <c r="AI488" s="4">
        <v>69</v>
      </c>
      <c r="AJ488" s="4">
        <v>54</v>
      </c>
      <c r="AK488" t="s">
        <v>78</v>
      </c>
      <c r="AL488" t="s">
        <v>95</v>
      </c>
      <c r="AM488" t="s">
        <v>80</v>
      </c>
      <c r="AN488" t="s">
        <v>96</v>
      </c>
      <c r="AO488" t="s">
        <v>97</v>
      </c>
      <c r="AP488" t="s">
        <v>85</v>
      </c>
      <c r="AQ488" t="s">
        <v>85</v>
      </c>
      <c r="AR488" t="s">
        <v>85</v>
      </c>
      <c r="AS488" t="s">
        <v>102</v>
      </c>
      <c r="AT488" t="s">
        <v>85</v>
      </c>
      <c r="AU488" t="s">
        <v>85</v>
      </c>
      <c r="AV488" t="s">
        <v>85</v>
      </c>
      <c r="AW488" s="4">
        <v>1</v>
      </c>
      <c r="AX488" s="4">
        <v>0</v>
      </c>
      <c r="AY488" s="4">
        <v>0</v>
      </c>
      <c r="AZ488" s="3">
        <v>1.66</v>
      </c>
      <c r="BA488" s="3">
        <v>2.7555999999999998</v>
      </c>
      <c r="BB488" s="3">
        <v>22.862534475250399</v>
      </c>
      <c r="BC488" t="s">
        <v>85</v>
      </c>
      <c r="BD488" t="s">
        <v>86</v>
      </c>
      <c r="BE488" s="4">
        <v>1</v>
      </c>
      <c r="BF488" t="s">
        <v>87</v>
      </c>
      <c r="BG488" s="1" t="e">
        <v>#NULL!</v>
      </c>
      <c r="BH488" s="4">
        <v>0</v>
      </c>
      <c r="BI488" t="s">
        <v>85</v>
      </c>
      <c r="BJ488" s="4">
        <v>1</v>
      </c>
      <c r="BK488" t="s">
        <v>88</v>
      </c>
    </row>
    <row r="489" spans="1:63" x14ac:dyDescent="0.35">
      <c r="A489" s="4">
        <v>32</v>
      </c>
      <c r="B489" s="4">
        <v>70</v>
      </c>
      <c r="C489" t="s">
        <v>122</v>
      </c>
      <c r="D489" t="s">
        <v>89</v>
      </c>
      <c r="E489" t="s">
        <v>104</v>
      </c>
      <c r="F489" t="s">
        <v>90</v>
      </c>
      <c r="G489" t="s">
        <v>67</v>
      </c>
      <c r="H489" s="2">
        <v>300</v>
      </c>
      <c r="I489" t="s">
        <v>68</v>
      </c>
      <c r="J489" t="s">
        <v>69</v>
      </c>
      <c r="K489" t="s">
        <v>69</v>
      </c>
      <c r="L489" t="s">
        <v>69</v>
      </c>
      <c r="M489" s="4">
        <v>0</v>
      </c>
      <c r="N489" t="s">
        <v>71</v>
      </c>
      <c r="O489" s="4">
        <v>0</v>
      </c>
      <c r="P489" t="s">
        <v>71</v>
      </c>
      <c r="Q489" s="4">
        <v>0</v>
      </c>
      <c r="R489" t="s">
        <v>71</v>
      </c>
      <c r="S489" s="4">
        <v>0</v>
      </c>
      <c r="T489" t="s">
        <v>71</v>
      </c>
      <c r="U489" t="s">
        <v>92</v>
      </c>
      <c r="V489" t="s">
        <v>93</v>
      </c>
      <c r="W489" t="s">
        <v>93</v>
      </c>
      <c r="X489" t="s">
        <v>94</v>
      </c>
      <c r="Y489" t="s">
        <v>69</v>
      </c>
      <c r="Z489" s="4">
        <v>4</v>
      </c>
      <c r="AA489" t="s">
        <v>77</v>
      </c>
      <c r="AB489" s="4">
        <v>172</v>
      </c>
      <c r="AC489" s="4">
        <v>82</v>
      </c>
      <c r="AD489" s="4">
        <v>62</v>
      </c>
      <c r="AE489" s="4">
        <v>162</v>
      </c>
      <c r="AF489" s="4">
        <v>104</v>
      </c>
      <c r="AG489" s="4">
        <v>95</v>
      </c>
      <c r="AH489" s="4">
        <v>96</v>
      </c>
      <c r="AI489" s="4">
        <v>199</v>
      </c>
      <c r="AJ489" s="4">
        <v>43</v>
      </c>
      <c r="AK489" t="s">
        <v>107</v>
      </c>
      <c r="AL489" t="s">
        <v>79</v>
      </c>
      <c r="AM489" t="s">
        <v>80</v>
      </c>
      <c r="AN489" t="s">
        <v>81</v>
      </c>
      <c r="AO489" t="s">
        <v>82</v>
      </c>
      <c r="AP489" t="s">
        <v>83</v>
      </c>
      <c r="AQ489" t="s">
        <v>85</v>
      </c>
      <c r="AR489" t="s">
        <v>83</v>
      </c>
      <c r="AS489" t="s">
        <v>84</v>
      </c>
      <c r="AT489" t="s">
        <v>83</v>
      </c>
      <c r="AU489" t="s">
        <v>83</v>
      </c>
      <c r="AV489" t="s">
        <v>83</v>
      </c>
      <c r="AW489" s="4">
        <v>3</v>
      </c>
      <c r="AX489" s="4">
        <v>1</v>
      </c>
      <c r="AY489" s="4">
        <v>2</v>
      </c>
      <c r="AZ489" s="3">
        <v>1.62</v>
      </c>
      <c r="BA489" s="3">
        <v>2.6244000000000005</v>
      </c>
      <c r="BB489" s="3">
        <v>23.624447492760247</v>
      </c>
      <c r="BC489" t="s">
        <v>85</v>
      </c>
      <c r="BD489" t="s">
        <v>86</v>
      </c>
      <c r="BE489" s="4">
        <v>4</v>
      </c>
      <c r="BF489" t="s">
        <v>111</v>
      </c>
      <c r="BG489" s="1" t="e">
        <v>#NULL!</v>
      </c>
      <c r="BH489" s="4">
        <v>1</v>
      </c>
      <c r="BI489" t="s">
        <v>83</v>
      </c>
      <c r="BJ489" s="4">
        <v>4</v>
      </c>
      <c r="BK489" t="s">
        <v>112</v>
      </c>
    </row>
    <row r="490" spans="1:63" x14ac:dyDescent="0.35">
      <c r="A490" s="4">
        <v>38</v>
      </c>
      <c r="B490" s="4">
        <v>70</v>
      </c>
      <c r="C490" t="s">
        <v>122</v>
      </c>
      <c r="D490" t="s">
        <v>89</v>
      </c>
      <c r="E490" t="s">
        <v>113</v>
      </c>
      <c r="F490" t="s">
        <v>66</v>
      </c>
      <c r="G490" t="s">
        <v>67</v>
      </c>
      <c r="H490" s="2">
        <v>150</v>
      </c>
      <c r="I490" t="s">
        <v>68</v>
      </c>
      <c r="J490" t="s">
        <v>69</v>
      </c>
      <c r="K490" t="s">
        <v>69</v>
      </c>
      <c r="L490" t="s">
        <v>69</v>
      </c>
      <c r="M490" s="4">
        <v>3</v>
      </c>
      <c r="N490" t="s">
        <v>91</v>
      </c>
      <c r="O490" s="4">
        <v>2</v>
      </c>
      <c r="P490" t="s">
        <v>71</v>
      </c>
      <c r="Q490" s="4">
        <v>3</v>
      </c>
      <c r="R490" t="s">
        <v>91</v>
      </c>
      <c r="S490" s="4">
        <v>2</v>
      </c>
      <c r="T490" t="s">
        <v>71</v>
      </c>
      <c r="U490" t="s">
        <v>92</v>
      </c>
      <c r="V490" t="s">
        <v>93</v>
      </c>
      <c r="W490" t="s">
        <v>93</v>
      </c>
      <c r="X490" t="s">
        <v>94</v>
      </c>
      <c r="Y490" t="s">
        <v>70</v>
      </c>
      <c r="Z490" s="4">
        <v>12</v>
      </c>
      <c r="AA490" t="s">
        <v>117</v>
      </c>
      <c r="AB490" s="4">
        <v>175</v>
      </c>
      <c r="AC490" s="4">
        <v>100</v>
      </c>
      <c r="AD490" s="4">
        <v>84</v>
      </c>
      <c r="AE490" s="4">
        <v>170</v>
      </c>
      <c r="AF490" s="4">
        <v>90</v>
      </c>
      <c r="AG490" s="4">
        <v>117</v>
      </c>
      <c r="AH490" s="4">
        <v>115</v>
      </c>
      <c r="AI490" s="4">
        <v>119</v>
      </c>
      <c r="AJ490" s="4">
        <v>51</v>
      </c>
      <c r="AK490" t="s">
        <v>78</v>
      </c>
      <c r="AL490" t="s">
        <v>79</v>
      </c>
      <c r="AM490" t="s">
        <v>108</v>
      </c>
      <c r="AN490" t="s">
        <v>109</v>
      </c>
      <c r="AO490" t="s">
        <v>82</v>
      </c>
      <c r="AP490" t="s">
        <v>85</v>
      </c>
      <c r="AQ490" t="s">
        <v>85</v>
      </c>
      <c r="AR490" t="s">
        <v>85</v>
      </c>
      <c r="AS490" t="s">
        <v>102</v>
      </c>
      <c r="AT490" t="s">
        <v>85</v>
      </c>
      <c r="AU490" t="s">
        <v>83</v>
      </c>
      <c r="AV490" t="s">
        <v>83</v>
      </c>
      <c r="AW490" s="4">
        <v>2</v>
      </c>
      <c r="AX490" s="4">
        <v>1</v>
      </c>
      <c r="AY490" s="4">
        <v>2</v>
      </c>
      <c r="AZ490" s="3">
        <v>1.7</v>
      </c>
      <c r="BA490" s="3">
        <v>2.8899999999999997</v>
      </c>
      <c r="BB490" s="3">
        <v>29.065743944636683</v>
      </c>
      <c r="BC490" t="s">
        <v>98</v>
      </c>
      <c r="BD490" t="s">
        <v>99</v>
      </c>
      <c r="BE490" s="4">
        <v>3</v>
      </c>
      <c r="BF490" t="s">
        <v>111</v>
      </c>
      <c r="BG490" s="1" t="e">
        <v>#NULL!</v>
      </c>
      <c r="BH490" s="4">
        <v>1</v>
      </c>
      <c r="BI490" t="s">
        <v>83</v>
      </c>
      <c r="BJ490" s="4">
        <v>3</v>
      </c>
      <c r="BK490" t="s">
        <v>112</v>
      </c>
    </row>
    <row r="491" spans="1:63" x14ac:dyDescent="0.35">
      <c r="A491" s="4">
        <v>286</v>
      </c>
      <c r="B491" s="4">
        <v>71</v>
      </c>
      <c r="C491" t="s">
        <v>122</v>
      </c>
      <c r="D491" t="s">
        <v>64</v>
      </c>
      <c r="E491" t="s">
        <v>104</v>
      </c>
      <c r="F491" t="s">
        <v>66</v>
      </c>
      <c r="G491" t="s">
        <v>67</v>
      </c>
      <c r="H491" s="2">
        <v>900</v>
      </c>
      <c r="I491" t="s">
        <v>105</v>
      </c>
      <c r="J491" t="s">
        <v>70</v>
      </c>
      <c r="K491" t="s">
        <v>69</v>
      </c>
      <c r="L491" t="s">
        <v>69</v>
      </c>
      <c r="M491" s="4">
        <v>5</v>
      </c>
      <c r="N491" t="s">
        <v>72</v>
      </c>
      <c r="O491" s="4">
        <v>5</v>
      </c>
      <c r="P491" t="s">
        <v>72</v>
      </c>
      <c r="Q491" s="4">
        <v>5</v>
      </c>
      <c r="R491" t="s">
        <v>72</v>
      </c>
      <c r="S491" s="4">
        <v>5</v>
      </c>
      <c r="T491" t="s">
        <v>72</v>
      </c>
      <c r="U491" t="s">
        <v>73</v>
      </c>
      <c r="V491" t="s">
        <v>93</v>
      </c>
      <c r="W491" t="s">
        <v>93</v>
      </c>
      <c r="X491" t="s">
        <v>94</v>
      </c>
      <c r="Y491" t="s">
        <v>69</v>
      </c>
      <c r="Z491" s="4">
        <v>6</v>
      </c>
      <c r="AA491" t="s">
        <v>77</v>
      </c>
      <c r="AB491" s="4">
        <v>137</v>
      </c>
      <c r="AC491" s="4">
        <v>67</v>
      </c>
      <c r="AD491" s="4">
        <v>95</v>
      </c>
      <c r="AE491" s="4">
        <v>176</v>
      </c>
      <c r="AF491" s="4">
        <v>107</v>
      </c>
      <c r="AG491" s="4">
        <v>110</v>
      </c>
      <c r="AH491" s="4">
        <v>104</v>
      </c>
      <c r="AI491" s="4">
        <v>96</v>
      </c>
      <c r="AJ491" s="4">
        <v>40</v>
      </c>
      <c r="AK491" t="s">
        <v>78</v>
      </c>
      <c r="AL491" t="s">
        <v>79</v>
      </c>
      <c r="AM491" t="s">
        <v>80</v>
      </c>
      <c r="AN491" t="s">
        <v>81</v>
      </c>
      <c r="AO491" t="s">
        <v>82</v>
      </c>
      <c r="AP491" t="s">
        <v>83</v>
      </c>
      <c r="AQ491" t="s">
        <v>85</v>
      </c>
      <c r="AR491" t="s">
        <v>85</v>
      </c>
      <c r="AS491" t="s">
        <v>102</v>
      </c>
      <c r="AT491" t="s">
        <v>83</v>
      </c>
      <c r="AU491" t="s">
        <v>83</v>
      </c>
      <c r="AV491" t="s">
        <v>83</v>
      </c>
      <c r="AW491" s="4">
        <v>2</v>
      </c>
      <c r="AX491" s="4">
        <v>1</v>
      </c>
      <c r="AY491" s="4">
        <v>2</v>
      </c>
      <c r="AZ491" s="3">
        <v>1.76</v>
      </c>
      <c r="BA491" s="3">
        <v>3.0975999999999999</v>
      </c>
      <c r="BB491" s="3">
        <v>30.668904958677686</v>
      </c>
      <c r="BC491" t="s">
        <v>110</v>
      </c>
      <c r="BD491" t="s">
        <v>99</v>
      </c>
      <c r="BE491" s="4">
        <v>3</v>
      </c>
      <c r="BF491" t="s">
        <v>111</v>
      </c>
      <c r="BG491" s="4">
        <v>1</v>
      </c>
      <c r="BH491" s="1" t="e">
        <v>#NULL!</v>
      </c>
      <c r="BI491" t="s">
        <v>83</v>
      </c>
      <c r="BJ491" s="4">
        <v>3</v>
      </c>
      <c r="BK491" t="s">
        <v>112</v>
      </c>
    </row>
    <row r="492" spans="1:63" x14ac:dyDescent="0.35">
      <c r="A492" s="4">
        <v>369</v>
      </c>
      <c r="B492" s="4">
        <v>71</v>
      </c>
      <c r="C492" t="s">
        <v>122</v>
      </c>
      <c r="D492" t="s">
        <v>64</v>
      </c>
      <c r="E492" t="s">
        <v>104</v>
      </c>
      <c r="F492" t="s">
        <v>66</v>
      </c>
      <c r="G492" t="s">
        <v>67</v>
      </c>
      <c r="H492" s="2">
        <v>700</v>
      </c>
      <c r="I492" t="s">
        <v>105</v>
      </c>
      <c r="J492" t="s">
        <v>70</v>
      </c>
      <c r="K492" t="s">
        <v>70</v>
      </c>
      <c r="L492" t="s">
        <v>69</v>
      </c>
      <c r="M492" s="4">
        <v>1</v>
      </c>
      <c r="N492" t="s">
        <v>71</v>
      </c>
      <c r="O492" s="4">
        <v>4</v>
      </c>
      <c r="P492" t="s">
        <v>91</v>
      </c>
      <c r="Q492" s="4">
        <v>3</v>
      </c>
      <c r="R492" t="s">
        <v>91</v>
      </c>
      <c r="S492" s="4">
        <v>1</v>
      </c>
      <c r="T492" t="s">
        <v>71</v>
      </c>
      <c r="U492" t="s">
        <v>103</v>
      </c>
      <c r="V492" t="s">
        <v>93</v>
      </c>
      <c r="W492" t="s">
        <v>93</v>
      </c>
      <c r="X492" t="s">
        <v>94</v>
      </c>
      <c r="Y492" t="s">
        <v>69</v>
      </c>
      <c r="Z492" s="4">
        <v>10</v>
      </c>
      <c r="AA492" t="s">
        <v>117</v>
      </c>
      <c r="AB492" s="4">
        <v>145</v>
      </c>
      <c r="AC492" s="4">
        <v>91</v>
      </c>
      <c r="AD492" s="4">
        <v>90</v>
      </c>
      <c r="AE492" s="4">
        <v>172</v>
      </c>
      <c r="AF492" s="4">
        <v>106</v>
      </c>
      <c r="AG492" s="4">
        <v>110</v>
      </c>
      <c r="AH492" s="4">
        <v>108</v>
      </c>
      <c r="AI492" s="4">
        <v>170</v>
      </c>
      <c r="AJ492" s="4">
        <v>38</v>
      </c>
      <c r="AK492" t="s">
        <v>107</v>
      </c>
      <c r="AL492" t="s">
        <v>79</v>
      </c>
      <c r="AM492" t="s">
        <v>108</v>
      </c>
      <c r="AN492" t="s">
        <v>109</v>
      </c>
      <c r="AO492" t="s">
        <v>82</v>
      </c>
      <c r="AP492" t="s">
        <v>83</v>
      </c>
      <c r="AQ492" t="s">
        <v>83</v>
      </c>
      <c r="AR492" t="s">
        <v>83</v>
      </c>
      <c r="AS492" t="s">
        <v>102</v>
      </c>
      <c r="AT492" t="s">
        <v>83</v>
      </c>
      <c r="AU492" t="s">
        <v>83</v>
      </c>
      <c r="AV492" t="s">
        <v>83</v>
      </c>
      <c r="AW492" s="4">
        <v>4</v>
      </c>
      <c r="AX492" s="4">
        <v>1</v>
      </c>
      <c r="AY492" s="4">
        <v>2</v>
      </c>
      <c r="AZ492" s="3">
        <v>1.72</v>
      </c>
      <c r="BA492" s="3">
        <v>2.9583999999999997</v>
      </c>
      <c r="BB492" s="3">
        <v>30.421849648458629</v>
      </c>
      <c r="BC492" t="s">
        <v>110</v>
      </c>
      <c r="BD492" t="s">
        <v>99</v>
      </c>
      <c r="BE492" s="4">
        <v>5</v>
      </c>
      <c r="BF492" t="s">
        <v>111</v>
      </c>
      <c r="BG492" s="4">
        <v>1</v>
      </c>
      <c r="BH492" s="1" t="e">
        <v>#NULL!</v>
      </c>
      <c r="BI492" t="s">
        <v>83</v>
      </c>
      <c r="BJ492" s="4">
        <v>5</v>
      </c>
      <c r="BK492" t="s">
        <v>112</v>
      </c>
    </row>
    <row r="493" spans="1:63" x14ac:dyDescent="0.35">
      <c r="A493" s="4">
        <v>419</v>
      </c>
      <c r="B493" s="4">
        <v>71</v>
      </c>
      <c r="C493" t="s">
        <v>122</v>
      </c>
      <c r="D493" t="s">
        <v>64</v>
      </c>
      <c r="E493" t="s">
        <v>104</v>
      </c>
      <c r="F493" t="s">
        <v>101</v>
      </c>
      <c r="G493" t="s">
        <v>67</v>
      </c>
      <c r="H493" s="2">
        <v>300</v>
      </c>
      <c r="I493" t="s">
        <v>68</v>
      </c>
      <c r="J493" t="s">
        <v>69</v>
      </c>
      <c r="K493" t="s">
        <v>70</v>
      </c>
      <c r="L493" t="s">
        <v>69</v>
      </c>
      <c r="M493" s="4">
        <v>0</v>
      </c>
      <c r="N493" t="s">
        <v>71</v>
      </c>
      <c r="O493" s="4">
        <v>1</v>
      </c>
      <c r="P493" t="s">
        <v>71</v>
      </c>
      <c r="Q493" s="4">
        <v>3</v>
      </c>
      <c r="R493" t="s">
        <v>91</v>
      </c>
      <c r="S493" s="4">
        <v>1</v>
      </c>
      <c r="T493" t="s">
        <v>71</v>
      </c>
      <c r="U493" t="s">
        <v>103</v>
      </c>
      <c r="V493" t="s">
        <v>93</v>
      </c>
      <c r="W493" t="s">
        <v>93</v>
      </c>
      <c r="X493" t="s">
        <v>94</v>
      </c>
      <c r="Y493" t="s">
        <v>69</v>
      </c>
      <c r="Z493" s="4">
        <v>12</v>
      </c>
      <c r="AA493" t="s">
        <v>117</v>
      </c>
      <c r="AB493" s="4">
        <v>162</v>
      </c>
      <c r="AC493" s="4">
        <v>98</v>
      </c>
      <c r="AD493" s="4">
        <v>93</v>
      </c>
      <c r="AE493" s="4">
        <v>174</v>
      </c>
      <c r="AF493" s="4">
        <v>110</v>
      </c>
      <c r="AG493" s="4">
        <v>115</v>
      </c>
      <c r="AH493" s="4">
        <v>125</v>
      </c>
      <c r="AI493" s="4">
        <v>165</v>
      </c>
      <c r="AJ493" s="4">
        <v>35</v>
      </c>
      <c r="AK493" t="s">
        <v>107</v>
      </c>
      <c r="AL493" t="s">
        <v>79</v>
      </c>
      <c r="AM493" t="s">
        <v>108</v>
      </c>
      <c r="AN493" t="s">
        <v>109</v>
      </c>
      <c r="AO493" t="s">
        <v>82</v>
      </c>
      <c r="AP493" t="s">
        <v>83</v>
      </c>
      <c r="AQ493" t="s">
        <v>83</v>
      </c>
      <c r="AR493" t="s">
        <v>83</v>
      </c>
      <c r="AS493" t="s">
        <v>102</v>
      </c>
      <c r="AT493" t="s">
        <v>83</v>
      </c>
      <c r="AU493" t="s">
        <v>83</v>
      </c>
      <c r="AV493" t="s">
        <v>83</v>
      </c>
      <c r="AW493" s="4">
        <v>4</v>
      </c>
      <c r="AX493" s="4">
        <v>1</v>
      </c>
      <c r="AY493" s="4">
        <v>2</v>
      </c>
      <c r="AZ493" s="3">
        <v>1.74</v>
      </c>
      <c r="BA493" s="3">
        <v>3.0276000000000001</v>
      </c>
      <c r="BB493" s="3">
        <v>30.717399920729289</v>
      </c>
      <c r="BC493" t="s">
        <v>110</v>
      </c>
      <c r="BD493" t="s">
        <v>99</v>
      </c>
      <c r="BE493" s="4">
        <v>5</v>
      </c>
      <c r="BF493" t="s">
        <v>111</v>
      </c>
      <c r="BG493" s="4">
        <v>1</v>
      </c>
      <c r="BH493" s="1" t="e">
        <v>#NULL!</v>
      </c>
      <c r="BI493" t="s">
        <v>83</v>
      </c>
      <c r="BJ493" s="4">
        <v>5</v>
      </c>
      <c r="BK493" t="s">
        <v>112</v>
      </c>
    </row>
    <row r="494" spans="1:63" x14ac:dyDescent="0.35">
      <c r="A494" s="4">
        <v>302</v>
      </c>
      <c r="B494" s="4">
        <v>71</v>
      </c>
      <c r="C494" t="s">
        <v>122</v>
      </c>
      <c r="D494" t="s">
        <v>89</v>
      </c>
      <c r="E494" t="s">
        <v>113</v>
      </c>
      <c r="F494" t="s">
        <v>90</v>
      </c>
      <c r="G494" t="s">
        <v>67</v>
      </c>
      <c r="H494" s="2">
        <v>300</v>
      </c>
      <c r="I494" t="s">
        <v>68</v>
      </c>
      <c r="J494" t="s">
        <v>69</v>
      </c>
      <c r="K494" t="s">
        <v>69</v>
      </c>
      <c r="L494" t="s">
        <v>69</v>
      </c>
      <c r="M494" s="4">
        <v>0</v>
      </c>
      <c r="N494" t="s">
        <v>71</v>
      </c>
      <c r="O494" s="4">
        <v>0</v>
      </c>
      <c r="P494" t="s">
        <v>71</v>
      </c>
      <c r="Q494" s="4">
        <v>0</v>
      </c>
      <c r="R494" t="s">
        <v>71</v>
      </c>
      <c r="S494" s="4">
        <v>0</v>
      </c>
      <c r="T494" t="s">
        <v>71</v>
      </c>
      <c r="U494" t="s">
        <v>92</v>
      </c>
      <c r="V494" t="s">
        <v>93</v>
      </c>
      <c r="W494" t="s">
        <v>93</v>
      </c>
      <c r="X494" t="s">
        <v>94</v>
      </c>
      <c r="Y494" t="s">
        <v>69</v>
      </c>
      <c r="Z494" s="4">
        <v>4</v>
      </c>
      <c r="AA494" t="s">
        <v>77</v>
      </c>
      <c r="AB494" s="4">
        <v>172</v>
      </c>
      <c r="AC494" s="4">
        <v>82</v>
      </c>
      <c r="AD494" s="4">
        <v>62</v>
      </c>
      <c r="AE494" s="4">
        <v>162</v>
      </c>
      <c r="AF494" s="4">
        <v>104</v>
      </c>
      <c r="AG494" s="4">
        <v>95</v>
      </c>
      <c r="AH494" s="4">
        <v>96</v>
      </c>
      <c r="AI494" s="4">
        <v>199</v>
      </c>
      <c r="AJ494" s="4">
        <v>43</v>
      </c>
      <c r="AK494" t="s">
        <v>107</v>
      </c>
      <c r="AL494" t="s">
        <v>79</v>
      </c>
      <c r="AM494" t="s">
        <v>80</v>
      </c>
      <c r="AN494" t="s">
        <v>81</v>
      </c>
      <c r="AO494" t="s">
        <v>82</v>
      </c>
      <c r="AP494" t="s">
        <v>83</v>
      </c>
      <c r="AQ494" t="s">
        <v>85</v>
      </c>
      <c r="AR494" t="s">
        <v>83</v>
      </c>
      <c r="AS494" t="s">
        <v>84</v>
      </c>
      <c r="AT494" t="s">
        <v>83</v>
      </c>
      <c r="AU494" t="s">
        <v>83</v>
      </c>
      <c r="AV494" t="s">
        <v>83</v>
      </c>
      <c r="AW494" s="4">
        <v>3</v>
      </c>
      <c r="AX494" s="4">
        <v>1</v>
      </c>
      <c r="AY494" s="4">
        <v>2</v>
      </c>
      <c r="AZ494" s="3">
        <v>1.62</v>
      </c>
      <c r="BA494" s="3">
        <v>2.6244000000000005</v>
      </c>
      <c r="BB494" s="3">
        <v>23.624447492760247</v>
      </c>
      <c r="BC494" t="s">
        <v>85</v>
      </c>
      <c r="BD494" t="s">
        <v>86</v>
      </c>
      <c r="BE494" s="4">
        <v>4</v>
      </c>
      <c r="BF494" t="s">
        <v>111</v>
      </c>
      <c r="BG494" s="1" t="e">
        <v>#NULL!</v>
      </c>
      <c r="BH494" s="4">
        <v>1</v>
      </c>
      <c r="BI494" t="s">
        <v>83</v>
      </c>
      <c r="BJ494" s="4">
        <v>4</v>
      </c>
      <c r="BK494" t="s">
        <v>112</v>
      </c>
    </row>
    <row r="495" spans="1:63" x14ac:dyDescent="0.35">
      <c r="A495" s="4">
        <v>205</v>
      </c>
      <c r="B495" s="4">
        <v>72</v>
      </c>
      <c r="C495" t="s">
        <v>122</v>
      </c>
      <c r="D495" t="s">
        <v>64</v>
      </c>
      <c r="E495" t="s">
        <v>104</v>
      </c>
      <c r="F495" t="s">
        <v>101</v>
      </c>
      <c r="G495" t="s">
        <v>67</v>
      </c>
      <c r="H495" s="2">
        <v>300</v>
      </c>
      <c r="I495" t="s">
        <v>68</v>
      </c>
      <c r="J495" t="s">
        <v>69</v>
      </c>
      <c r="K495" t="s">
        <v>70</v>
      </c>
      <c r="L495" t="s">
        <v>69</v>
      </c>
      <c r="M495" s="4">
        <v>0</v>
      </c>
      <c r="N495" t="s">
        <v>71</v>
      </c>
      <c r="O495" s="4">
        <v>1</v>
      </c>
      <c r="P495" t="s">
        <v>71</v>
      </c>
      <c r="Q495" s="4">
        <v>3</v>
      </c>
      <c r="R495" t="s">
        <v>91</v>
      </c>
      <c r="S495" s="4">
        <v>1</v>
      </c>
      <c r="T495" t="s">
        <v>71</v>
      </c>
      <c r="U495" t="s">
        <v>103</v>
      </c>
      <c r="V495" t="s">
        <v>93</v>
      </c>
      <c r="W495" t="s">
        <v>93</v>
      </c>
      <c r="X495" t="s">
        <v>94</v>
      </c>
      <c r="Y495" t="s">
        <v>69</v>
      </c>
      <c r="Z495" s="4">
        <v>12</v>
      </c>
      <c r="AA495" t="s">
        <v>117</v>
      </c>
      <c r="AB495" s="4">
        <v>162</v>
      </c>
      <c r="AC495" s="4">
        <v>98</v>
      </c>
      <c r="AD495" s="4">
        <v>93</v>
      </c>
      <c r="AE495" s="4">
        <v>174</v>
      </c>
      <c r="AF495" s="4">
        <v>110</v>
      </c>
      <c r="AG495" s="4">
        <v>115</v>
      </c>
      <c r="AH495" s="4">
        <v>125</v>
      </c>
      <c r="AI495" s="4">
        <v>165</v>
      </c>
      <c r="AJ495" s="4">
        <v>35</v>
      </c>
      <c r="AK495" t="s">
        <v>107</v>
      </c>
      <c r="AL495" t="s">
        <v>79</v>
      </c>
      <c r="AM495" t="s">
        <v>108</v>
      </c>
      <c r="AN495" t="s">
        <v>109</v>
      </c>
      <c r="AO495" t="s">
        <v>82</v>
      </c>
      <c r="AP495" t="s">
        <v>83</v>
      </c>
      <c r="AQ495" t="s">
        <v>83</v>
      </c>
      <c r="AR495" t="s">
        <v>83</v>
      </c>
      <c r="AS495" t="s">
        <v>102</v>
      </c>
      <c r="AT495" t="s">
        <v>83</v>
      </c>
      <c r="AU495" t="s">
        <v>83</v>
      </c>
      <c r="AV495" t="s">
        <v>83</v>
      </c>
      <c r="AW495" s="4">
        <v>4</v>
      </c>
      <c r="AX495" s="4">
        <v>1</v>
      </c>
      <c r="AY495" s="4">
        <v>2</v>
      </c>
      <c r="AZ495" s="3">
        <v>1.74</v>
      </c>
      <c r="BA495" s="3">
        <v>3.0276000000000001</v>
      </c>
      <c r="BB495" s="3">
        <v>30.717399920729289</v>
      </c>
      <c r="BC495" t="s">
        <v>110</v>
      </c>
      <c r="BD495" t="s">
        <v>99</v>
      </c>
      <c r="BE495" s="4">
        <v>5</v>
      </c>
      <c r="BF495" t="s">
        <v>111</v>
      </c>
      <c r="BG495" s="4">
        <v>1</v>
      </c>
      <c r="BH495" s="1" t="e">
        <v>#NULL!</v>
      </c>
      <c r="BI495" t="s">
        <v>83</v>
      </c>
      <c r="BJ495" s="4">
        <v>5</v>
      </c>
      <c r="BK495" t="s">
        <v>112</v>
      </c>
    </row>
    <row r="496" spans="1:63" x14ac:dyDescent="0.35">
      <c r="A496" s="4">
        <v>383</v>
      </c>
      <c r="B496" s="4">
        <v>79</v>
      </c>
      <c r="C496" t="s">
        <v>122</v>
      </c>
      <c r="D496" t="s">
        <v>89</v>
      </c>
      <c r="E496" t="s">
        <v>104</v>
      </c>
      <c r="F496" t="s">
        <v>90</v>
      </c>
      <c r="G496" t="s">
        <v>67</v>
      </c>
      <c r="H496" s="2">
        <v>400</v>
      </c>
      <c r="I496" t="s">
        <v>68</v>
      </c>
      <c r="J496" t="s">
        <v>69</v>
      </c>
      <c r="K496" t="s">
        <v>69</v>
      </c>
      <c r="L496" t="s">
        <v>69</v>
      </c>
      <c r="M496" s="4">
        <v>1</v>
      </c>
      <c r="N496" t="s">
        <v>71</v>
      </c>
      <c r="O496" s="4">
        <v>2</v>
      </c>
      <c r="P496" t="s">
        <v>71</v>
      </c>
      <c r="Q496" s="4">
        <v>1</v>
      </c>
      <c r="R496" t="s">
        <v>71</v>
      </c>
      <c r="S496" s="4">
        <v>1</v>
      </c>
      <c r="T496" t="s">
        <v>71</v>
      </c>
      <c r="U496" t="s">
        <v>92</v>
      </c>
      <c r="V496" t="s">
        <v>93</v>
      </c>
      <c r="W496" t="s">
        <v>93</v>
      </c>
      <c r="X496" t="s">
        <v>94</v>
      </c>
      <c r="Y496" t="s">
        <v>69</v>
      </c>
      <c r="Z496" s="4">
        <v>8</v>
      </c>
      <c r="AA496" t="s">
        <v>117</v>
      </c>
      <c r="AB496" s="4">
        <v>170</v>
      </c>
      <c r="AC496" s="4">
        <v>82</v>
      </c>
      <c r="AD496" s="4">
        <v>80</v>
      </c>
      <c r="AE496" s="4">
        <v>175</v>
      </c>
      <c r="AF496" s="4">
        <v>90</v>
      </c>
      <c r="AG496" s="4">
        <v>110</v>
      </c>
      <c r="AH496" s="4">
        <v>154</v>
      </c>
      <c r="AI496" s="4">
        <v>120</v>
      </c>
      <c r="AJ496" s="4">
        <v>39</v>
      </c>
      <c r="AK496" t="s">
        <v>78</v>
      </c>
      <c r="AL496" t="s">
        <v>79</v>
      </c>
      <c r="AM496" t="s">
        <v>80</v>
      </c>
      <c r="AN496" t="s">
        <v>81</v>
      </c>
      <c r="AO496" t="s">
        <v>82</v>
      </c>
      <c r="AP496" t="s">
        <v>83</v>
      </c>
      <c r="AQ496" t="s">
        <v>83</v>
      </c>
      <c r="AR496" t="s">
        <v>83</v>
      </c>
      <c r="AS496" t="s">
        <v>102</v>
      </c>
      <c r="AT496" t="s">
        <v>85</v>
      </c>
      <c r="AU496" t="s">
        <v>83</v>
      </c>
      <c r="AV496" t="s">
        <v>83</v>
      </c>
      <c r="AW496" s="4">
        <v>3</v>
      </c>
      <c r="AX496" s="4">
        <v>1</v>
      </c>
      <c r="AY496" s="4">
        <v>2</v>
      </c>
      <c r="AZ496" s="3">
        <v>1.75</v>
      </c>
      <c r="BA496" s="3">
        <v>3.0625</v>
      </c>
      <c r="BB496" s="3">
        <v>26.122448979591837</v>
      </c>
      <c r="BC496" t="s">
        <v>98</v>
      </c>
      <c r="BD496" t="s">
        <v>99</v>
      </c>
      <c r="BE496" s="4">
        <v>4</v>
      </c>
      <c r="BF496" t="s">
        <v>111</v>
      </c>
      <c r="BG496" s="1" t="e">
        <v>#NULL!</v>
      </c>
      <c r="BH496" s="4">
        <v>1</v>
      </c>
      <c r="BI496" t="s">
        <v>83</v>
      </c>
      <c r="BJ496" s="4">
        <v>4</v>
      </c>
      <c r="BK496" t="s">
        <v>112</v>
      </c>
    </row>
    <row r="497" spans="1:63" x14ac:dyDescent="0.35">
      <c r="A497" s="4">
        <v>96</v>
      </c>
      <c r="B497" s="4">
        <v>80</v>
      </c>
      <c r="C497" t="s">
        <v>122</v>
      </c>
      <c r="D497" t="s">
        <v>89</v>
      </c>
      <c r="E497" t="s">
        <v>104</v>
      </c>
      <c r="F497" t="s">
        <v>90</v>
      </c>
      <c r="G497" t="s">
        <v>67</v>
      </c>
      <c r="H497" s="2">
        <v>400</v>
      </c>
      <c r="I497" t="s">
        <v>68</v>
      </c>
      <c r="J497" t="s">
        <v>69</v>
      </c>
      <c r="K497" t="s">
        <v>69</v>
      </c>
      <c r="L497" t="s">
        <v>69</v>
      </c>
      <c r="M497" s="4">
        <v>1</v>
      </c>
      <c r="N497" t="s">
        <v>71</v>
      </c>
      <c r="O497" s="4">
        <v>2</v>
      </c>
      <c r="P497" t="s">
        <v>71</v>
      </c>
      <c r="Q497" s="4">
        <v>1</v>
      </c>
      <c r="R497" t="s">
        <v>71</v>
      </c>
      <c r="S497" s="4">
        <v>1</v>
      </c>
      <c r="T497" t="s">
        <v>71</v>
      </c>
      <c r="U497" t="s">
        <v>92</v>
      </c>
      <c r="V497" t="s">
        <v>93</v>
      </c>
      <c r="W497" t="s">
        <v>93</v>
      </c>
      <c r="X497" t="s">
        <v>94</v>
      </c>
      <c r="Y497" t="s">
        <v>69</v>
      </c>
      <c r="Z497" s="4">
        <v>8</v>
      </c>
      <c r="AA497" t="s">
        <v>117</v>
      </c>
      <c r="AB497" s="4">
        <v>170</v>
      </c>
      <c r="AC497" s="4">
        <v>82</v>
      </c>
      <c r="AD497" s="4">
        <v>80</v>
      </c>
      <c r="AE497" s="4">
        <v>175</v>
      </c>
      <c r="AF497" s="4">
        <v>90</v>
      </c>
      <c r="AG497" s="4">
        <v>110</v>
      </c>
      <c r="AH497" s="4">
        <v>154</v>
      </c>
      <c r="AI497" s="4">
        <v>120</v>
      </c>
      <c r="AJ497" s="4">
        <v>39</v>
      </c>
      <c r="AK497" t="s">
        <v>78</v>
      </c>
      <c r="AL497" t="s">
        <v>79</v>
      </c>
      <c r="AM497" t="s">
        <v>80</v>
      </c>
      <c r="AN497" t="s">
        <v>81</v>
      </c>
      <c r="AO497" t="s">
        <v>82</v>
      </c>
      <c r="AP497" t="s">
        <v>83</v>
      </c>
      <c r="AQ497" t="s">
        <v>83</v>
      </c>
      <c r="AR497" t="s">
        <v>83</v>
      </c>
      <c r="AS497" t="s">
        <v>102</v>
      </c>
      <c r="AT497" t="s">
        <v>85</v>
      </c>
      <c r="AU497" t="s">
        <v>83</v>
      </c>
      <c r="AV497" t="s">
        <v>83</v>
      </c>
      <c r="AW497" s="4">
        <v>3</v>
      </c>
      <c r="AX497" s="4">
        <v>1</v>
      </c>
      <c r="AY497" s="4">
        <v>2</v>
      </c>
      <c r="AZ497" s="3">
        <v>1.75</v>
      </c>
      <c r="BA497" s="3">
        <v>3.0625</v>
      </c>
      <c r="BB497" s="3">
        <v>26.122448979591837</v>
      </c>
      <c r="BC497" t="s">
        <v>98</v>
      </c>
      <c r="BD497" t="s">
        <v>99</v>
      </c>
      <c r="BE497" s="4">
        <v>4</v>
      </c>
      <c r="BF497" t="s">
        <v>111</v>
      </c>
      <c r="BG497" s="1" t="e">
        <v>#NULL!</v>
      </c>
      <c r="BH497" s="4">
        <v>1</v>
      </c>
      <c r="BI497" t="s">
        <v>83</v>
      </c>
      <c r="BJ497" s="4">
        <v>4</v>
      </c>
      <c r="BK497" t="s">
        <v>112</v>
      </c>
    </row>
    <row r="498" spans="1:63" x14ac:dyDescent="0.35">
      <c r="A498" s="4">
        <v>462</v>
      </c>
      <c r="B498" s="4">
        <v>81</v>
      </c>
      <c r="C498" t="s">
        <v>122</v>
      </c>
      <c r="D498" t="s">
        <v>64</v>
      </c>
      <c r="E498" t="s">
        <v>104</v>
      </c>
      <c r="F498" t="s">
        <v>115</v>
      </c>
      <c r="G498" t="s">
        <v>67</v>
      </c>
      <c r="H498" s="2">
        <v>500</v>
      </c>
      <c r="I498" t="s">
        <v>68</v>
      </c>
      <c r="J498" t="s">
        <v>70</v>
      </c>
      <c r="K498" t="s">
        <v>70</v>
      </c>
      <c r="L498" t="s">
        <v>69</v>
      </c>
      <c r="M498" s="4">
        <v>2</v>
      </c>
      <c r="N498" t="s">
        <v>71</v>
      </c>
      <c r="O498" s="4">
        <v>2</v>
      </c>
      <c r="P498" t="s">
        <v>71</v>
      </c>
      <c r="Q498" s="4">
        <v>1</v>
      </c>
      <c r="R498" t="s">
        <v>71</v>
      </c>
      <c r="S498" s="4">
        <v>1</v>
      </c>
      <c r="T498" t="s">
        <v>71</v>
      </c>
      <c r="U498" t="s">
        <v>92</v>
      </c>
      <c r="V498" t="s">
        <v>75</v>
      </c>
      <c r="W498" t="s">
        <v>93</v>
      </c>
      <c r="X498" t="s">
        <v>94</v>
      </c>
      <c r="Y498" t="s">
        <v>70</v>
      </c>
      <c r="Z498" s="4">
        <v>4</v>
      </c>
      <c r="AA498" t="s">
        <v>77</v>
      </c>
      <c r="AB498" s="4">
        <v>115</v>
      </c>
      <c r="AC498" s="4">
        <v>75</v>
      </c>
      <c r="AD498" s="4">
        <v>61</v>
      </c>
      <c r="AE498" s="4">
        <v>168</v>
      </c>
      <c r="AF498" s="4">
        <v>110</v>
      </c>
      <c r="AG498" s="4">
        <v>111</v>
      </c>
      <c r="AH498" s="4">
        <v>77</v>
      </c>
      <c r="AI498" s="4">
        <v>111</v>
      </c>
      <c r="AJ498" s="4">
        <v>39</v>
      </c>
      <c r="AK498" t="s">
        <v>78</v>
      </c>
      <c r="AL498" t="s">
        <v>95</v>
      </c>
      <c r="AM498" t="s">
        <v>80</v>
      </c>
      <c r="AN498" t="s">
        <v>96</v>
      </c>
      <c r="AO498" t="s">
        <v>97</v>
      </c>
      <c r="AP498" t="s">
        <v>83</v>
      </c>
      <c r="AQ498" t="s">
        <v>83</v>
      </c>
      <c r="AR498" t="s">
        <v>83</v>
      </c>
      <c r="AS498" t="s">
        <v>84</v>
      </c>
      <c r="AT498" t="s">
        <v>83</v>
      </c>
      <c r="AU498" t="s">
        <v>83</v>
      </c>
      <c r="AV498" t="s">
        <v>83</v>
      </c>
      <c r="AW498" s="4">
        <v>1</v>
      </c>
      <c r="AX498" s="4">
        <v>0</v>
      </c>
      <c r="AY498" s="4">
        <v>1</v>
      </c>
      <c r="AZ498" s="3">
        <v>1.68</v>
      </c>
      <c r="BA498" s="3">
        <v>2.8223999999999996</v>
      </c>
      <c r="BB498" s="3">
        <v>21.612811791383223</v>
      </c>
      <c r="BC498" t="s">
        <v>85</v>
      </c>
      <c r="BD498" t="s">
        <v>86</v>
      </c>
      <c r="BE498" s="4">
        <v>2</v>
      </c>
      <c r="BF498" t="s">
        <v>87</v>
      </c>
      <c r="BG498" s="4">
        <v>1</v>
      </c>
      <c r="BH498" s="1" t="e">
        <v>#NULL!</v>
      </c>
      <c r="BI498" t="s">
        <v>83</v>
      </c>
      <c r="BJ498" s="4">
        <v>2</v>
      </c>
      <c r="BK498" t="s">
        <v>88</v>
      </c>
    </row>
    <row r="499" spans="1:63" x14ac:dyDescent="0.35">
      <c r="A499" s="4">
        <v>199</v>
      </c>
      <c r="B499" s="4">
        <v>82</v>
      </c>
      <c r="C499" t="s">
        <v>122</v>
      </c>
      <c r="D499" t="s">
        <v>64</v>
      </c>
      <c r="E499" t="s">
        <v>104</v>
      </c>
      <c r="F499" t="s">
        <v>115</v>
      </c>
      <c r="G499" t="s">
        <v>67</v>
      </c>
      <c r="H499" s="2">
        <v>500</v>
      </c>
      <c r="I499" t="s">
        <v>68</v>
      </c>
      <c r="J499" t="s">
        <v>70</v>
      </c>
      <c r="K499" t="s">
        <v>69</v>
      </c>
      <c r="L499" t="s">
        <v>69</v>
      </c>
      <c r="M499" s="4">
        <v>2</v>
      </c>
      <c r="N499" t="s">
        <v>71</v>
      </c>
      <c r="O499" s="4">
        <v>2</v>
      </c>
      <c r="P499" t="s">
        <v>71</v>
      </c>
      <c r="Q499" s="4">
        <v>1</v>
      </c>
      <c r="R499" t="s">
        <v>71</v>
      </c>
      <c r="S499" s="4">
        <v>1</v>
      </c>
      <c r="T499" t="s">
        <v>71</v>
      </c>
      <c r="U499" t="s">
        <v>92</v>
      </c>
      <c r="V499" t="s">
        <v>75</v>
      </c>
      <c r="W499" t="s">
        <v>93</v>
      </c>
      <c r="X499" t="s">
        <v>94</v>
      </c>
      <c r="Y499" t="s">
        <v>70</v>
      </c>
      <c r="Z499" s="4">
        <v>4</v>
      </c>
      <c r="AA499" t="s">
        <v>77</v>
      </c>
      <c r="AB499" s="4">
        <v>115</v>
      </c>
      <c r="AC499" s="4">
        <v>75</v>
      </c>
      <c r="AD499" s="4">
        <v>61</v>
      </c>
      <c r="AE499" s="4">
        <v>168</v>
      </c>
      <c r="AF499" s="4">
        <v>110</v>
      </c>
      <c r="AG499" s="4">
        <v>111</v>
      </c>
      <c r="AH499" s="4">
        <v>77</v>
      </c>
      <c r="AI499" s="4">
        <v>111</v>
      </c>
      <c r="AJ499" s="4">
        <v>39</v>
      </c>
      <c r="AK499" t="s">
        <v>78</v>
      </c>
      <c r="AL499" t="s">
        <v>95</v>
      </c>
      <c r="AM499" t="s">
        <v>80</v>
      </c>
      <c r="AN499" t="s">
        <v>96</v>
      </c>
      <c r="AO499" t="s">
        <v>97</v>
      </c>
      <c r="AP499" t="s">
        <v>83</v>
      </c>
      <c r="AQ499" t="s">
        <v>83</v>
      </c>
      <c r="AR499" t="s">
        <v>83</v>
      </c>
      <c r="AS499" t="s">
        <v>84</v>
      </c>
      <c r="AT499" t="s">
        <v>83</v>
      </c>
      <c r="AU499" t="s">
        <v>83</v>
      </c>
      <c r="AV499" t="s">
        <v>83</v>
      </c>
      <c r="AW499" s="4">
        <v>1</v>
      </c>
      <c r="AX499" s="4">
        <v>0</v>
      </c>
      <c r="AY499" s="4">
        <v>1</v>
      </c>
      <c r="AZ499" s="3">
        <v>1.68</v>
      </c>
      <c r="BA499" s="3">
        <v>2.8223999999999996</v>
      </c>
      <c r="BB499" s="3">
        <v>21.612811791383223</v>
      </c>
      <c r="BC499" t="s">
        <v>85</v>
      </c>
      <c r="BD499" t="s">
        <v>86</v>
      </c>
      <c r="BE499" s="4">
        <v>2</v>
      </c>
      <c r="BF499" t="s">
        <v>87</v>
      </c>
      <c r="BG499" s="4">
        <v>1</v>
      </c>
      <c r="BH499" s="1" t="e">
        <v>#NULL!</v>
      </c>
      <c r="BI499" t="s">
        <v>83</v>
      </c>
      <c r="BJ499" s="4">
        <v>2</v>
      </c>
      <c r="BK499" t="s">
        <v>88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A68CC-4663-48E3-A33F-D350110AAE74}">
  <dimension ref="A1:S495"/>
  <sheetViews>
    <sheetView topLeftCell="J1" zoomScaleNormal="100" workbookViewId="0">
      <selection activeCell="S2" sqref="S2:S495"/>
    </sheetView>
  </sheetViews>
  <sheetFormatPr defaultRowHeight="14.5" x14ac:dyDescent="0.35"/>
  <cols>
    <col min="1" max="1" width="14.54296875" bestFit="1" customWidth="1"/>
    <col min="2" max="2" width="14.54296875" customWidth="1"/>
    <col min="3" max="3" width="6.1796875" bestFit="1" customWidth="1"/>
    <col min="4" max="4" width="9.26953125" bestFit="1" customWidth="1"/>
    <col min="5" max="5" width="15.453125" style="10" bestFit="1" customWidth="1"/>
    <col min="6" max="6" width="10.08984375" bestFit="1" customWidth="1"/>
    <col min="8" max="8" width="7" bestFit="1" customWidth="1"/>
    <col min="9" max="9" width="15.36328125" bestFit="1" customWidth="1"/>
    <col min="10" max="10" width="13.7265625" bestFit="1" customWidth="1"/>
    <col min="11" max="13" width="9.26953125" bestFit="1" customWidth="1"/>
    <col min="14" max="14" width="10.36328125" customWidth="1"/>
    <col min="15" max="15" width="9.08984375" bestFit="1" customWidth="1"/>
    <col min="16" max="16" width="13.453125" bestFit="1" customWidth="1"/>
    <col min="17" max="17" width="15.1796875" customWidth="1"/>
    <col min="18" max="18" width="12.453125" customWidth="1"/>
    <col min="19" max="19" width="14.54296875" customWidth="1"/>
  </cols>
  <sheetData>
    <row r="1" spans="1:19" x14ac:dyDescent="0.35">
      <c r="A1" t="s">
        <v>123</v>
      </c>
      <c r="B1" t="s">
        <v>1</v>
      </c>
      <c r="C1" t="s">
        <v>3</v>
      </c>
      <c r="D1" t="s">
        <v>5</v>
      </c>
      <c r="E1" s="10" t="s">
        <v>7</v>
      </c>
      <c r="F1" t="s">
        <v>9</v>
      </c>
      <c r="G1" t="s">
        <v>10</v>
      </c>
      <c r="H1" t="s">
        <v>20</v>
      </c>
      <c r="I1" t="s">
        <v>22</v>
      </c>
      <c r="J1" t="s">
        <v>25</v>
      </c>
      <c r="K1" t="s">
        <v>27</v>
      </c>
      <c r="L1" t="s">
        <v>28</v>
      </c>
      <c r="M1" t="s">
        <v>31</v>
      </c>
      <c r="N1" t="s">
        <v>33</v>
      </c>
      <c r="O1" t="s">
        <v>34</v>
      </c>
      <c r="P1" t="s">
        <v>35</v>
      </c>
      <c r="Q1" t="s">
        <v>50</v>
      </c>
      <c r="R1" t="s">
        <v>53</v>
      </c>
      <c r="S1" t="s">
        <v>173</v>
      </c>
    </row>
    <row r="2" spans="1:19" x14ac:dyDescent="0.35">
      <c r="A2">
        <v>1</v>
      </c>
      <c r="B2">
        <v>23</v>
      </c>
      <c r="C2" t="s">
        <v>89</v>
      </c>
      <c r="D2" t="s">
        <v>90</v>
      </c>
      <c r="E2" s="10">
        <v>500</v>
      </c>
      <c r="F2" t="s">
        <v>69</v>
      </c>
      <c r="G2" t="s">
        <v>70</v>
      </c>
      <c r="H2" t="s">
        <v>73</v>
      </c>
      <c r="I2" t="s">
        <v>125</v>
      </c>
      <c r="J2" s="5">
        <v>2</v>
      </c>
      <c r="K2" s="6">
        <v>117</v>
      </c>
      <c r="L2" s="6">
        <v>87</v>
      </c>
      <c r="M2" s="7">
        <v>83</v>
      </c>
      <c r="N2" s="8">
        <v>92</v>
      </c>
      <c r="O2" s="8">
        <v>98</v>
      </c>
      <c r="P2" s="8">
        <v>33</v>
      </c>
      <c r="Q2" s="4" t="s">
        <v>127</v>
      </c>
      <c r="R2" s="9">
        <v>22.948115744558788</v>
      </c>
      <c r="S2" s="4" t="s">
        <v>175</v>
      </c>
    </row>
    <row r="3" spans="1:19" x14ac:dyDescent="0.35">
      <c r="A3">
        <v>2</v>
      </c>
      <c r="B3">
        <v>19</v>
      </c>
      <c r="C3" t="s">
        <v>64</v>
      </c>
      <c r="D3" t="s">
        <v>66</v>
      </c>
      <c r="E3" s="10">
        <v>100</v>
      </c>
      <c r="F3" t="s">
        <v>69</v>
      </c>
      <c r="G3" t="s">
        <v>70</v>
      </c>
      <c r="H3" t="s">
        <v>73</v>
      </c>
      <c r="I3" t="s">
        <v>124</v>
      </c>
      <c r="J3" s="5">
        <v>7</v>
      </c>
      <c r="K3" s="6">
        <v>133</v>
      </c>
      <c r="L3" s="6">
        <v>83</v>
      </c>
      <c r="M3" s="7">
        <v>90</v>
      </c>
      <c r="N3" s="8">
        <v>97</v>
      </c>
      <c r="O3" s="8">
        <v>100</v>
      </c>
      <c r="P3" s="8">
        <v>36</v>
      </c>
      <c r="Q3" s="4" t="s">
        <v>127</v>
      </c>
      <c r="R3" s="9">
        <v>24.337479718766904</v>
      </c>
      <c r="S3" s="4" t="s">
        <v>175</v>
      </c>
    </row>
    <row r="4" spans="1:19" x14ac:dyDescent="0.35">
      <c r="A4">
        <v>3</v>
      </c>
      <c r="B4">
        <v>60</v>
      </c>
      <c r="C4" t="s">
        <v>89</v>
      </c>
      <c r="D4" t="s">
        <v>115</v>
      </c>
      <c r="E4" s="10">
        <v>200</v>
      </c>
      <c r="F4" t="s">
        <v>69</v>
      </c>
      <c r="G4" t="s">
        <v>69</v>
      </c>
      <c r="H4" t="s">
        <v>73</v>
      </c>
      <c r="I4" t="s">
        <v>125</v>
      </c>
      <c r="J4" s="5">
        <v>4</v>
      </c>
      <c r="K4" s="6">
        <v>136</v>
      </c>
      <c r="L4" s="6">
        <v>76</v>
      </c>
      <c r="M4" s="7">
        <v>95</v>
      </c>
      <c r="N4" s="8">
        <v>105</v>
      </c>
      <c r="O4" s="8">
        <v>110</v>
      </c>
      <c r="P4" s="8">
        <v>50</v>
      </c>
      <c r="Q4" s="4" t="s">
        <v>126</v>
      </c>
      <c r="R4" s="9">
        <v>32.421874999999993</v>
      </c>
      <c r="S4" s="4" t="s">
        <v>174</v>
      </c>
    </row>
    <row r="5" spans="1:19" x14ac:dyDescent="0.35">
      <c r="A5">
        <v>4</v>
      </c>
      <c r="B5">
        <v>20</v>
      </c>
      <c r="C5" t="s">
        <v>64</v>
      </c>
      <c r="D5" t="s">
        <v>90</v>
      </c>
      <c r="E5" s="10">
        <v>300</v>
      </c>
      <c r="F5" t="s">
        <v>69</v>
      </c>
      <c r="G5" t="s">
        <v>69</v>
      </c>
      <c r="H5" t="s">
        <v>73</v>
      </c>
      <c r="I5" t="s">
        <v>125</v>
      </c>
      <c r="J5" s="5">
        <v>3</v>
      </c>
      <c r="K5" s="6">
        <v>116</v>
      </c>
      <c r="L5" s="6">
        <v>69</v>
      </c>
      <c r="M5" s="7">
        <v>82</v>
      </c>
      <c r="N5" s="8">
        <v>94</v>
      </c>
      <c r="O5" s="8">
        <v>88</v>
      </c>
      <c r="P5" s="8">
        <v>54</v>
      </c>
      <c r="Q5" s="4" t="s">
        <v>126</v>
      </c>
      <c r="R5" s="9">
        <v>15.548945375878855</v>
      </c>
      <c r="S5" s="4" t="s">
        <v>174</v>
      </c>
    </row>
    <row r="6" spans="1:19" x14ac:dyDescent="0.35">
      <c r="A6">
        <v>5</v>
      </c>
      <c r="B6">
        <v>32</v>
      </c>
      <c r="C6" t="s">
        <v>89</v>
      </c>
      <c r="D6" t="s">
        <v>66</v>
      </c>
      <c r="E6" s="10">
        <v>200</v>
      </c>
      <c r="F6" t="s">
        <v>69</v>
      </c>
      <c r="G6" t="s">
        <v>69</v>
      </c>
      <c r="H6" t="s">
        <v>73</v>
      </c>
      <c r="I6" t="s">
        <v>125</v>
      </c>
      <c r="J6" s="5">
        <v>2</v>
      </c>
      <c r="K6" s="6">
        <v>111</v>
      </c>
      <c r="L6" s="6">
        <v>82</v>
      </c>
      <c r="M6" s="7">
        <v>85</v>
      </c>
      <c r="N6" s="8">
        <v>98</v>
      </c>
      <c r="O6" s="8">
        <v>110</v>
      </c>
      <c r="P6" s="8">
        <v>38</v>
      </c>
      <c r="Q6" s="4" t="s">
        <v>126</v>
      </c>
      <c r="R6" s="9">
        <v>24.242424242424246</v>
      </c>
      <c r="S6" s="4" t="s">
        <v>174</v>
      </c>
    </row>
    <row r="7" spans="1:19" x14ac:dyDescent="0.35">
      <c r="A7">
        <v>6</v>
      </c>
      <c r="B7">
        <v>50</v>
      </c>
      <c r="C7" t="s">
        <v>89</v>
      </c>
      <c r="D7" t="s">
        <v>115</v>
      </c>
      <c r="E7" s="10">
        <v>200</v>
      </c>
      <c r="F7" t="s">
        <v>69</v>
      </c>
      <c r="G7" t="s">
        <v>69</v>
      </c>
      <c r="H7" t="s">
        <v>73</v>
      </c>
      <c r="I7" t="s">
        <v>125</v>
      </c>
      <c r="J7" s="5">
        <v>2</v>
      </c>
      <c r="K7" s="6">
        <v>148</v>
      </c>
      <c r="L7" s="6">
        <v>77</v>
      </c>
      <c r="M7" s="7">
        <v>115</v>
      </c>
      <c r="N7" s="8">
        <v>103</v>
      </c>
      <c r="O7" s="8">
        <v>192</v>
      </c>
      <c r="P7" s="8">
        <v>31</v>
      </c>
      <c r="Q7" s="4" t="s">
        <v>127</v>
      </c>
      <c r="R7" s="9">
        <v>40.458259894247711</v>
      </c>
      <c r="S7" s="4" t="s">
        <v>175</v>
      </c>
    </row>
    <row r="8" spans="1:19" x14ac:dyDescent="0.35">
      <c r="A8">
        <v>7</v>
      </c>
      <c r="B8">
        <v>50</v>
      </c>
      <c r="C8" t="s">
        <v>89</v>
      </c>
      <c r="D8" t="s">
        <v>90</v>
      </c>
      <c r="E8" s="10">
        <v>500</v>
      </c>
      <c r="F8" t="s">
        <v>69</v>
      </c>
      <c r="G8" t="s">
        <v>70</v>
      </c>
      <c r="H8" t="s">
        <v>73</v>
      </c>
      <c r="I8" t="s">
        <v>125</v>
      </c>
      <c r="J8" s="5">
        <v>4</v>
      </c>
      <c r="K8" s="6">
        <v>134</v>
      </c>
      <c r="L8" s="6">
        <v>83</v>
      </c>
      <c r="M8" s="7">
        <v>100</v>
      </c>
      <c r="N8" s="8">
        <v>185</v>
      </c>
      <c r="O8" s="8">
        <v>144</v>
      </c>
      <c r="P8" s="8">
        <v>39</v>
      </c>
      <c r="Q8" s="4" t="s">
        <v>126</v>
      </c>
      <c r="R8" s="9">
        <v>42.669152712538995</v>
      </c>
      <c r="S8" s="4" t="s">
        <v>174</v>
      </c>
    </row>
    <row r="9" spans="1:19" x14ac:dyDescent="0.35">
      <c r="A9">
        <v>8</v>
      </c>
      <c r="B9">
        <v>28</v>
      </c>
      <c r="C9" t="s">
        <v>89</v>
      </c>
      <c r="D9" t="s">
        <v>90</v>
      </c>
      <c r="E9" s="10">
        <v>300</v>
      </c>
      <c r="F9" t="s">
        <v>69</v>
      </c>
      <c r="G9" t="s">
        <v>69</v>
      </c>
      <c r="H9" t="s">
        <v>73</v>
      </c>
      <c r="I9" t="s">
        <v>125</v>
      </c>
      <c r="J9" s="5">
        <v>4</v>
      </c>
      <c r="K9" s="6">
        <v>104</v>
      </c>
      <c r="L9" s="6">
        <v>53</v>
      </c>
      <c r="M9" s="7">
        <v>85</v>
      </c>
      <c r="N9" s="8">
        <v>98</v>
      </c>
      <c r="O9" s="8">
        <v>96</v>
      </c>
      <c r="P9" s="8">
        <v>50</v>
      </c>
      <c r="Q9" s="4" t="s">
        <v>127</v>
      </c>
      <c r="R9" s="9">
        <v>24.801587301587304</v>
      </c>
      <c r="S9" s="4" t="s">
        <v>175</v>
      </c>
    </row>
    <row r="10" spans="1:19" x14ac:dyDescent="0.35">
      <c r="A10">
        <v>9</v>
      </c>
      <c r="B10">
        <v>25</v>
      </c>
      <c r="C10" t="s">
        <v>89</v>
      </c>
      <c r="D10" t="s">
        <v>115</v>
      </c>
      <c r="E10" s="10">
        <v>200</v>
      </c>
      <c r="F10" t="s">
        <v>69</v>
      </c>
      <c r="G10" t="s">
        <v>69</v>
      </c>
      <c r="H10" t="s">
        <v>73</v>
      </c>
      <c r="I10" t="s">
        <v>124</v>
      </c>
      <c r="J10" s="5">
        <v>3</v>
      </c>
      <c r="K10" s="6">
        <v>130</v>
      </c>
      <c r="L10" s="6">
        <v>80</v>
      </c>
      <c r="M10" s="7">
        <v>107</v>
      </c>
      <c r="N10" s="8">
        <v>90</v>
      </c>
      <c r="O10" s="8">
        <v>138</v>
      </c>
      <c r="P10" s="8">
        <v>50</v>
      </c>
      <c r="Q10" s="4" t="s">
        <v>126</v>
      </c>
      <c r="R10" s="9">
        <v>28.360351528307834</v>
      </c>
      <c r="S10" s="4" t="s">
        <v>174</v>
      </c>
    </row>
    <row r="11" spans="1:19" x14ac:dyDescent="0.35">
      <c r="A11">
        <v>10</v>
      </c>
      <c r="B11">
        <v>24</v>
      </c>
      <c r="C11" t="s">
        <v>89</v>
      </c>
      <c r="D11" t="s">
        <v>90</v>
      </c>
      <c r="E11" s="10">
        <v>100</v>
      </c>
      <c r="F11" t="s">
        <v>69</v>
      </c>
      <c r="G11" t="s">
        <v>70</v>
      </c>
      <c r="H11" t="s">
        <v>103</v>
      </c>
      <c r="I11" t="s">
        <v>125</v>
      </c>
      <c r="J11" s="5">
        <v>4</v>
      </c>
      <c r="K11" s="6">
        <v>126</v>
      </c>
      <c r="L11" s="6">
        <v>66</v>
      </c>
      <c r="M11" s="7">
        <v>96</v>
      </c>
      <c r="N11" s="8">
        <v>103</v>
      </c>
      <c r="O11" s="8">
        <v>96</v>
      </c>
      <c r="P11" s="8">
        <v>40</v>
      </c>
      <c r="Q11" s="4" t="s">
        <v>127</v>
      </c>
      <c r="R11" s="9">
        <v>26.709401709401707</v>
      </c>
      <c r="S11" s="4" t="s">
        <v>175</v>
      </c>
    </row>
    <row r="12" spans="1:19" x14ac:dyDescent="0.35">
      <c r="A12">
        <v>11</v>
      </c>
      <c r="B12">
        <v>47</v>
      </c>
      <c r="C12" t="s">
        <v>64</v>
      </c>
      <c r="D12" t="s">
        <v>101</v>
      </c>
      <c r="E12" s="10">
        <v>700</v>
      </c>
      <c r="F12" t="s">
        <v>69</v>
      </c>
      <c r="G12" t="s">
        <v>69</v>
      </c>
      <c r="H12" t="s">
        <v>106</v>
      </c>
      <c r="I12" t="s">
        <v>74</v>
      </c>
      <c r="J12" s="5">
        <v>4</v>
      </c>
      <c r="K12" s="6">
        <v>151</v>
      </c>
      <c r="L12" s="6">
        <v>83</v>
      </c>
      <c r="M12" s="7">
        <v>99</v>
      </c>
      <c r="N12" s="8">
        <v>102</v>
      </c>
      <c r="O12" s="8">
        <v>128</v>
      </c>
      <c r="P12" s="8">
        <v>50</v>
      </c>
      <c r="Q12" s="4" t="s">
        <v>127</v>
      </c>
      <c r="R12" s="9">
        <v>25.880570635020831</v>
      </c>
      <c r="S12" s="4" t="s">
        <v>175</v>
      </c>
    </row>
    <row r="13" spans="1:19" x14ac:dyDescent="0.35">
      <c r="A13">
        <v>12</v>
      </c>
      <c r="B13">
        <v>63</v>
      </c>
      <c r="C13" t="s">
        <v>64</v>
      </c>
      <c r="D13" t="s">
        <v>101</v>
      </c>
      <c r="E13" s="10">
        <v>600</v>
      </c>
      <c r="F13" t="s">
        <v>69</v>
      </c>
      <c r="G13" t="s">
        <v>70</v>
      </c>
      <c r="H13" t="s">
        <v>73</v>
      </c>
      <c r="I13" t="s">
        <v>125</v>
      </c>
      <c r="J13" s="5">
        <v>3</v>
      </c>
      <c r="K13" s="6">
        <v>120</v>
      </c>
      <c r="L13" s="6">
        <v>78</v>
      </c>
      <c r="M13" s="7">
        <v>107</v>
      </c>
      <c r="N13" s="8">
        <v>87</v>
      </c>
      <c r="O13" s="8">
        <v>130</v>
      </c>
      <c r="P13" s="8">
        <v>53</v>
      </c>
      <c r="Q13" s="4" t="s">
        <v>127</v>
      </c>
      <c r="R13" s="9">
        <v>28.734672057202044</v>
      </c>
      <c r="S13" s="4" t="s">
        <v>175</v>
      </c>
    </row>
    <row r="14" spans="1:19" x14ac:dyDescent="0.35">
      <c r="A14">
        <v>13</v>
      </c>
      <c r="B14">
        <v>39</v>
      </c>
      <c r="C14" t="s">
        <v>89</v>
      </c>
      <c r="D14" t="s">
        <v>90</v>
      </c>
      <c r="E14" s="10">
        <v>800</v>
      </c>
      <c r="F14" t="s">
        <v>69</v>
      </c>
      <c r="G14" t="s">
        <v>69</v>
      </c>
      <c r="H14" t="s">
        <v>73</v>
      </c>
      <c r="I14" t="s">
        <v>125</v>
      </c>
      <c r="J14" s="5">
        <v>7</v>
      </c>
      <c r="K14" s="6">
        <v>140</v>
      </c>
      <c r="L14" s="6">
        <v>93</v>
      </c>
      <c r="M14" s="7">
        <v>107</v>
      </c>
      <c r="N14" s="8">
        <v>114</v>
      </c>
      <c r="O14" s="8">
        <v>109</v>
      </c>
      <c r="P14" s="8">
        <v>51</v>
      </c>
      <c r="Q14" s="4" t="s">
        <v>126</v>
      </c>
      <c r="R14" s="9">
        <v>36.250470230156289</v>
      </c>
      <c r="S14" s="4" t="s">
        <v>174</v>
      </c>
    </row>
    <row r="15" spans="1:19" x14ac:dyDescent="0.35">
      <c r="A15">
        <v>14</v>
      </c>
      <c r="B15">
        <v>23</v>
      </c>
      <c r="C15" t="s">
        <v>89</v>
      </c>
      <c r="D15" t="s">
        <v>90</v>
      </c>
      <c r="E15" s="10">
        <v>200</v>
      </c>
      <c r="F15" t="s">
        <v>69</v>
      </c>
      <c r="G15" t="s">
        <v>69</v>
      </c>
      <c r="H15" t="s">
        <v>73</v>
      </c>
      <c r="I15" t="s">
        <v>125</v>
      </c>
      <c r="J15" s="5">
        <v>3</v>
      </c>
      <c r="K15" s="6">
        <v>120</v>
      </c>
      <c r="L15" s="6">
        <v>76</v>
      </c>
      <c r="M15" s="7">
        <v>78</v>
      </c>
      <c r="N15" s="8">
        <v>99</v>
      </c>
      <c r="O15" s="8">
        <v>119</v>
      </c>
      <c r="P15" s="8">
        <v>51</v>
      </c>
      <c r="Q15" s="4" t="s">
        <v>127</v>
      </c>
      <c r="R15" s="9">
        <v>23.683171790710933</v>
      </c>
      <c r="S15" s="4" t="s">
        <v>175</v>
      </c>
    </row>
    <row r="16" spans="1:19" x14ac:dyDescent="0.35">
      <c r="A16">
        <v>15</v>
      </c>
      <c r="B16">
        <v>33</v>
      </c>
      <c r="C16" t="s">
        <v>89</v>
      </c>
      <c r="D16" t="s">
        <v>101</v>
      </c>
      <c r="E16" s="10">
        <v>800</v>
      </c>
      <c r="F16" t="s">
        <v>69</v>
      </c>
      <c r="G16" t="s">
        <v>70</v>
      </c>
      <c r="H16" t="s">
        <v>103</v>
      </c>
      <c r="I16" t="s">
        <v>125</v>
      </c>
      <c r="J16" s="5">
        <v>6</v>
      </c>
      <c r="K16" s="6">
        <v>125</v>
      </c>
      <c r="L16" s="6">
        <v>91</v>
      </c>
      <c r="M16" s="7">
        <v>92</v>
      </c>
      <c r="N16" s="8">
        <v>91</v>
      </c>
      <c r="O16" s="8">
        <v>95</v>
      </c>
      <c r="P16" s="8">
        <v>38</v>
      </c>
      <c r="Q16" s="4" t="s">
        <v>126</v>
      </c>
      <c r="R16" s="9">
        <v>24.690405462752206</v>
      </c>
      <c r="S16" s="4" t="s">
        <v>174</v>
      </c>
    </row>
    <row r="17" spans="1:19" x14ac:dyDescent="0.35">
      <c r="A17">
        <v>16</v>
      </c>
      <c r="B17">
        <v>21</v>
      </c>
      <c r="C17" t="s">
        <v>64</v>
      </c>
      <c r="D17" t="s">
        <v>101</v>
      </c>
      <c r="E17" s="10">
        <v>100</v>
      </c>
      <c r="F17" t="s">
        <v>69</v>
      </c>
      <c r="G17" t="s">
        <v>69</v>
      </c>
      <c r="H17" t="s">
        <v>103</v>
      </c>
      <c r="I17" t="s">
        <v>74</v>
      </c>
      <c r="J17" s="5">
        <v>3</v>
      </c>
      <c r="K17" s="6">
        <v>110</v>
      </c>
      <c r="L17" s="6">
        <v>56</v>
      </c>
      <c r="M17" s="7">
        <v>64</v>
      </c>
      <c r="N17" s="8">
        <v>96</v>
      </c>
      <c r="O17" s="8">
        <v>108</v>
      </c>
      <c r="P17" s="8">
        <v>53</v>
      </c>
      <c r="Q17" s="4" t="s">
        <v>127</v>
      </c>
      <c r="R17" s="9">
        <v>18.424036281179141</v>
      </c>
      <c r="S17" s="4" t="s">
        <v>175</v>
      </c>
    </row>
    <row r="18" spans="1:19" x14ac:dyDescent="0.35">
      <c r="A18">
        <v>17</v>
      </c>
      <c r="B18">
        <v>48</v>
      </c>
      <c r="C18" t="s">
        <v>89</v>
      </c>
      <c r="D18" t="s">
        <v>66</v>
      </c>
      <c r="E18" s="10">
        <v>800</v>
      </c>
      <c r="F18" t="s">
        <v>69</v>
      </c>
      <c r="G18" t="s">
        <v>69</v>
      </c>
      <c r="H18" t="s">
        <v>73</v>
      </c>
      <c r="I18" t="s">
        <v>125</v>
      </c>
      <c r="J18" s="5">
        <v>8</v>
      </c>
      <c r="K18" s="6">
        <v>146</v>
      </c>
      <c r="L18" s="6">
        <v>87</v>
      </c>
      <c r="M18" s="7">
        <v>67</v>
      </c>
      <c r="N18" s="8">
        <v>298</v>
      </c>
      <c r="O18" s="8">
        <v>194</v>
      </c>
      <c r="P18" s="8">
        <v>39</v>
      </c>
      <c r="Q18" s="4" t="s">
        <v>127</v>
      </c>
      <c r="R18" s="9">
        <v>16.974653755642141</v>
      </c>
      <c r="S18" s="4" t="s">
        <v>175</v>
      </c>
    </row>
    <row r="19" spans="1:19" x14ac:dyDescent="0.35">
      <c r="A19">
        <v>18</v>
      </c>
      <c r="B19">
        <v>27</v>
      </c>
      <c r="C19" t="s">
        <v>64</v>
      </c>
      <c r="D19" t="s">
        <v>101</v>
      </c>
      <c r="E19" s="10">
        <v>350</v>
      </c>
      <c r="F19" t="s">
        <v>69</v>
      </c>
      <c r="G19" t="s">
        <v>70</v>
      </c>
      <c r="H19" t="s">
        <v>73</v>
      </c>
      <c r="I19" t="s">
        <v>124</v>
      </c>
      <c r="J19" s="5">
        <v>2</v>
      </c>
      <c r="K19" s="6">
        <v>133</v>
      </c>
      <c r="L19" s="6">
        <v>79</v>
      </c>
      <c r="M19" s="7">
        <v>84</v>
      </c>
      <c r="N19" s="8">
        <v>80</v>
      </c>
      <c r="O19" s="8">
        <v>126</v>
      </c>
      <c r="P19" s="8">
        <v>53</v>
      </c>
      <c r="Q19" s="4" t="s">
        <v>126</v>
      </c>
      <c r="R19" s="9">
        <v>24.302487059714682</v>
      </c>
      <c r="S19" s="4" t="s">
        <v>174</v>
      </c>
    </row>
    <row r="20" spans="1:19" x14ac:dyDescent="0.35">
      <c r="A20">
        <v>19</v>
      </c>
      <c r="B20">
        <v>30</v>
      </c>
      <c r="C20" t="s">
        <v>64</v>
      </c>
      <c r="D20" t="s">
        <v>101</v>
      </c>
      <c r="E20" s="10">
        <v>750</v>
      </c>
      <c r="F20" t="s">
        <v>69</v>
      </c>
      <c r="G20" t="s">
        <v>69</v>
      </c>
      <c r="H20" t="s">
        <v>92</v>
      </c>
      <c r="I20" t="s">
        <v>125</v>
      </c>
      <c r="J20" s="5">
        <v>2</v>
      </c>
      <c r="K20" s="6">
        <v>122</v>
      </c>
      <c r="L20" s="6">
        <v>79</v>
      </c>
      <c r="M20" s="7">
        <v>89</v>
      </c>
      <c r="N20" s="8">
        <v>91</v>
      </c>
      <c r="O20" s="8">
        <v>126</v>
      </c>
      <c r="P20" s="8">
        <v>44</v>
      </c>
      <c r="Q20" s="4" t="s">
        <v>126</v>
      </c>
      <c r="R20" s="9">
        <v>25.978679566424791</v>
      </c>
      <c r="S20" s="4" t="s">
        <v>174</v>
      </c>
    </row>
    <row r="21" spans="1:19" x14ac:dyDescent="0.35">
      <c r="A21">
        <v>20</v>
      </c>
      <c r="B21">
        <v>31</v>
      </c>
      <c r="C21" t="s">
        <v>89</v>
      </c>
      <c r="D21" t="s">
        <v>101</v>
      </c>
      <c r="E21" s="10">
        <v>400</v>
      </c>
      <c r="F21" t="s">
        <v>69</v>
      </c>
      <c r="G21" t="s">
        <v>69</v>
      </c>
      <c r="H21" t="s">
        <v>103</v>
      </c>
      <c r="I21" t="s">
        <v>125</v>
      </c>
      <c r="J21" s="5">
        <v>3</v>
      </c>
      <c r="K21" s="6">
        <v>143</v>
      </c>
      <c r="L21" s="6">
        <v>89</v>
      </c>
      <c r="M21" s="7">
        <v>100</v>
      </c>
      <c r="N21" s="8">
        <v>178</v>
      </c>
      <c r="O21" s="8">
        <v>124</v>
      </c>
      <c r="P21" s="8">
        <v>51</v>
      </c>
      <c r="Q21" s="4" t="s">
        <v>126</v>
      </c>
      <c r="R21" s="9">
        <v>34.478096268253111</v>
      </c>
      <c r="S21" s="4" t="s">
        <v>174</v>
      </c>
    </row>
    <row r="22" spans="1:19" x14ac:dyDescent="0.35">
      <c r="A22">
        <v>21</v>
      </c>
      <c r="B22">
        <v>40</v>
      </c>
      <c r="C22" t="s">
        <v>89</v>
      </c>
      <c r="D22" t="s">
        <v>115</v>
      </c>
      <c r="E22" s="10">
        <v>300</v>
      </c>
      <c r="F22" t="s">
        <v>69</v>
      </c>
      <c r="G22" t="s">
        <v>70</v>
      </c>
      <c r="H22" t="s">
        <v>92</v>
      </c>
      <c r="I22" t="s">
        <v>74</v>
      </c>
      <c r="J22" s="5">
        <v>1</v>
      </c>
      <c r="K22" s="6">
        <v>116</v>
      </c>
      <c r="L22" s="6">
        <v>80</v>
      </c>
      <c r="M22" s="7">
        <v>119</v>
      </c>
      <c r="N22" s="8">
        <v>105</v>
      </c>
      <c r="O22" s="8">
        <v>129</v>
      </c>
      <c r="P22" s="8">
        <v>40</v>
      </c>
      <c r="Q22" s="4" t="s">
        <v>126</v>
      </c>
      <c r="R22" s="9">
        <v>33.705044999820721</v>
      </c>
      <c r="S22" s="4" t="s">
        <v>174</v>
      </c>
    </row>
    <row r="23" spans="1:19" x14ac:dyDescent="0.35">
      <c r="A23">
        <v>22</v>
      </c>
      <c r="B23">
        <v>25</v>
      </c>
      <c r="C23" t="s">
        <v>89</v>
      </c>
      <c r="D23" t="s">
        <v>115</v>
      </c>
      <c r="E23" s="10">
        <v>300</v>
      </c>
      <c r="F23" t="s">
        <v>69</v>
      </c>
      <c r="G23" t="s">
        <v>69</v>
      </c>
      <c r="H23" t="s">
        <v>92</v>
      </c>
      <c r="I23" t="s">
        <v>125</v>
      </c>
      <c r="J23" s="5">
        <v>1</v>
      </c>
      <c r="K23" s="6">
        <v>95</v>
      </c>
      <c r="L23" s="6">
        <v>56</v>
      </c>
      <c r="M23" s="7">
        <v>103</v>
      </c>
      <c r="N23" s="8">
        <v>98</v>
      </c>
      <c r="O23" s="8">
        <v>133</v>
      </c>
      <c r="P23" s="8">
        <v>54</v>
      </c>
      <c r="Q23" s="4" t="s">
        <v>127</v>
      </c>
      <c r="R23" s="9">
        <v>22.213678499722331</v>
      </c>
      <c r="S23" s="4" t="s">
        <v>175</v>
      </c>
    </row>
    <row r="24" spans="1:19" x14ac:dyDescent="0.35">
      <c r="A24">
        <v>23</v>
      </c>
      <c r="B24">
        <v>50</v>
      </c>
      <c r="C24" t="s">
        <v>89</v>
      </c>
      <c r="D24" t="s">
        <v>115</v>
      </c>
      <c r="E24" s="10">
        <v>380</v>
      </c>
      <c r="F24" t="s">
        <v>69</v>
      </c>
      <c r="G24" t="s">
        <v>69</v>
      </c>
      <c r="H24" t="s">
        <v>92</v>
      </c>
      <c r="I24" t="s">
        <v>74</v>
      </c>
      <c r="J24" s="5">
        <v>1</v>
      </c>
      <c r="K24" s="6">
        <v>178</v>
      </c>
      <c r="L24" s="6">
        <v>103</v>
      </c>
      <c r="M24" s="7">
        <v>104</v>
      </c>
      <c r="N24" s="8">
        <v>184</v>
      </c>
      <c r="O24" s="8">
        <v>256</v>
      </c>
      <c r="P24" s="8">
        <v>33</v>
      </c>
      <c r="Q24" s="4" t="s">
        <v>127</v>
      </c>
      <c r="R24" s="9">
        <v>26.037493991347535</v>
      </c>
      <c r="S24" s="4" t="s">
        <v>175</v>
      </c>
    </row>
    <row r="25" spans="1:19" x14ac:dyDescent="0.35">
      <c r="A25">
        <v>24</v>
      </c>
      <c r="B25">
        <v>32</v>
      </c>
      <c r="C25" t="s">
        <v>89</v>
      </c>
      <c r="D25" t="s">
        <v>101</v>
      </c>
      <c r="E25" s="10">
        <v>600</v>
      </c>
      <c r="F25" t="s">
        <v>69</v>
      </c>
      <c r="G25" t="s">
        <v>69</v>
      </c>
      <c r="H25" t="s">
        <v>92</v>
      </c>
      <c r="I25" t="s">
        <v>125</v>
      </c>
      <c r="J25" s="5">
        <v>1</v>
      </c>
      <c r="K25" s="6">
        <v>142</v>
      </c>
      <c r="L25" s="6">
        <v>81</v>
      </c>
      <c r="M25" s="7">
        <v>120</v>
      </c>
      <c r="N25" s="8">
        <v>83</v>
      </c>
      <c r="O25" s="8">
        <v>102</v>
      </c>
      <c r="P25" s="8">
        <v>53</v>
      </c>
      <c r="Q25" s="4" t="s">
        <v>127</v>
      </c>
      <c r="R25" s="9">
        <v>39.669421487603309</v>
      </c>
      <c r="S25" s="4" t="s">
        <v>175</v>
      </c>
    </row>
    <row r="26" spans="1:19" x14ac:dyDescent="0.35">
      <c r="A26">
        <v>25</v>
      </c>
      <c r="B26">
        <v>60</v>
      </c>
      <c r="C26" t="s">
        <v>89</v>
      </c>
      <c r="D26" t="s">
        <v>115</v>
      </c>
      <c r="E26" s="10">
        <v>300</v>
      </c>
      <c r="F26" t="s">
        <v>69</v>
      </c>
      <c r="G26" t="s">
        <v>69</v>
      </c>
      <c r="H26" t="s">
        <v>92</v>
      </c>
      <c r="I26" t="s">
        <v>124</v>
      </c>
      <c r="J26" s="5">
        <v>1</v>
      </c>
      <c r="K26" s="6">
        <v>161</v>
      </c>
      <c r="L26" s="6">
        <v>94</v>
      </c>
      <c r="M26" s="7">
        <v>103</v>
      </c>
      <c r="N26" s="8">
        <v>97</v>
      </c>
      <c r="O26" s="8">
        <v>122</v>
      </c>
      <c r="P26" s="8">
        <v>56</v>
      </c>
      <c r="Q26" s="4" t="s">
        <v>127</v>
      </c>
      <c r="R26" s="9">
        <v>27.852007979223909</v>
      </c>
      <c r="S26" s="4" t="s">
        <v>175</v>
      </c>
    </row>
    <row r="27" spans="1:19" x14ac:dyDescent="0.35">
      <c r="A27">
        <v>26</v>
      </c>
      <c r="B27">
        <v>52</v>
      </c>
      <c r="C27" t="s">
        <v>89</v>
      </c>
      <c r="D27" t="s">
        <v>115</v>
      </c>
      <c r="E27" s="10">
        <v>300</v>
      </c>
      <c r="F27" t="s">
        <v>69</v>
      </c>
      <c r="G27" t="s">
        <v>70</v>
      </c>
      <c r="H27" t="s">
        <v>103</v>
      </c>
      <c r="I27" t="s">
        <v>125</v>
      </c>
      <c r="J27" s="5">
        <v>2</v>
      </c>
      <c r="K27" s="6">
        <v>135</v>
      </c>
      <c r="L27" s="6">
        <v>86</v>
      </c>
      <c r="M27" s="7">
        <v>107</v>
      </c>
      <c r="N27" s="8">
        <v>103</v>
      </c>
      <c r="O27" s="8">
        <v>111</v>
      </c>
      <c r="P27" s="8">
        <v>60</v>
      </c>
      <c r="Q27" s="4" t="s">
        <v>126</v>
      </c>
      <c r="R27" s="9">
        <v>31.161373901474043</v>
      </c>
      <c r="S27" s="4" t="s">
        <v>174</v>
      </c>
    </row>
    <row r="28" spans="1:19" x14ac:dyDescent="0.35">
      <c r="A28">
        <v>27</v>
      </c>
      <c r="B28">
        <v>55</v>
      </c>
      <c r="C28" t="s">
        <v>89</v>
      </c>
      <c r="D28" t="s">
        <v>115</v>
      </c>
      <c r="E28" s="10">
        <v>300</v>
      </c>
      <c r="F28" t="s">
        <v>69</v>
      </c>
      <c r="G28" t="s">
        <v>69</v>
      </c>
      <c r="H28" t="s">
        <v>92</v>
      </c>
      <c r="I28" t="s">
        <v>74</v>
      </c>
      <c r="J28" s="5">
        <v>1</v>
      </c>
      <c r="K28" s="6">
        <v>121</v>
      </c>
      <c r="L28" s="6">
        <v>77</v>
      </c>
      <c r="M28" s="7">
        <v>97</v>
      </c>
      <c r="N28" s="8">
        <v>105</v>
      </c>
      <c r="O28" s="8">
        <v>181</v>
      </c>
      <c r="P28" s="8">
        <v>42</v>
      </c>
      <c r="Q28" s="4" t="s">
        <v>126</v>
      </c>
      <c r="R28" s="9">
        <v>27.005130974885226</v>
      </c>
      <c r="S28" s="4" t="s">
        <v>174</v>
      </c>
    </row>
    <row r="29" spans="1:19" x14ac:dyDescent="0.35">
      <c r="A29">
        <v>28</v>
      </c>
      <c r="B29">
        <v>35</v>
      </c>
      <c r="C29" t="s">
        <v>89</v>
      </c>
      <c r="D29" t="s">
        <v>115</v>
      </c>
      <c r="E29" s="10">
        <v>500</v>
      </c>
      <c r="F29" t="s">
        <v>69</v>
      </c>
      <c r="G29" t="s">
        <v>69</v>
      </c>
      <c r="H29" t="s">
        <v>92</v>
      </c>
      <c r="I29" t="s">
        <v>125</v>
      </c>
      <c r="J29" s="5">
        <v>2</v>
      </c>
      <c r="K29" s="6">
        <v>130</v>
      </c>
      <c r="L29" s="6">
        <v>83</v>
      </c>
      <c r="M29" s="7">
        <v>76</v>
      </c>
      <c r="N29" s="8">
        <v>96</v>
      </c>
      <c r="O29" s="8">
        <v>117</v>
      </c>
      <c r="P29" s="8">
        <v>38</v>
      </c>
      <c r="Q29" s="4" t="s">
        <v>126</v>
      </c>
      <c r="R29" s="9">
        <v>20.820939916716245</v>
      </c>
      <c r="S29" s="4" t="s">
        <v>174</v>
      </c>
    </row>
    <row r="30" spans="1:19" x14ac:dyDescent="0.35">
      <c r="A30">
        <v>29</v>
      </c>
      <c r="B30">
        <v>42</v>
      </c>
      <c r="C30" t="s">
        <v>89</v>
      </c>
      <c r="D30" t="s">
        <v>115</v>
      </c>
      <c r="E30" s="10">
        <v>110</v>
      </c>
      <c r="F30" t="s">
        <v>69</v>
      </c>
      <c r="G30" t="s">
        <v>69</v>
      </c>
      <c r="H30" t="s">
        <v>92</v>
      </c>
      <c r="I30" t="s">
        <v>74</v>
      </c>
      <c r="J30" s="5">
        <v>1</v>
      </c>
      <c r="K30" s="6">
        <v>123</v>
      </c>
      <c r="L30" s="6">
        <v>79</v>
      </c>
      <c r="M30" s="7">
        <v>79</v>
      </c>
      <c r="N30" s="8">
        <v>95</v>
      </c>
      <c r="O30" s="8">
        <v>167</v>
      </c>
      <c r="P30" s="8">
        <v>51</v>
      </c>
      <c r="Q30" s="4" t="s">
        <v>126</v>
      </c>
      <c r="R30" s="9">
        <v>26.609712545078956</v>
      </c>
      <c r="S30" s="4" t="s">
        <v>174</v>
      </c>
    </row>
    <row r="31" spans="1:19" x14ac:dyDescent="0.35">
      <c r="A31">
        <v>30</v>
      </c>
      <c r="B31">
        <v>62</v>
      </c>
      <c r="C31" t="s">
        <v>64</v>
      </c>
      <c r="D31" t="s">
        <v>66</v>
      </c>
      <c r="E31" s="10">
        <v>300</v>
      </c>
      <c r="F31" t="s">
        <v>69</v>
      </c>
      <c r="G31" t="s">
        <v>69</v>
      </c>
      <c r="H31" t="s">
        <v>92</v>
      </c>
      <c r="I31" t="s">
        <v>125</v>
      </c>
      <c r="J31" s="5">
        <v>1</v>
      </c>
      <c r="K31" s="6">
        <v>133</v>
      </c>
      <c r="L31" s="6">
        <v>93</v>
      </c>
      <c r="M31" s="7">
        <v>88</v>
      </c>
      <c r="N31" s="8">
        <v>92</v>
      </c>
      <c r="O31" s="8">
        <v>108</v>
      </c>
      <c r="P31" s="8">
        <v>37</v>
      </c>
      <c r="Q31" s="4" t="s">
        <v>127</v>
      </c>
      <c r="R31" s="9">
        <v>27.459821944733491</v>
      </c>
      <c r="S31" s="4" t="s">
        <v>175</v>
      </c>
    </row>
    <row r="32" spans="1:19" x14ac:dyDescent="0.35">
      <c r="A32">
        <v>31</v>
      </c>
      <c r="B32">
        <v>40</v>
      </c>
      <c r="C32" t="s">
        <v>89</v>
      </c>
      <c r="D32" t="s">
        <v>66</v>
      </c>
      <c r="E32" s="10">
        <v>200</v>
      </c>
      <c r="F32" t="s">
        <v>69</v>
      </c>
      <c r="G32" t="s">
        <v>70</v>
      </c>
      <c r="H32" t="s">
        <v>92</v>
      </c>
      <c r="I32" t="s">
        <v>125</v>
      </c>
      <c r="J32" s="5">
        <v>3</v>
      </c>
      <c r="K32" s="6">
        <v>131</v>
      </c>
      <c r="L32" s="6">
        <v>76</v>
      </c>
      <c r="M32" s="7">
        <v>78</v>
      </c>
      <c r="N32" s="8">
        <v>98</v>
      </c>
      <c r="O32" s="8">
        <v>58</v>
      </c>
      <c r="P32" s="8">
        <v>32</v>
      </c>
      <c r="Q32" s="4" t="s">
        <v>126</v>
      </c>
      <c r="R32" s="9">
        <v>23.147255121330193</v>
      </c>
      <c r="S32" s="4" t="s">
        <v>174</v>
      </c>
    </row>
    <row r="33" spans="1:19" x14ac:dyDescent="0.35">
      <c r="A33">
        <v>32</v>
      </c>
      <c r="B33">
        <v>70</v>
      </c>
      <c r="C33" t="s">
        <v>89</v>
      </c>
      <c r="D33" t="s">
        <v>90</v>
      </c>
      <c r="E33" s="10">
        <v>300</v>
      </c>
      <c r="F33" t="s">
        <v>69</v>
      </c>
      <c r="G33" t="s">
        <v>69</v>
      </c>
      <c r="H33" t="s">
        <v>92</v>
      </c>
      <c r="I33" t="s">
        <v>125</v>
      </c>
      <c r="J33" s="5">
        <v>4</v>
      </c>
      <c r="K33" s="6">
        <v>172</v>
      </c>
      <c r="L33" s="6">
        <v>82</v>
      </c>
      <c r="M33" s="7">
        <v>104</v>
      </c>
      <c r="N33" s="8">
        <v>96</v>
      </c>
      <c r="O33" s="8">
        <v>199</v>
      </c>
      <c r="P33" s="8">
        <v>43</v>
      </c>
      <c r="Q33" s="4" t="s">
        <v>127</v>
      </c>
      <c r="R33" s="9">
        <v>23.624447492760247</v>
      </c>
      <c r="S33" s="4" t="s">
        <v>175</v>
      </c>
    </row>
    <row r="34" spans="1:19" x14ac:dyDescent="0.35">
      <c r="A34">
        <v>33</v>
      </c>
      <c r="B34">
        <v>22</v>
      </c>
      <c r="C34" t="s">
        <v>64</v>
      </c>
      <c r="D34" t="s">
        <v>90</v>
      </c>
      <c r="E34" s="10">
        <v>650</v>
      </c>
      <c r="F34" t="s">
        <v>69</v>
      </c>
      <c r="G34" t="s">
        <v>69</v>
      </c>
      <c r="H34" t="s">
        <v>103</v>
      </c>
      <c r="I34" t="s">
        <v>124</v>
      </c>
      <c r="J34" s="5">
        <v>2</v>
      </c>
      <c r="K34" s="6">
        <v>137</v>
      </c>
      <c r="L34" s="6">
        <v>81</v>
      </c>
      <c r="M34" s="7">
        <v>72</v>
      </c>
      <c r="N34" s="8">
        <v>83</v>
      </c>
      <c r="O34" s="8">
        <v>60</v>
      </c>
      <c r="P34" s="8">
        <v>41</v>
      </c>
      <c r="Q34" s="4" t="s">
        <v>127</v>
      </c>
      <c r="R34" s="9">
        <v>16.372080590731397</v>
      </c>
      <c r="S34" s="4" t="s">
        <v>175</v>
      </c>
    </row>
    <row r="35" spans="1:19" x14ac:dyDescent="0.35">
      <c r="A35">
        <v>34</v>
      </c>
      <c r="B35">
        <v>22</v>
      </c>
      <c r="C35" t="s">
        <v>89</v>
      </c>
      <c r="D35" t="s">
        <v>90</v>
      </c>
      <c r="E35" s="10">
        <v>300</v>
      </c>
      <c r="F35" t="s">
        <v>69</v>
      </c>
      <c r="G35" t="s">
        <v>69</v>
      </c>
      <c r="H35" t="s">
        <v>106</v>
      </c>
      <c r="I35" t="s">
        <v>125</v>
      </c>
      <c r="J35" s="5">
        <v>4</v>
      </c>
      <c r="K35" s="6">
        <v>131</v>
      </c>
      <c r="L35" s="6">
        <v>85</v>
      </c>
      <c r="M35" s="7">
        <v>76</v>
      </c>
      <c r="N35" s="8">
        <v>87</v>
      </c>
      <c r="O35" s="8">
        <v>190</v>
      </c>
      <c r="P35" s="8">
        <v>53</v>
      </c>
      <c r="Q35" s="4" t="s">
        <v>127</v>
      </c>
      <c r="R35" s="9">
        <v>32.323232323232325</v>
      </c>
      <c r="S35" s="4" t="s">
        <v>175</v>
      </c>
    </row>
    <row r="36" spans="1:19" x14ac:dyDescent="0.35">
      <c r="A36">
        <v>35</v>
      </c>
      <c r="B36">
        <v>38</v>
      </c>
      <c r="C36" t="s">
        <v>89</v>
      </c>
      <c r="D36" t="s">
        <v>101</v>
      </c>
      <c r="E36" s="10">
        <v>600</v>
      </c>
      <c r="F36" t="s">
        <v>69</v>
      </c>
      <c r="G36" t="s">
        <v>69</v>
      </c>
      <c r="H36" t="s">
        <v>103</v>
      </c>
      <c r="I36" t="s">
        <v>125</v>
      </c>
      <c r="J36" s="5">
        <v>5</v>
      </c>
      <c r="K36" s="6">
        <v>137</v>
      </c>
      <c r="L36" s="6">
        <v>89</v>
      </c>
      <c r="M36" s="7">
        <v>94</v>
      </c>
      <c r="N36" s="8">
        <v>76</v>
      </c>
      <c r="O36" s="8">
        <v>102</v>
      </c>
      <c r="P36" s="8">
        <v>52</v>
      </c>
      <c r="Q36" s="4" t="s">
        <v>126</v>
      </c>
      <c r="R36" s="9">
        <v>24.304617877396701</v>
      </c>
      <c r="S36" s="4" t="s">
        <v>174</v>
      </c>
    </row>
    <row r="37" spans="1:19" x14ac:dyDescent="0.35">
      <c r="A37">
        <v>36</v>
      </c>
      <c r="B37">
        <v>54</v>
      </c>
      <c r="C37" t="s">
        <v>89</v>
      </c>
      <c r="D37" t="s">
        <v>115</v>
      </c>
      <c r="E37" s="10">
        <v>200</v>
      </c>
      <c r="F37" t="s">
        <v>69</v>
      </c>
      <c r="G37" t="s">
        <v>69</v>
      </c>
      <c r="H37" t="s">
        <v>92</v>
      </c>
      <c r="I37" t="s">
        <v>125</v>
      </c>
      <c r="J37" s="5">
        <v>10</v>
      </c>
      <c r="K37" s="6">
        <v>148</v>
      </c>
      <c r="L37" s="6">
        <v>95</v>
      </c>
      <c r="M37" s="7">
        <v>79</v>
      </c>
      <c r="N37" s="8">
        <v>98</v>
      </c>
      <c r="O37" s="8">
        <v>125</v>
      </c>
      <c r="P37" s="8">
        <v>51</v>
      </c>
      <c r="Q37" s="4" t="s">
        <v>126</v>
      </c>
      <c r="R37" s="9">
        <v>25.864512471655331</v>
      </c>
      <c r="S37" s="4" t="s">
        <v>174</v>
      </c>
    </row>
    <row r="38" spans="1:19" x14ac:dyDescent="0.35">
      <c r="A38">
        <v>37</v>
      </c>
      <c r="B38">
        <v>53</v>
      </c>
      <c r="C38" t="s">
        <v>89</v>
      </c>
      <c r="D38" t="s">
        <v>90</v>
      </c>
      <c r="E38" s="10">
        <v>600</v>
      </c>
      <c r="F38" t="s">
        <v>69</v>
      </c>
      <c r="G38" t="s">
        <v>70</v>
      </c>
      <c r="H38" t="s">
        <v>73</v>
      </c>
      <c r="I38" t="s">
        <v>125</v>
      </c>
      <c r="J38" s="5">
        <v>10</v>
      </c>
      <c r="K38" s="6">
        <v>124</v>
      </c>
      <c r="L38" s="6">
        <v>55</v>
      </c>
      <c r="M38" s="7">
        <v>106</v>
      </c>
      <c r="N38" s="8">
        <v>119</v>
      </c>
      <c r="O38" s="8">
        <v>124</v>
      </c>
      <c r="P38" s="8">
        <v>40</v>
      </c>
      <c r="Q38" s="4" t="s">
        <v>126</v>
      </c>
      <c r="R38" s="9">
        <v>42.871315192743772</v>
      </c>
      <c r="S38" s="4" t="s">
        <v>174</v>
      </c>
    </row>
    <row r="39" spans="1:19" x14ac:dyDescent="0.35">
      <c r="A39">
        <v>38</v>
      </c>
      <c r="B39">
        <v>70</v>
      </c>
      <c r="C39" t="s">
        <v>89</v>
      </c>
      <c r="D39" t="s">
        <v>66</v>
      </c>
      <c r="E39" s="10">
        <v>150</v>
      </c>
      <c r="F39" t="s">
        <v>69</v>
      </c>
      <c r="G39" t="s">
        <v>69</v>
      </c>
      <c r="H39" t="s">
        <v>92</v>
      </c>
      <c r="I39" t="s">
        <v>125</v>
      </c>
      <c r="J39" s="5">
        <v>12</v>
      </c>
      <c r="K39" s="6">
        <v>175</v>
      </c>
      <c r="L39" s="6">
        <v>100</v>
      </c>
      <c r="M39" s="7">
        <v>90</v>
      </c>
      <c r="N39" s="8">
        <v>115</v>
      </c>
      <c r="O39" s="8">
        <v>119</v>
      </c>
      <c r="P39" s="8">
        <v>51</v>
      </c>
      <c r="Q39" s="4" t="s">
        <v>127</v>
      </c>
      <c r="R39" s="9">
        <v>29.065743944636683</v>
      </c>
      <c r="S39" s="4" t="s">
        <v>175</v>
      </c>
    </row>
    <row r="40" spans="1:19" x14ac:dyDescent="0.35">
      <c r="A40">
        <v>39</v>
      </c>
      <c r="B40">
        <v>36</v>
      </c>
      <c r="C40" t="s">
        <v>89</v>
      </c>
      <c r="D40" t="s">
        <v>101</v>
      </c>
      <c r="E40" s="10">
        <v>600</v>
      </c>
      <c r="F40" t="s">
        <v>69</v>
      </c>
      <c r="G40" t="s">
        <v>69</v>
      </c>
      <c r="H40" t="s">
        <v>103</v>
      </c>
      <c r="I40" t="s">
        <v>124</v>
      </c>
      <c r="J40" s="5">
        <v>2</v>
      </c>
      <c r="K40" s="6">
        <v>105</v>
      </c>
      <c r="L40" s="6">
        <v>66</v>
      </c>
      <c r="M40" s="7">
        <v>81</v>
      </c>
      <c r="N40" s="8">
        <v>108</v>
      </c>
      <c r="O40" s="8">
        <v>100</v>
      </c>
      <c r="P40" s="8">
        <v>51</v>
      </c>
      <c r="Q40" s="4" t="s">
        <v>127</v>
      </c>
      <c r="R40" s="9">
        <v>26.643598615916957</v>
      </c>
      <c r="S40" s="4" t="s">
        <v>175</v>
      </c>
    </row>
    <row r="41" spans="1:19" x14ac:dyDescent="0.35">
      <c r="A41">
        <v>40</v>
      </c>
      <c r="B41">
        <v>68</v>
      </c>
      <c r="C41" t="s">
        <v>89</v>
      </c>
      <c r="D41" t="s">
        <v>66</v>
      </c>
      <c r="E41" s="10">
        <v>200</v>
      </c>
      <c r="F41" t="s">
        <v>69</v>
      </c>
      <c r="G41" t="s">
        <v>69</v>
      </c>
      <c r="H41" t="s">
        <v>73</v>
      </c>
      <c r="I41" t="s">
        <v>125</v>
      </c>
      <c r="J41" s="5">
        <v>2</v>
      </c>
      <c r="K41" s="6">
        <v>116</v>
      </c>
      <c r="L41" s="6">
        <v>58</v>
      </c>
      <c r="M41" s="7">
        <v>92</v>
      </c>
      <c r="N41" s="8">
        <v>233</v>
      </c>
      <c r="O41" s="8">
        <v>108</v>
      </c>
      <c r="P41" s="8">
        <v>52</v>
      </c>
      <c r="Q41" s="4" t="s">
        <v>127</v>
      </c>
      <c r="R41" s="9">
        <v>29.065743944636683</v>
      </c>
      <c r="S41" s="4" t="s">
        <v>175</v>
      </c>
    </row>
    <row r="42" spans="1:19" x14ac:dyDescent="0.35">
      <c r="A42">
        <v>41</v>
      </c>
      <c r="B42">
        <v>45</v>
      </c>
      <c r="C42" t="s">
        <v>89</v>
      </c>
      <c r="D42" t="s">
        <v>90</v>
      </c>
      <c r="E42" s="10">
        <v>250</v>
      </c>
      <c r="F42" t="s">
        <v>69</v>
      </c>
      <c r="G42" t="s">
        <v>69</v>
      </c>
      <c r="H42" t="s">
        <v>92</v>
      </c>
      <c r="I42" t="s">
        <v>125</v>
      </c>
      <c r="J42" s="5">
        <v>8</v>
      </c>
      <c r="K42" s="6">
        <v>154</v>
      </c>
      <c r="L42" s="6">
        <v>78</v>
      </c>
      <c r="M42" s="7">
        <v>96</v>
      </c>
      <c r="N42" s="8">
        <v>161</v>
      </c>
      <c r="O42" s="8">
        <v>157</v>
      </c>
      <c r="P42" s="8">
        <v>40</v>
      </c>
      <c r="Q42" s="4" t="s">
        <v>127</v>
      </c>
      <c r="R42" s="9">
        <v>30.778701138811947</v>
      </c>
      <c r="S42" s="4" t="s">
        <v>175</v>
      </c>
    </row>
    <row r="43" spans="1:19" x14ac:dyDescent="0.35">
      <c r="A43">
        <v>42</v>
      </c>
      <c r="B43">
        <v>40</v>
      </c>
      <c r="C43" t="s">
        <v>89</v>
      </c>
      <c r="D43" t="s">
        <v>66</v>
      </c>
      <c r="E43" s="10">
        <v>300</v>
      </c>
      <c r="F43" t="s">
        <v>69</v>
      </c>
      <c r="G43" t="s">
        <v>69</v>
      </c>
      <c r="H43" t="s">
        <v>92</v>
      </c>
      <c r="I43" t="s">
        <v>125</v>
      </c>
      <c r="J43" s="5">
        <v>4</v>
      </c>
      <c r="K43" s="6">
        <v>134</v>
      </c>
      <c r="L43" s="6">
        <v>87</v>
      </c>
      <c r="M43" s="7">
        <v>88</v>
      </c>
      <c r="N43" s="8">
        <v>126</v>
      </c>
      <c r="O43" s="8">
        <v>132</v>
      </c>
      <c r="P43" s="8">
        <v>53</v>
      </c>
      <c r="Q43" s="4" t="s">
        <v>126</v>
      </c>
      <c r="R43" s="9">
        <v>28.06642386982525</v>
      </c>
      <c r="S43" s="4" t="s">
        <v>174</v>
      </c>
    </row>
    <row r="44" spans="1:19" x14ac:dyDescent="0.35">
      <c r="A44">
        <v>43</v>
      </c>
      <c r="B44">
        <v>24</v>
      </c>
      <c r="C44" t="s">
        <v>89</v>
      </c>
      <c r="D44" t="s">
        <v>90</v>
      </c>
      <c r="E44" s="10">
        <v>300</v>
      </c>
      <c r="F44" t="s">
        <v>69</v>
      </c>
      <c r="G44" t="s">
        <v>69</v>
      </c>
      <c r="H44" t="s">
        <v>73</v>
      </c>
      <c r="I44" t="s">
        <v>125</v>
      </c>
      <c r="J44" s="5">
        <v>6</v>
      </c>
      <c r="K44" s="6">
        <v>128</v>
      </c>
      <c r="L44" s="6">
        <v>87</v>
      </c>
      <c r="M44" s="7">
        <v>101</v>
      </c>
      <c r="N44" s="8">
        <v>104</v>
      </c>
      <c r="O44" s="8">
        <v>126</v>
      </c>
      <c r="P44" s="8">
        <v>51</v>
      </c>
      <c r="Q44" s="4" t="s">
        <v>127</v>
      </c>
      <c r="R44" s="9">
        <v>35.566499093738251</v>
      </c>
      <c r="S44" s="4" t="s">
        <v>175</v>
      </c>
    </row>
    <row r="45" spans="1:19" x14ac:dyDescent="0.35">
      <c r="A45">
        <v>44</v>
      </c>
      <c r="B45">
        <v>22</v>
      </c>
      <c r="C45" t="s">
        <v>89</v>
      </c>
      <c r="D45" t="s">
        <v>66</v>
      </c>
      <c r="E45" s="10">
        <v>800</v>
      </c>
      <c r="F45" t="s">
        <v>69</v>
      </c>
      <c r="G45" t="s">
        <v>69</v>
      </c>
      <c r="H45" t="s">
        <v>92</v>
      </c>
      <c r="I45" t="s">
        <v>125</v>
      </c>
      <c r="J45" s="5">
        <v>7</v>
      </c>
      <c r="K45" s="6">
        <v>120</v>
      </c>
      <c r="L45" s="6">
        <v>85</v>
      </c>
      <c r="M45" s="7">
        <v>99</v>
      </c>
      <c r="N45" s="8">
        <v>109</v>
      </c>
      <c r="O45" s="8">
        <v>134</v>
      </c>
      <c r="P45" s="8">
        <v>52</v>
      </c>
      <c r="Q45" s="4" t="s">
        <v>127</v>
      </c>
      <c r="R45" s="9">
        <v>33.464034613304491</v>
      </c>
      <c r="S45" s="4" t="s">
        <v>175</v>
      </c>
    </row>
    <row r="46" spans="1:19" x14ac:dyDescent="0.35">
      <c r="A46">
        <v>45</v>
      </c>
      <c r="B46">
        <v>30</v>
      </c>
      <c r="C46" t="s">
        <v>64</v>
      </c>
      <c r="D46" t="s">
        <v>101</v>
      </c>
      <c r="E46" s="10">
        <v>400</v>
      </c>
      <c r="F46" t="s">
        <v>69</v>
      </c>
      <c r="G46" t="s">
        <v>69</v>
      </c>
      <c r="H46" t="s">
        <v>92</v>
      </c>
      <c r="I46" t="s">
        <v>125</v>
      </c>
      <c r="J46" s="5">
        <v>6</v>
      </c>
      <c r="K46" s="6">
        <v>104</v>
      </c>
      <c r="L46" s="6">
        <v>65</v>
      </c>
      <c r="M46" s="7">
        <v>90</v>
      </c>
      <c r="N46" s="8">
        <v>89</v>
      </c>
      <c r="O46" s="8">
        <v>113</v>
      </c>
      <c r="P46" s="8">
        <v>64</v>
      </c>
      <c r="Q46" s="4" t="s">
        <v>126</v>
      </c>
      <c r="R46" s="9">
        <v>26.874496103198062</v>
      </c>
      <c r="S46" s="4" t="s">
        <v>174</v>
      </c>
    </row>
    <row r="47" spans="1:19" x14ac:dyDescent="0.35">
      <c r="A47">
        <v>46</v>
      </c>
      <c r="B47">
        <v>60</v>
      </c>
      <c r="C47" t="s">
        <v>89</v>
      </c>
      <c r="D47" t="s">
        <v>66</v>
      </c>
      <c r="E47" s="10">
        <v>400</v>
      </c>
      <c r="F47" t="s">
        <v>69</v>
      </c>
      <c r="G47" t="s">
        <v>69</v>
      </c>
      <c r="H47" t="s">
        <v>92</v>
      </c>
      <c r="I47" t="s">
        <v>125</v>
      </c>
      <c r="J47" s="5">
        <v>4</v>
      </c>
      <c r="K47" s="6">
        <v>133</v>
      </c>
      <c r="L47" s="6">
        <v>83</v>
      </c>
      <c r="M47" s="7">
        <v>90</v>
      </c>
      <c r="N47" s="8">
        <v>161</v>
      </c>
      <c r="O47" s="8">
        <v>104</v>
      </c>
      <c r="P47" s="8">
        <v>61</v>
      </c>
      <c r="Q47" s="4" t="s">
        <v>127</v>
      </c>
      <c r="R47" s="9">
        <v>27.70083102493075</v>
      </c>
      <c r="S47" s="4" t="s">
        <v>175</v>
      </c>
    </row>
    <row r="48" spans="1:19" x14ac:dyDescent="0.35">
      <c r="A48">
        <v>47</v>
      </c>
      <c r="B48">
        <v>70</v>
      </c>
      <c r="C48" t="s">
        <v>64</v>
      </c>
      <c r="D48" t="s">
        <v>66</v>
      </c>
      <c r="E48" s="10">
        <v>400</v>
      </c>
      <c r="F48" t="s">
        <v>69</v>
      </c>
      <c r="G48" t="s">
        <v>70</v>
      </c>
      <c r="H48" t="s">
        <v>92</v>
      </c>
      <c r="I48" t="s">
        <v>125</v>
      </c>
      <c r="J48" s="5">
        <v>5</v>
      </c>
      <c r="K48" s="6">
        <v>133</v>
      </c>
      <c r="L48" s="6">
        <v>76</v>
      </c>
      <c r="M48" s="7">
        <v>84</v>
      </c>
      <c r="N48" s="8">
        <v>162</v>
      </c>
      <c r="O48" s="8">
        <v>114</v>
      </c>
      <c r="P48" s="8">
        <v>43</v>
      </c>
      <c r="Q48" s="4" t="s">
        <v>127</v>
      </c>
      <c r="R48" s="9">
        <v>20.380434782608695</v>
      </c>
      <c r="S48" s="4" t="s">
        <v>175</v>
      </c>
    </row>
    <row r="49" spans="1:19" x14ac:dyDescent="0.35">
      <c r="A49">
        <v>48</v>
      </c>
      <c r="B49">
        <v>36</v>
      </c>
      <c r="C49" t="s">
        <v>89</v>
      </c>
      <c r="D49" t="s">
        <v>101</v>
      </c>
      <c r="E49" s="10">
        <v>400</v>
      </c>
      <c r="F49" t="s">
        <v>69</v>
      </c>
      <c r="G49" t="s">
        <v>69</v>
      </c>
      <c r="H49" t="s">
        <v>103</v>
      </c>
      <c r="I49" t="s">
        <v>125</v>
      </c>
      <c r="J49" s="5">
        <v>4</v>
      </c>
      <c r="K49" s="6">
        <v>110</v>
      </c>
      <c r="L49" s="6">
        <v>67</v>
      </c>
      <c r="M49" s="7">
        <v>91</v>
      </c>
      <c r="N49" s="8">
        <v>114</v>
      </c>
      <c r="O49" s="8">
        <v>106</v>
      </c>
      <c r="P49" s="8">
        <v>53</v>
      </c>
      <c r="Q49" s="4" t="s">
        <v>126</v>
      </c>
      <c r="R49" s="9">
        <v>27.099251006812452</v>
      </c>
      <c r="S49" s="4" t="s">
        <v>174</v>
      </c>
    </row>
    <row r="50" spans="1:19" x14ac:dyDescent="0.35">
      <c r="A50">
        <v>49</v>
      </c>
      <c r="B50">
        <v>41</v>
      </c>
      <c r="C50" t="s">
        <v>64</v>
      </c>
      <c r="D50" t="s">
        <v>101</v>
      </c>
      <c r="E50" s="10">
        <v>1200</v>
      </c>
      <c r="F50" t="s">
        <v>69</v>
      </c>
      <c r="G50" t="s">
        <v>69</v>
      </c>
      <c r="H50" t="s">
        <v>103</v>
      </c>
      <c r="I50" t="s">
        <v>125</v>
      </c>
      <c r="J50" s="5">
        <v>4</v>
      </c>
      <c r="K50" s="6">
        <v>100</v>
      </c>
      <c r="L50" s="6">
        <v>62</v>
      </c>
      <c r="M50" s="7">
        <v>72</v>
      </c>
      <c r="N50" s="8">
        <v>64</v>
      </c>
      <c r="O50" s="8">
        <v>92</v>
      </c>
      <c r="P50" s="8">
        <v>53</v>
      </c>
      <c r="Q50" s="4" t="s">
        <v>126</v>
      </c>
      <c r="R50" s="9">
        <v>17.239048134126556</v>
      </c>
      <c r="S50" s="4" t="s">
        <v>174</v>
      </c>
    </row>
    <row r="51" spans="1:19" x14ac:dyDescent="0.35">
      <c r="A51">
        <v>50</v>
      </c>
      <c r="B51">
        <v>39</v>
      </c>
      <c r="C51" t="s">
        <v>64</v>
      </c>
      <c r="D51" t="s">
        <v>101</v>
      </c>
      <c r="E51" s="10">
        <v>600</v>
      </c>
      <c r="F51" t="s">
        <v>69</v>
      </c>
      <c r="G51" t="s">
        <v>70</v>
      </c>
      <c r="H51" t="s">
        <v>92</v>
      </c>
      <c r="I51" t="s">
        <v>125</v>
      </c>
      <c r="J51" s="5">
        <v>3</v>
      </c>
      <c r="K51" s="6">
        <v>122</v>
      </c>
      <c r="L51" s="6">
        <v>81</v>
      </c>
      <c r="M51" s="7">
        <v>84</v>
      </c>
      <c r="N51" s="8">
        <v>118</v>
      </c>
      <c r="O51" s="8">
        <v>89</v>
      </c>
      <c r="P51" s="8">
        <v>43</v>
      </c>
      <c r="Q51" s="4" t="s">
        <v>126</v>
      </c>
      <c r="R51" s="9">
        <v>26.82742078020452</v>
      </c>
      <c r="S51" s="4" t="s">
        <v>174</v>
      </c>
    </row>
    <row r="52" spans="1:19" x14ac:dyDescent="0.35">
      <c r="A52">
        <v>51</v>
      </c>
      <c r="B52">
        <v>35</v>
      </c>
      <c r="C52" t="s">
        <v>89</v>
      </c>
      <c r="D52" t="s">
        <v>66</v>
      </c>
      <c r="E52" s="10">
        <v>500</v>
      </c>
      <c r="F52" t="s">
        <v>69</v>
      </c>
      <c r="G52" t="s">
        <v>69</v>
      </c>
      <c r="H52" t="s">
        <v>92</v>
      </c>
      <c r="I52" t="s">
        <v>125</v>
      </c>
      <c r="J52" s="5">
        <v>5</v>
      </c>
      <c r="K52" s="6">
        <v>118</v>
      </c>
      <c r="L52" s="6">
        <v>81</v>
      </c>
      <c r="M52" s="7">
        <v>102</v>
      </c>
      <c r="N52" s="8">
        <v>93</v>
      </c>
      <c r="O52" s="8">
        <v>108</v>
      </c>
      <c r="P52" s="8">
        <v>43</v>
      </c>
      <c r="Q52" s="4" t="s">
        <v>126</v>
      </c>
      <c r="R52" s="9">
        <v>32.830614548066073</v>
      </c>
      <c r="S52" s="4" t="s">
        <v>174</v>
      </c>
    </row>
    <row r="53" spans="1:19" x14ac:dyDescent="0.35">
      <c r="A53">
        <v>52</v>
      </c>
      <c r="B53">
        <v>32</v>
      </c>
      <c r="C53" t="s">
        <v>64</v>
      </c>
      <c r="D53" t="s">
        <v>90</v>
      </c>
      <c r="E53" s="10">
        <v>400</v>
      </c>
      <c r="F53" t="s">
        <v>69</v>
      </c>
      <c r="G53" t="s">
        <v>69</v>
      </c>
      <c r="H53" t="s">
        <v>92</v>
      </c>
      <c r="I53" t="s">
        <v>125</v>
      </c>
      <c r="J53" s="5">
        <v>4</v>
      </c>
      <c r="K53" s="6">
        <v>143</v>
      </c>
      <c r="L53" s="6">
        <v>83</v>
      </c>
      <c r="M53" s="7">
        <v>84</v>
      </c>
      <c r="N53" s="8">
        <v>99</v>
      </c>
      <c r="O53" s="8">
        <v>116</v>
      </c>
      <c r="P53" s="8">
        <v>33</v>
      </c>
      <c r="Q53" s="4" t="s">
        <v>126</v>
      </c>
      <c r="R53" s="9">
        <v>26.332888752094664</v>
      </c>
      <c r="S53" s="4" t="s">
        <v>174</v>
      </c>
    </row>
    <row r="54" spans="1:19" x14ac:dyDescent="0.35">
      <c r="A54">
        <v>53</v>
      </c>
      <c r="B54">
        <v>20</v>
      </c>
      <c r="C54" t="s">
        <v>64</v>
      </c>
      <c r="D54" t="s">
        <v>101</v>
      </c>
      <c r="E54" s="10">
        <v>200</v>
      </c>
      <c r="F54" t="s">
        <v>69</v>
      </c>
      <c r="G54" t="s">
        <v>69</v>
      </c>
      <c r="H54" t="s">
        <v>92</v>
      </c>
      <c r="I54" t="s">
        <v>125</v>
      </c>
      <c r="J54" s="5">
        <v>4</v>
      </c>
      <c r="K54" s="6">
        <v>105</v>
      </c>
      <c r="L54" s="6">
        <v>63</v>
      </c>
      <c r="M54" s="7">
        <v>79</v>
      </c>
      <c r="N54" s="8">
        <v>99</v>
      </c>
      <c r="O54" s="8">
        <v>106</v>
      </c>
      <c r="P54" s="8">
        <v>40</v>
      </c>
      <c r="Q54" s="4" t="s">
        <v>127</v>
      </c>
      <c r="R54" s="9">
        <v>20.576131687242793</v>
      </c>
      <c r="S54" s="4" t="s">
        <v>175</v>
      </c>
    </row>
    <row r="55" spans="1:19" x14ac:dyDescent="0.35">
      <c r="A55">
        <v>54</v>
      </c>
      <c r="B55">
        <v>36</v>
      </c>
      <c r="C55" t="s">
        <v>89</v>
      </c>
      <c r="D55" t="s">
        <v>90</v>
      </c>
      <c r="E55" s="10">
        <v>800</v>
      </c>
      <c r="F55" t="s">
        <v>69</v>
      </c>
      <c r="G55" t="s">
        <v>69</v>
      </c>
      <c r="H55" t="s">
        <v>103</v>
      </c>
      <c r="I55" t="s">
        <v>125</v>
      </c>
      <c r="J55" s="5">
        <v>2</v>
      </c>
      <c r="K55" s="6">
        <v>110</v>
      </c>
      <c r="L55" s="6">
        <v>75</v>
      </c>
      <c r="M55" s="7">
        <v>102</v>
      </c>
      <c r="N55" s="8">
        <v>105</v>
      </c>
      <c r="O55" s="8">
        <v>143</v>
      </c>
      <c r="P55" s="8">
        <v>34</v>
      </c>
      <c r="Q55" s="4" t="s">
        <v>127</v>
      </c>
      <c r="R55" s="9">
        <v>38.974765490817809</v>
      </c>
      <c r="S55" s="4" t="s">
        <v>175</v>
      </c>
    </row>
    <row r="56" spans="1:19" x14ac:dyDescent="0.35">
      <c r="A56">
        <v>55</v>
      </c>
      <c r="B56">
        <v>35</v>
      </c>
      <c r="C56" t="s">
        <v>89</v>
      </c>
      <c r="D56" t="s">
        <v>115</v>
      </c>
      <c r="E56" s="10">
        <v>400</v>
      </c>
      <c r="F56" t="s">
        <v>69</v>
      </c>
      <c r="G56" t="s">
        <v>69</v>
      </c>
      <c r="H56" t="s">
        <v>73</v>
      </c>
      <c r="I56" t="s">
        <v>74</v>
      </c>
      <c r="J56" s="5">
        <v>5</v>
      </c>
      <c r="K56" s="6">
        <v>130</v>
      </c>
      <c r="L56" s="6">
        <v>76</v>
      </c>
      <c r="M56" s="7">
        <v>79</v>
      </c>
      <c r="N56" s="8">
        <v>128</v>
      </c>
      <c r="O56" s="8">
        <v>135</v>
      </c>
      <c r="P56" s="8">
        <v>39</v>
      </c>
      <c r="Q56" s="4" t="s">
        <v>126</v>
      </c>
      <c r="R56" s="9">
        <v>26.813590449954088</v>
      </c>
      <c r="S56" s="4" t="s">
        <v>174</v>
      </c>
    </row>
    <row r="57" spans="1:19" x14ac:dyDescent="0.35">
      <c r="A57">
        <v>56</v>
      </c>
      <c r="B57">
        <v>23</v>
      </c>
      <c r="C57" t="s">
        <v>64</v>
      </c>
      <c r="D57" t="s">
        <v>101</v>
      </c>
      <c r="E57" s="10">
        <v>100</v>
      </c>
      <c r="F57" t="s">
        <v>69</v>
      </c>
      <c r="G57" t="s">
        <v>69</v>
      </c>
      <c r="H57" t="s">
        <v>92</v>
      </c>
      <c r="I57" t="s">
        <v>125</v>
      </c>
      <c r="J57" s="5">
        <v>4</v>
      </c>
      <c r="K57" s="6">
        <v>111</v>
      </c>
      <c r="L57" s="6">
        <v>69</v>
      </c>
      <c r="M57" s="7">
        <v>80</v>
      </c>
      <c r="N57" s="8">
        <v>95</v>
      </c>
      <c r="O57" s="8">
        <v>97</v>
      </c>
      <c r="P57" s="8">
        <v>40</v>
      </c>
      <c r="Q57" s="4" t="s">
        <v>126</v>
      </c>
      <c r="R57" s="9">
        <v>19.031141868512112</v>
      </c>
      <c r="S57" s="4" t="s">
        <v>174</v>
      </c>
    </row>
    <row r="58" spans="1:19" x14ac:dyDescent="0.35">
      <c r="A58">
        <v>57</v>
      </c>
      <c r="B58">
        <v>40</v>
      </c>
      <c r="C58" t="s">
        <v>89</v>
      </c>
      <c r="D58" t="s">
        <v>101</v>
      </c>
      <c r="E58" s="10">
        <v>800</v>
      </c>
      <c r="F58" t="s">
        <v>69</v>
      </c>
      <c r="G58" t="s">
        <v>69</v>
      </c>
      <c r="H58" t="s">
        <v>103</v>
      </c>
      <c r="I58" t="s">
        <v>74</v>
      </c>
      <c r="J58" s="5">
        <v>5</v>
      </c>
      <c r="K58" s="6">
        <v>145</v>
      </c>
      <c r="L58" s="6">
        <v>62</v>
      </c>
      <c r="M58" s="7">
        <v>69</v>
      </c>
      <c r="N58" s="8">
        <v>113</v>
      </c>
      <c r="O58" s="8">
        <v>109</v>
      </c>
      <c r="P58" s="8">
        <v>41</v>
      </c>
      <c r="Q58" s="4" t="s">
        <v>127</v>
      </c>
      <c r="R58" s="9">
        <v>16.015624999999996</v>
      </c>
      <c r="S58" s="4" t="s">
        <v>175</v>
      </c>
    </row>
    <row r="59" spans="1:19" x14ac:dyDescent="0.35">
      <c r="A59">
        <v>58</v>
      </c>
      <c r="B59">
        <v>37</v>
      </c>
      <c r="C59" t="s">
        <v>89</v>
      </c>
      <c r="D59" t="s">
        <v>115</v>
      </c>
      <c r="E59" s="10">
        <v>850</v>
      </c>
      <c r="F59" t="s">
        <v>69</v>
      </c>
      <c r="G59" t="s">
        <v>69</v>
      </c>
      <c r="H59" t="s">
        <v>103</v>
      </c>
      <c r="I59" t="s">
        <v>125</v>
      </c>
      <c r="J59" s="5">
        <v>8</v>
      </c>
      <c r="K59" s="6">
        <v>149</v>
      </c>
      <c r="L59" s="6">
        <v>84</v>
      </c>
      <c r="M59" s="7">
        <v>79</v>
      </c>
      <c r="N59" s="8">
        <v>100</v>
      </c>
      <c r="O59" s="8">
        <v>97</v>
      </c>
      <c r="P59" s="8">
        <v>37</v>
      </c>
      <c r="Q59" s="4" t="s">
        <v>126</v>
      </c>
      <c r="R59" s="9">
        <v>25.039918710988534</v>
      </c>
      <c r="S59" s="4" t="s">
        <v>174</v>
      </c>
    </row>
    <row r="60" spans="1:19" x14ac:dyDescent="0.35">
      <c r="A60">
        <v>59</v>
      </c>
      <c r="B60">
        <v>21</v>
      </c>
      <c r="C60" t="s">
        <v>64</v>
      </c>
      <c r="D60" t="s">
        <v>90</v>
      </c>
      <c r="E60" s="10">
        <v>100</v>
      </c>
      <c r="F60" t="s">
        <v>69</v>
      </c>
      <c r="G60" t="s">
        <v>70</v>
      </c>
      <c r="H60" t="s">
        <v>73</v>
      </c>
      <c r="I60" t="s">
        <v>125</v>
      </c>
      <c r="J60" s="5">
        <v>4</v>
      </c>
      <c r="K60" s="6">
        <v>126</v>
      </c>
      <c r="L60" s="6">
        <v>51</v>
      </c>
      <c r="M60" s="7">
        <v>80</v>
      </c>
      <c r="N60" s="8">
        <v>102</v>
      </c>
      <c r="O60" s="8">
        <v>139</v>
      </c>
      <c r="P60" s="8">
        <v>35</v>
      </c>
      <c r="Q60" s="4" t="s">
        <v>127</v>
      </c>
      <c r="R60" s="9">
        <v>19.591836734693878</v>
      </c>
      <c r="S60" s="4" t="s">
        <v>175</v>
      </c>
    </row>
    <row r="61" spans="1:19" x14ac:dyDescent="0.35">
      <c r="A61">
        <v>60</v>
      </c>
      <c r="B61">
        <v>30</v>
      </c>
      <c r="C61" t="s">
        <v>89</v>
      </c>
      <c r="D61" t="s">
        <v>101</v>
      </c>
      <c r="E61" s="10">
        <v>700</v>
      </c>
      <c r="F61" t="s">
        <v>69</v>
      </c>
      <c r="G61" t="s">
        <v>69</v>
      </c>
      <c r="H61" t="s">
        <v>73</v>
      </c>
      <c r="I61" t="s">
        <v>125</v>
      </c>
      <c r="J61" s="5">
        <v>5</v>
      </c>
      <c r="K61" s="6">
        <v>109</v>
      </c>
      <c r="L61" s="6">
        <v>76</v>
      </c>
      <c r="M61" s="7">
        <v>78</v>
      </c>
      <c r="N61" s="8">
        <v>96</v>
      </c>
      <c r="O61" s="8">
        <v>143</v>
      </c>
      <c r="P61" s="8">
        <v>40</v>
      </c>
      <c r="Q61" s="4" t="s">
        <v>127</v>
      </c>
      <c r="R61" s="9">
        <v>25.344352617079892</v>
      </c>
      <c r="S61" s="4" t="s">
        <v>175</v>
      </c>
    </row>
    <row r="62" spans="1:19" x14ac:dyDescent="0.35">
      <c r="A62">
        <v>61</v>
      </c>
      <c r="B62">
        <v>65</v>
      </c>
      <c r="C62" t="s">
        <v>64</v>
      </c>
      <c r="D62" t="s">
        <v>90</v>
      </c>
      <c r="E62" s="10">
        <v>800</v>
      </c>
      <c r="F62" t="s">
        <v>70</v>
      </c>
      <c r="G62" t="s">
        <v>70</v>
      </c>
      <c r="H62" t="s">
        <v>103</v>
      </c>
      <c r="I62" t="s">
        <v>125</v>
      </c>
      <c r="J62" s="5">
        <v>5</v>
      </c>
      <c r="K62" s="6">
        <v>152</v>
      </c>
      <c r="L62" s="6">
        <v>86</v>
      </c>
      <c r="M62" s="7">
        <v>77</v>
      </c>
      <c r="N62" s="8">
        <v>99</v>
      </c>
      <c r="O62" s="8">
        <v>108</v>
      </c>
      <c r="P62" s="8">
        <v>44</v>
      </c>
      <c r="Q62" s="4" t="s">
        <v>126</v>
      </c>
      <c r="R62" s="9">
        <v>21.545090797168363</v>
      </c>
      <c r="S62" s="4" t="s">
        <v>174</v>
      </c>
    </row>
    <row r="63" spans="1:19" x14ac:dyDescent="0.35">
      <c r="A63">
        <v>62</v>
      </c>
      <c r="B63">
        <v>55</v>
      </c>
      <c r="C63" t="s">
        <v>89</v>
      </c>
      <c r="D63" t="s">
        <v>66</v>
      </c>
      <c r="E63" s="10">
        <v>700</v>
      </c>
      <c r="F63" t="s">
        <v>69</v>
      </c>
      <c r="G63" t="s">
        <v>69</v>
      </c>
      <c r="H63" t="s">
        <v>103</v>
      </c>
      <c r="I63" t="s">
        <v>74</v>
      </c>
      <c r="J63" s="5">
        <v>4</v>
      </c>
      <c r="K63" s="6">
        <v>139</v>
      </c>
      <c r="L63" s="6">
        <v>86</v>
      </c>
      <c r="M63" s="7">
        <v>99</v>
      </c>
      <c r="N63" s="8">
        <v>75</v>
      </c>
      <c r="O63" s="8">
        <v>107</v>
      </c>
      <c r="P63" s="8">
        <v>53</v>
      </c>
      <c r="Q63" s="4" t="s">
        <v>127</v>
      </c>
      <c r="R63" s="9">
        <v>30.486685032139579</v>
      </c>
      <c r="S63" s="4" t="s">
        <v>175</v>
      </c>
    </row>
    <row r="64" spans="1:19" x14ac:dyDescent="0.35">
      <c r="A64">
        <v>63</v>
      </c>
      <c r="B64">
        <v>37</v>
      </c>
      <c r="C64" t="s">
        <v>89</v>
      </c>
      <c r="D64" t="s">
        <v>101</v>
      </c>
      <c r="E64" s="10">
        <v>500</v>
      </c>
      <c r="F64" t="s">
        <v>69</v>
      </c>
      <c r="G64" t="s">
        <v>69</v>
      </c>
      <c r="H64" t="s">
        <v>73</v>
      </c>
      <c r="I64" t="s">
        <v>125</v>
      </c>
      <c r="J64" s="5">
        <v>4</v>
      </c>
      <c r="K64" s="6">
        <v>125</v>
      </c>
      <c r="L64" s="6">
        <v>80</v>
      </c>
      <c r="M64" s="7">
        <v>86</v>
      </c>
      <c r="N64" s="8">
        <v>99</v>
      </c>
      <c r="O64" s="8">
        <v>99</v>
      </c>
      <c r="P64" s="8">
        <v>42</v>
      </c>
      <c r="Q64" s="4" t="s">
        <v>126</v>
      </c>
      <c r="R64" s="9">
        <v>24.535123966942148</v>
      </c>
      <c r="S64" s="4" t="s">
        <v>174</v>
      </c>
    </row>
    <row r="65" spans="1:19" x14ac:dyDescent="0.35">
      <c r="A65">
        <v>64</v>
      </c>
      <c r="B65">
        <v>47</v>
      </c>
      <c r="C65" t="s">
        <v>64</v>
      </c>
      <c r="D65" t="s">
        <v>66</v>
      </c>
      <c r="E65" s="10">
        <v>300</v>
      </c>
      <c r="F65" t="s">
        <v>70</v>
      </c>
      <c r="G65" t="s">
        <v>69</v>
      </c>
      <c r="H65" t="s">
        <v>73</v>
      </c>
      <c r="I65" t="s">
        <v>125</v>
      </c>
      <c r="J65" s="5">
        <v>4</v>
      </c>
      <c r="K65" s="6">
        <v>100</v>
      </c>
      <c r="L65" s="6">
        <v>66</v>
      </c>
      <c r="M65" s="7">
        <v>83</v>
      </c>
      <c r="N65" s="8">
        <v>97</v>
      </c>
      <c r="O65" s="8">
        <v>85</v>
      </c>
      <c r="P65" s="8">
        <v>51</v>
      </c>
      <c r="Q65" s="4" t="s">
        <v>126</v>
      </c>
      <c r="R65" s="9">
        <v>24.489795918367346</v>
      </c>
      <c r="S65" s="4" t="s">
        <v>174</v>
      </c>
    </row>
    <row r="66" spans="1:19" x14ac:dyDescent="0.35">
      <c r="A66">
        <v>65</v>
      </c>
      <c r="B66">
        <v>49</v>
      </c>
      <c r="C66" t="s">
        <v>64</v>
      </c>
      <c r="D66" t="s">
        <v>101</v>
      </c>
      <c r="E66" s="10">
        <v>400</v>
      </c>
      <c r="F66" t="s">
        <v>69</v>
      </c>
      <c r="G66" t="s">
        <v>69</v>
      </c>
      <c r="H66" t="s">
        <v>73</v>
      </c>
      <c r="I66" t="s">
        <v>125</v>
      </c>
      <c r="J66" s="5">
        <v>4</v>
      </c>
      <c r="K66" s="6">
        <v>105</v>
      </c>
      <c r="L66" s="6">
        <v>66</v>
      </c>
      <c r="M66" s="7">
        <v>102</v>
      </c>
      <c r="N66" s="8">
        <v>138</v>
      </c>
      <c r="O66" s="8">
        <v>55</v>
      </c>
      <c r="P66" s="8">
        <v>56</v>
      </c>
      <c r="Q66" s="4" t="s">
        <v>127</v>
      </c>
      <c r="R66" s="9">
        <v>31.561671506122963</v>
      </c>
      <c r="S66" s="4" t="s">
        <v>175</v>
      </c>
    </row>
    <row r="67" spans="1:19" x14ac:dyDescent="0.35">
      <c r="A67">
        <v>66</v>
      </c>
      <c r="B67">
        <v>24</v>
      </c>
      <c r="C67" t="s">
        <v>89</v>
      </c>
      <c r="D67" t="s">
        <v>90</v>
      </c>
      <c r="E67" s="10">
        <v>400</v>
      </c>
      <c r="F67" t="s">
        <v>69</v>
      </c>
      <c r="G67" t="s">
        <v>69</v>
      </c>
      <c r="H67" t="s">
        <v>73</v>
      </c>
      <c r="I67" t="s">
        <v>124</v>
      </c>
      <c r="J67" s="5">
        <v>2</v>
      </c>
      <c r="K67" s="6">
        <v>122</v>
      </c>
      <c r="L67" s="6">
        <v>66</v>
      </c>
      <c r="M67" s="7">
        <v>77</v>
      </c>
      <c r="N67" s="8">
        <v>97</v>
      </c>
      <c r="O67" s="8">
        <v>55</v>
      </c>
      <c r="P67" s="8">
        <v>63</v>
      </c>
      <c r="Q67" s="4" t="s">
        <v>126</v>
      </c>
      <c r="R67" s="9">
        <v>25.351541373715524</v>
      </c>
      <c r="S67" s="4" t="s">
        <v>174</v>
      </c>
    </row>
    <row r="68" spans="1:19" x14ac:dyDescent="0.35">
      <c r="A68">
        <v>67</v>
      </c>
      <c r="B68">
        <v>45</v>
      </c>
      <c r="C68" t="s">
        <v>89</v>
      </c>
      <c r="D68" t="s">
        <v>66</v>
      </c>
      <c r="E68" s="10">
        <v>300</v>
      </c>
      <c r="F68" t="s">
        <v>69</v>
      </c>
      <c r="G68" t="s">
        <v>69</v>
      </c>
      <c r="H68" t="s">
        <v>73</v>
      </c>
      <c r="I68" t="s">
        <v>125</v>
      </c>
      <c r="J68" s="5">
        <v>3</v>
      </c>
      <c r="K68" s="6">
        <v>151</v>
      </c>
      <c r="L68" s="6">
        <v>84</v>
      </c>
      <c r="M68" s="7">
        <v>109</v>
      </c>
      <c r="N68" s="8">
        <v>157</v>
      </c>
      <c r="O68" s="8">
        <v>88</v>
      </c>
      <c r="P68" s="8">
        <v>51</v>
      </c>
      <c r="Q68" s="4" t="s">
        <v>126</v>
      </c>
      <c r="R68" s="9">
        <v>34.74890574359317</v>
      </c>
      <c r="S68" s="4" t="s">
        <v>174</v>
      </c>
    </row>
    <row r="69" spans="1:19" x14ac:dyDescent="0.35">
      <c r="A69">
        <v>68</v>
      </c>
      <c r="B69">
        <v>45</v>
      </c>
      <c r="C69" t="s">
        <v>89</v>
      </c>
      <c r="D69" t="s">
        <v>115</v>
      </c>
      <c r="E69" s="10">
        <v>600</v>
      </c>
      <c r="F69" t="s">
        <v>69</v>
      </c>
      <c r="G69" t="s">
        <v>69</v>
      </c>
      <c r="H69" t="s">
        <v>103</v>
      </c>
      <c r="I69" t="s">
        <v>125</v>
      </c>
      <c r="J69" s="5">
        <v>2</v>
      </c>
      <c r="K69" s="6">
        <v>162</v>
      </c>
      <c r="L69" s="6">
        <v>96</v>
      </c>
      <c r="M69" s="7">
        <v>104</v>
      </c>
      <c r="N69" s="8">
        <v>86</v>
      </c>
      <c r="O69" s="8">
        <v>105</v>
      </c>
      <c r="P69" s="8">
        <v>57</v>
      </c>
      <c r="Q69" s="4" t="s">
        <v>126</v>
      </c>
      <c r="R69" s="9">
        <v>31.773931855056791</v>
      </c>
      <c r="S69" s="4" t="s">
        <v>174</v>
      </c>
    </row>
    <row r="70" spans="1:19" x14ac:dyDescent="0.35">
      <c r="A70">
        <v>69</v>
      </c>
      <c r="B70">
        <v>45</v>
      </c>
      <c r="C70" t="s">
        <v>89</v>
      </c>
      <c r="D70" t="s">
        <v>115</v>
      </c>
      <c r="E70" s="10">
        <v>200</v>
      </c>
      <c r="F70" t="s">
        <v>69</v>
      </c>
      <c r="G70" t="s">
        <v>69</v>
      </c>
      <c r="H70" t="s">
        <v>103</v>
      </c>
      <c r="I70" t="s">
        <v>125</v>
      </c>
      <c r="J70" s="5">
        <v>6</v>
      </c>
      <c r="K70" s="6">
        <v>117</v>
      </c>
      <c r="L70" s="6">
        <v>98</v>
      </c>
      <c r="M70" s="7">
        <v>76</v>
      </c>
      <c r="N70" s="8">
        <v>103</v>
      </c>
      <c r="O70" s="8">
        <v>77</v>
      </c>
      <c r="P70" s="8">
        <v>35</v>
      </c>
      <c r="Q70" s="4" t="s">
        <v>127</v>
      </c>
      <c r="R70" s="9">
        <v>23.529411764705884</v>
      </c>
      <c r="S70" s="4" t="s">
        <v>175</v>
      </c>
    </row>
    <row r="71" spans="1:19" x14ac:dyDescent="0.35">
      <c r="A71">
        <v>70</v>
      </c>
      <c r="B71">
        <v>60</v>
      </c>
      <c r="C71" t="s">
        <v>89</v>
      </c>
      <c r="D71" t="s">
        <v>115</v>
      </c>
      <c r="E71" s="10">
        <v>400</v>
      </c>
      <c r="F71" t="s">
        <v>69</v>
      </c>
      <c r="G71" t="s">
        <v>69</v>
      </c>
      <c r="H71" t="s">
        <v>73</v>
      </c>
      <c r="I71" t="s">
        <v>125</v>
      </c>
      <c r="J71" s="5">
        <v>3</v>
      </c>
      <c r="K71" s="6">
        <v>135</v>
      </c>
      <c r="L71" s="6">
        <v>86</v>
      </c>
      <c r="M71" s="7">
        <v>80</v>
      </c>
      <c r="N71" s="8">
        <v>100</v>
      </c>
      <c r="O71" s="8">
        <v>107</v>
      </c>
      <c r="P71" s="8">
        <v>42</v>
      </c>
      <c r="Q71" s="4" t="s">
        <v>126</v>
      </c>
      <c r="R71" s="9">
        <v>23.140495867768596</v>
      </c>
      <c r="S71" s="4" t="s">
        <v>174</v>
      </c>
    </row>
    <row r="72" spans="1:19" x14ac:dyDescent="0.35">
      <c r="A72">
        <v>71</v>
      </c>
      <c r="B72">
        <v>50</v>
      </c>
      <c r="C72" t="s">
        <v>89</v>
      </c>
      <c r="D72" t="s">
        <v>115</v>
      </c>
      <c r="E72" s="10">
        <v>700</v>
      </c>
      <c r="F72" t="s">
        <v>69</v>
      </c>
      <c r="G72" t="s">
        <v>69</v>
      </c>
      <c r="H72" t="s">
        <v>73</v>
      </c>
      <c r="I72" t="s">
        <v>125</v>
      </c>
      <c r="J72" s="5">
        <v>6</v>
      </c>
      <c r="K72" s="6">
        <v>151</v>
      </c>
      <c r="L72" s="6">
        <v>89</v>
      </c>
      <c r="M72" s="7">
        <v>76</v>
      </c>
      <c r="N72" s="8">
        <v>100</v>
      </c>
      <c r="O72" s="8">
        <v>114</v>
      </c>
      <c r="P72" s="8">
        <v>50</v>
      </c>
      <c r="Q72" s="4" t="s">
        <v>126</v>
      </c>
      <c r="R72" s="9">
        <v>22.145328719723185</v>
      </c>
      <c r="S72" s="4" t="s">
        <v>174</v>
      </c>
    </row>
    <row r="73" spans="1:19" x14ac:dyDescent="0.35">
      <c r="A73">
        <v>72</v>
      </c>
      <c r="B73">
        <v>34</v>
      </c>
      <c r="C73" t="s">
        <v>89</v>
      </c>
      <c r="D73" t="s">
        <v>115</v>
      </c>
      <c r="E73" s="10">
        <v>200</v>
      </c>
      <c r="F73" t="s">
        <v>69</v>
      </c>
      <c r="G73" t="s">
        <v>69</v>
      </c>
      <c r="H73" t="s">
        <v>92</v>
      </c>
      <c r="I73" t="s">
        <v>125</v>
      </c>
      <c r="J73" s="5">
        <v>4</v>
      </c>
      <c r="K73" s="6">
        <v>121</v>
      </c>
      <c r="L73" s="6">
        <v>73</v>
      </c>
      <c r="M73" s="7">
        <v>76</v>
      </c>
      <c r="N73" s="8">
        <v>85</v>
      </c>
      <c r="O73" s="8">
        <v>75</v>
      </c>
      <c r="P73" s="8">
        <v>55</v>
      </c>
      <c r="Q73" s="4" t="s">
        <v>127</v>
      </c>
      <c r="R73" s="9">
        <v>19.100091827364558</v>
      </c>
      <c r="S73" s="4" t="s">
        <v>175</v>
      </c>
    </row>
    <row r="74" spans="1:19" x14ac:dyDescent="0.35">
      <c r="A74">
        <v>73</v>
      </c>
      <c r="B74">
        <v>40</v>
      </c>
      <c r="C74" t="s">
        <v>89</v>
      </c>
      <c r="D74" t="s">
        <v>115</v>
      </c>
      <c r="E74" s="10">
        <v>300</v>
      </c>
      <c r="F74" t="s">
        <v>69</v>
      </c>
      <c r="G74" t="s">
        <v>69</v>
      </c>
      <c r="H74" t="s">
        <v>73</v>
      </c>
      <c r="I74" t="s">
        <v>125</v>
      </c>
      <c r="J74" s="5">
        <v>5</v>
      </c>
      <c r="K74" s="6">
        <v>120</v>
      </c>
      <c r="L74" s="6">
        <v>69</v>
      </c>
      <c r="M74" s="7">
        <v>76</v>
      </c>
      <c r="N74" s="8">
        <v>86</v>
      </c>
      <c r="O74" s="8">
        <v>114</v>
      </c>
      <c r="P74" s="8">
        <v>52</v>
      </c>
      <c r="Q74" s="4" t="s">
        <v>127</v>
      </c>
      <c r="R74" s="9">
        <v>24.167162403331353</v>
      </c>
      <c r="S74" s="4" t="s">
        <v>175</v>
      </c>
    </row>
    <row r="75" spans="1:19" x14ac:dyDescent="0.35">
      <c r="A75">
        <v>74</v>
      </c>
      <c r="B75">
        <v>32</v>
      </c>
      <c r="C75" t="s">
        <v>64</v>
      </c>
      <c r="D75" t="s">
        <v>101</v>
      </c>
      <c r="E75" s="10">
        <v>1000</v>
      </c>
      <c r="F75" t="s">
        <v>69</v>
      </c>
      <c r="G75" t="s">
        <v>69</v>
      </c>
      <c r="H75" t="s">
        <v>92</v>
      </c>
      <c r="I75" t="s">
        <v>125</v>
      </c>
      <c r="J75" s="5">
        <v>8</v>
      </c>
      <c r="K75" s="6">
        <v>122</v>
      </c>
      <c r="L75" s="6">
        <v>78</v>
      </c>
      <c r="M75" s="7">
        <v>93</v>
      </c>
      <c r="N75" s="8">
        <v>109</v>
      </c>
      <c r="O75" s="8">
        <v>84</v>
      </c>
      <c r="P75" s="8">
        <v>66</v>
      </c>
      <c r="Q75" s="4" t="s">
        <v>127</v>
      </c>
      <c r="R75" s="9">
        <v>27.763429752066116</v>
      </c>
      <c r="S75" s="4" t="s">
        <v>175</v>
      </c>
    </row>
    <row r="76" spans="1:19" x14ac:dyDescent="0.35">
      <c r="A76">
        <v>75</v>
      </c>
      <c r="B76">
        <v>27</v>
      </c>
      <c r="C76" t="s">
        <v>64</v>
      </c>
      <c r="D76" t="s">
        <v>101</v>
      </c>
      <c r="E76" s="10">
        <v>400</v>
      </c>
      <c r="F76" t="s">
        <v>69</v>
      </c>
      <c r="G76" t="s">
        <v>70</v>
      </c>
      <c r="H76" t="s">
        <v>92</v>
      </c>
      <c r="I76" t="s">
        <v>125</v>
      </c>
      <c r="J76" s="5">
        <v>5</v>
      </c>
      <c r="K76" s="6">
        <v>118</v>
      </c>
      <c r="L76" s="6">
        <v>78</v>
      </c>
      <c r="M76" s="7">
        <v>94</v>
      </c>
      <c r="N76" s="8">
        <v>111</v>
      </c>
      <c r="O76" s="8">
        <v>130</v>
      </c>
      <c r="P76" s="8">
        <v>41</v>
      </c>
      <c r="Q76" s="4" t="s">
        <v>126</v>
      </c>
      <c r="R76" s="9">
        <v>26.423569824283259</v>
      </c>
      <c r="S76" s="4" t="s">
        <v>174</v>
      </c>
    </row>
    <row r="77" spans="1:19" x14ac:dyDescent="0.35">
      <c r="A77">
        <v>76</v>
      </c>
      <c r="B77">
        <v>30</v>
      </c>
      <c r="C77" t="s">
        <v>64</v>
      </c>
      <c r="D77" t="s">
        <v>101</v>
      </c>
      <c r="E77" s="10">
        <v>350</v>
      </c>
      <c r="F77" t="s">
        <v>69</v>
      </c>
      <c r="G77" t="s">
        <v>69</v>
      </c>
      <c r="H77" t="s">
        <v>92</v>
      </c>
      <c r="I77" t="s">
        <v>125</v>
      </c>
      <c r="J77" s="5">
        <v>4</v>
      </c>
      <c r="K77" s="6">
        <v>119</v>
      </c>
      <c r="L77" s="6">
        <v>81</v>
      </c>
      <c r="M77" s="7">
        <v>80</v>
      </c>
      <c r="N77" s="8">
        <v>270</v>
      </c>
      <c r="O77" s="8">
        <v>63</v>
      </c>
      <c r="P77" s="8">
        <v>63</v>
      </c>
      <c r="Q77" s="4" t="s">
        <v>127</v>
      </c>
      <c r="R77" s="9">
        <v>20.902385858042937</v>
      </c>
      <c r="S77" s="4" t="s">
        <v>175</v>
      </c>
    </row>
    <row r="78" spans="1:19" x14ac:dyDescent="0.35">
      <c r="A78">
        <v>77</v>
      </c>
      <c r="B78">
        <v>39</v>
      </c>
      <c r="C78" t="s">
        <v>64</v>
      </c>
      <c r="D78" t="s">
        <v>90</v>
      </c>
      <c r="E78" s="10">
        <v>200</v>
      </c>
      <c r="F78" t="s">
        <v>69</v>
      </c>
      <c r="G78" t="s">
        <v>70</v>
      </c>
      <c r="H78" t="s">
        <v>92</v>
      </c>
      <c r="I78" t="s">
        <v>125</v>
      </c>
      <c r="J78" s="5">
        <v>4</v>
      </c>
      <c r="K78" s="6">
        <v>112</v>
      </c>
      <c r="L78" s="6">
        <v>78</v>
      </c>
      <c r="M78" s="7">
        <v>78</v>
      </c>
      <c r="N78" s="8">
        <v>82</v>
      </c>
      <c r="O78" s="8">
        <v>102</v>
      </c>
      <c r="P78" s="8">
        <v>38</v>
      </c>
      <c r="Q78" s="4" t="s">
        <v>126</v>
      </c>
      <c r="R78" s="9">
        <v>17.901234567901234</v>
      </c>
      <c r="S78" s="4" t="s">
        <v>174</v>
      </c>
    </row>
    <row r="79" spans="1:19" x14ac:dyDescent="0.35">
      <c r="A79">
        <v>78</v>
      </c>
      <c r="B79">
        <v>50</v>
      </c>
      <c r="C79" t="s">
        <v>89</v>
      </c>
      <c r="D79" t="s">
        <v>115</v>
      </c>
      <c r="E79" s="10">
        <v>500</v>
      </c>
      <c r="F79" t="s">
        <v>69</v>
      </c>
      <c r="G79" t="s">
        <v>69</v>
      </c>
      <c r="H79" t="s">
        <v>92</v>
      </c>
      <c r="I79" t="s">
        <v>125</v>
      </c>
      <c r="J79" s="5">
        <v>8</v>
      </c>
      <c r="K79" s="6">
        <v>118</v>
      </c>
      <c r="L79" s="6">
        <v>85</v>
      </c>
      <c r="M79" s="7">
        <v>99</v>
      </c>
      <c r="N79" s="8">
        <v>300</v>
      </c>
      <c r="O79" s="8">
        <v>149</v>
      </c>
      <c r="P79" s="8">
        <v>40</v>
      </c>
      <c r="Q79" s="4" t="s">
        <v>127</v>
      </c>
      <c r="R79" s="9">
        <v>28.373702422145332</v>
      </c>
      <c r="S79" s="4" t="s">
        <v>175</v>
      </c>
    </row>
    <row r="80" spans="1:19" x14ac:dyDescent="0.35">
      <c r="A80">
        <v>79</v>
      </c>
      <c r="B80">
        <v>35</v>
      </c>
      <c r="C80" t="s">
        <v>89</v>
      </c>
      <c r="D80" t="s">
        <v>101</v>
      </c>
      <c r="E80" s="10">
        <v>800</v>
      </c>
      <c r="F80" t="s">
        <v>69</v>
      </c>
      <c r="G80" t="s">
        <v>69</v>
      </c>
      <c r="H80" t="s">
        <v>92</v>
      </c>
      <c r="I80" t="s">
        <v>74</v>
      </c>
      <c r="J80" s="5">
        <v>5</v>
      </c>
      <c r="K80" s="6">
        <v>115</v>
      </c>
      <c r="L80" s="6">
        <v>78</v>
      </c>
      <c r="M80" s="7">
        <v>76</v>
      </c>
      <c r="N80" s="8">
        <v>74</v>
      </c>
      <c r="O80" s="8">
        <v>133</v>
      </c>
      <c r="P80" s="8">
        <v>52</v>
      </c>
      <c r="Q80" s="4" t="s">
        <v>126</v>
      </c>
      <c r="R80" s="9">
        <v>22.582709172343712</v>
      </c>
      <c r="S80" s="4" t="s">
        <v>174</v>
      </c>
    </row>
    <row r="81" spans="1:19" x14ac:dyDescent="0.35">
      <c r="A81">
        <v>80</v>
      </c>
      <c r="B81">
        <v>23</v>
      </c>
      <c r="C81" t="s">
        <v>89</v>
      </c>
      <c r="D81" t="s">
        <v>101</v>
      </c>
      <c r="E81" s="10">
        <v>100</v>
      </c>
      <c r="F81" t="s">
        <v>69</v>
      </c>
      <c r="G81" t="s">
        <v>69</v>
      </c>
      <c r="H81" t="s">
        <v>92</v>
      </c>
      <c r="I81" t="s">
        <v>125</v>
      </c>
      <c r="J81" s="5">
        <v>4</v>
      </c>
      <c r="K81" s="6">
        <v>118</v>
      </c>
      <c r="L81" s="6">
        <v>78</v>
      </c>
      <c r="M81" s="7">
        <v>76</v>
      </c>
      <c r="N81" s="8">
        <v>89</v>
      </c>
      <c r="O81" s="8">
        <v>112</v>
      </c>
      <c r="P81" s="8">
        <v>51</v>
      </c>
      <c r="Q81" s="4" t="s">
        <v>126</v>
      </c>
      <c r="R81" s="9">
        <v>24.767565919829291</v>
      </c>
      <c r="S81" s="4" t="s">
        <v>174</v>
      </c>
    </row>
    <row r="82" spans="1:19" x14ac:dyDescent="0.35">
      <c r="A82">
        <v>81</v>
      </c>
      <c r="B82">
        <v>29</v>
      </c>
      <c r="C82" t="s">
        <v>89</v>
      </c>
      <c r="D82" t="s">
        <v>101</v>
      </c>
      <c r="E82" s="10">
        <v>300</v>
      </c>
      <c r="F82" t="s">
        <v>69</v>
      </c>
      <c r="G82" t="s">
        <v>69</v>
      </c>
      <c r="H82" t="s">
        <v>73</v>
      </c>
      <c r="I82" t="s">
        <v>125</v>
      </c>
      <c r="J82" s="5">
        <v>4</v>
      </c>
      <c r="K82" s="6">
        <v>127</v>
      </c>
      <c r="L82" s="6">
        <v>73</v>
      </c>
      <c r="M82" s="7">
        <v>77</v>
      </c>
      <c r="N82" s="8">
        <v>94</v>
      </c>
      <c r="O82" s="8">
        <v>83</v>
      </c>
      <c r="P82" s="8">
        <v>43</v>
      </c>
      <c r="Q82" s="4" t="s">
        <v>126</v>
      </c>
      <c r="R82" s="9">
        <v>23.529411764705884</v>
      </c>
      <c r="S82" s="4" t="s">
        <v>174</v>
      </c>
    </row>
    <row r="83" spans="1:19" x14ac:dyDescent="0.35">
      <c r="A83">
        <v>82</v>
      </c>
      <c r="B83">
        <v>30</v>
      </c>
      <c r="C83" t="s">
        <v>89</v>
      </c>
      <c r="D83" t="s">
        <v>115</v>
      </c>
      <c r="E83" s="10">
        <v>800</v>
      </c>
      <c r="F83" t="s">
        <v>69</v>
      </c>
      <c r="G83" t="s">
        <v>69</v>
      </c>
      <c r="H83" t="s">
        <v>73</v>
      </c>
      <c r="I83" t="s">
        <v>125</v>
      </c>
      <c r="J83" s="5">
        <v>6</v>
      </c>
      <c r="K83" s="6">
        <v>105</v>
      </c>
      <c r="L83" s="6">
        <v>70</v>
      </c>
      <c r="M83" s="7">
        <v>76</v>
      </c>
      <c r="N83" s="8">
        <v>129</v>
      </c>
      <c r="O83" s="8">
        <v>119</v>
      </c>
      <c r="P83" s="8">
        <v>54</v>
      </c>
      <c r="Q83" s="4" t="s">
        <v>126</v>
      </c>
      <c r="R83" s="9">
        <v>31.553659148768332</v>
      </c>
      <c r="S83" s="4" t="s">
        <v>174</v>
      </c>
    </row>
    <row r="84" spans="1:19" x14ac:dyDescent="0.35">
      <c r="A84">
        <v>83</v>
      </c>
      <c r="B84">
        <v>45</v>
      </c>
      <c r="C84" t="s">
        <v>64</v>
      </c>
      <c r="D84" t="s">
        <v>90</v>
      </c>
      <c r="E84" s="10">
        <v>600</v>
      </c>
      <c r="F84" t="s">
        <v>70</v>
      </c>
      <c r="G84" t="s">
        <v>70</v>
      </c>
      <c r="H84" t="s">
        <v>73</v>
      </c>
      <c r="I84" t="s">
        <v>124</v>
      </c>
      <c r="J84" s="5">
        <v>4</v>
      </c>
      <c r="K84" s="6">
        <v>126</v>
      </c>
      <c r="L84" s="6">
        <v>81</v>
      </c>
      <c r="M84" s="7">
        <v>73</v>
      </c>
      <c r="N84" s="8">
        <v>235</v>
      </c>
      <c r="O84" s="8">
        <v>97</v>
      </c>
      <c r="P84" s="8">
        <v>44</v>
      </c>
      <c r="Q84" s="4" t="s">
        <v>126</v>
      </c>
      <c r="R84" s="9">
        <v>20.571428571428573</v>
      </c>
      <c r="S84" s="4" t="s">
        <v>174</v>
      </c>
    </row>
    <row r="85" spans="1:19" x14ac:dyDescent="0.35">
      <c r="A85">
        <v>84</v>
      </c>
      <c r="B85">
        <v>37</v>
      </c>
      <c r="C85" t="s">
        <v>89</v>
      </c>
      <c r="D85" t="s">
        <v>90</v>
      </c>
      <c r="E85" s="10">
        <v>450</v>
      </c>
      <c r="F85" t="s">
        <v>69</v>
      </c>
      <c r="G85" t="s">
        <v>69</v>
      </c>
      <c r="H85" t="s">
        <v>92</v>
      </c>
      <c r="I85" t="s">
        <v>125</v>
      </c>
      <c r="J85" s="5">
        <v>1</v>
      </c>
      <c r="K85" s="6">
        <v>146</v>
      </c>
      <c r="L85" s="6">
        <v>75</v>
      </c>
      <c r="M85" s="7">
        <v>100</v>
      </c>
      <c r="N85" s="8">
        <v>95</v>
      </c>
      <c r="O85" s="8">
        <v>56</v>
      </c>
      <c r="P85" s="8">
        <v>38</v>
      </c>
      <c r="Q85" s="4" t="s">
        <v>127</v>
      </c>
      <c r="R85" s="9">
        <v>30.449826989619382</v>
      </c>
      <c r="S85" s="4" t="s">
        <v>175</v>
      </c>
    </row>
    <row r="86" spans="1:19" x14ac:dyDescent="0.35">
      <c r="A86">
        <v>85</v>
      </c>
      <c r="B86">
        <v>51</v>
      </c>
      <c r="C86" t="s">
        <v>64</v>
      </c>
      <c r="D86" t="s">
        <v>66</v>
      </c>
      <c r="E86" s="10">
        <v>750</v>
      </c>
      <c r="F86" t="s">
        <v>70</v>
      </c>
      <c r="G86" t="s">
        <v>69</v>
      </c>
      <c r="H86" t="s">
        <v>73</v>
      </c>
      <c r="I86" t="s">
        <v>125</v>
      </c>
      <c r="J86" s="5">
        <v>1</v>
      </c>
      <c r="K86" s="6">
        <v>108</v>
      </c>
      <c r="L86" s="6">
        <v>69</v>
      </c>
      <c r="M86" s="7">
        <v>80</v>
      </c>
      <c r="N86" s="8">
        <v>95</v>
      </c>
      <c r="O86" s="8">
        <v>84</v>
      </c>
      <c r="P86" s="8">
        <v>42</v>
      </c>
      <c r="Q86" s="4" t="s">
        <v>126</v>
      </c>
      <c r="R86" s="9">
        <v>18.710949246550168</v>
      </c>
      <c r="S86" s="4" t="s">
        <v>174</v>
      </c>
    </row>
    <row r="87" spans="1:19" x14ac:dyDescent="0.35">
      <c r="A87">
        <v>86</v>
      </c>
      <c r="B87">
        <v>40</v>
      </c>
      <c r="C87" t="s">
        <v>89</v>
      </c>
      <c r="D87" t="s">
        <v>115</v>
      </c>
      <c r="E87" s="10">
        <v>450</v>
      </c>
      <c r="F87" t="s">
        <v>69</v>
      </c>
      <c r="G87" t="s">
        <v>69</v>
      </c>
      <c r="H87" t="s">
        <v>92</v>
      </c>
      <c r="I87" t="s">
        <v>125</v>
      </c>
      <c r="J87" s="5">
        <v>6</v>
      </c>
      <c r="K87" s="6">
        <v>144</v>
      </c>
      <c r="L87" s="6">
        <v>79</v>
      </c>
      <c r="M87" s="7">
        <v>76</v>
      </c>
      <c r="N87" s="8">
        <v>128</v>
      </c>
      <c r="O87" s="8">
        <v>175</v>
      </c>
      <c r="P87" s="8">
        <v>38</v>
      </c>
      <c r="Q87" s="4" t="s">
        <v>126</v>
      </c>
      <c r="R87" s="9">
        <v>22.145328719723185</v>
      </c>
      <c r="S87" s="4" t="s">
        <v>174</v>
      </c>
    </row>
    <row r="88" spans="1:19" x14ac:dyDescent="0.35">
      <c r="A88">
        <v>87</v>
      </c>
      <c r="B88">
        <v>36</v>
      </c>
      <c r="C88" t="s">
        <v>89</v>
      </c>
      <c r="D88" t="s">
        <v>115</v>
      </c>
      <c r="E88" s="10">
        <v>790</v>
      </c>
      <c r="F88" t="s">
        <v>69</v>
      </c>
      <c r="G88" t="s">
        <v>69</v>
      </c>
      <c r="H88" t="s">
        <v>92</v>
      </c>
      <c r="I88" t="s">
        <v>125</v>
      </c>
      <c r="J88" s="5">
        <v>1</v>
      </c>
      <c r="K88" s="6">
        <v>124</v>
      </c>
      <c r="L88" s="6">
        <v>91</v>
      </c>
      <c r="M88" s="7">
        <v>104</v>
      </c>
      <c r="N88" s="8">
        <v>89</v>
      </c>
      <c r="O88" s="8">
        <v>63</v>
      </c>
      <c r="P88" s="8">
        <v>54</v>
      </c>
      <c r="Q88" s="4" t="s">
        <v>127</v>
      </c>
      <c r="R88" s="9">
        <v>32.179930795847753</v>
      </c>
      <c r="S88" s="4" t="s">
        <v>175</v>
      </c>
    </row>
    <row r="89" spans="1:19" x14ac:dyDescent="0.35">
      <c r="A89">
        <v>88</v>
      </c>
      <c r="B89">
        <v>37</v>
      </c>
      <c r="C89" t="s">
        <v>89</v>
      </c>
      <c r="D89" t="s">
        <v>90</v>
      </c>
      <c r="E89" s="10">
        <v>600</v>
      </c>
      <c r="F89" t="s">
        <v>69</v>
      </c>
      <c r="G89" t="s">
        <v>69</v>
      </c>
      <c r="H89" t="s">
        <v>73</v>
      </c>
      <c r="I89" t="s">
        <v>74</v>
      </c>
      <c r="J89" s="5">
        <v>4</v>
      </c>
      <c r="K89" s="6">
        <v>118</v>
      </c>
      <c r="L89" s="6">
        <v>70</v>
      </c>
      <c r="M89" s="7">
        <v>110</v>
      </c>
      <c r="N89" s="8">
        <v>91</v>
      </c>
      <c r="O89" s="8">
        <v>67</v>
      </c>
      <c r="P89" s="8">
        <v>44</v>
      </c>
      <c r="Q89" s="4" t="s">
        <v>127</v>
      </c>
      <c r="R89" s="9">
        <v>35.265306122448976</v>
      </c>
      <c r="S89" s="4" t="s">
        <v>175</v>
      </c>
    </row>
    <row r="90" spans="1:19" x14ac:dyDescent="0.35">
      <c r="A90">
        <v>89</v>
      </c>
      <c r="B90">
        <v>26</v>
      </c>
      <c r="C90" t="s">
        <v>64</v>
      </c>
      <c r="D90" t="s">
        <v>90</v>
      </c>
      <c r="E90" s="10">
        <v>400</v>
      </c>
      <c r="F90" t="s">
        <v>69</v>
      </c>
      <c r="G90" t="s">
        <v>70</v>
      </c>
      <c r="H90" t="s">
        <v>92</v>
      </c>
      <c r="I90" t="s">
        <v>124</v>
      </c>
      <c r="J90" s="5">
        <v>4</v>
      </c>
      <c r="K90" s="6">
        <v>141</v>
      </c>
      <c r="L90" s="6">
        <v>71</v>
      </c>
      <c r="M90" s="7">
        <v>79</v>
      </c>
      <c r="N90" s="8">
        <v>84</v>
      </c>
      <c r="O90" s="8">
        <v>99</v>
      </c>
      <c r="P90" s="8">
        <v>51</v>
      </c>
      <c r="Q90" s="4" t="s">
        <v>126</v>
      </c>
      <c r="R90" s="9">
        <v>18.673607967406067</v>
      </c>
      <c r="S90" s="4" t="s">
        <v>174</v>
      </c>
    </row>
    <row r="91" spans="1:19" x14ac:dyDescent="0.35">
      <c r="A91">
        <v>90</v>
      </c>
      <c r="B91">
        <v>50</v>
      </c>
      <c r="C91" t="s">
        <v>89</v>
      </c>
      <c r="D91" t="s">
        <v>90</v>
      </c>
      <c r="E91" s="10">
        <v>750</v>
      </c>
      <c r="F91" t="s">
        <v>69</v>
      </c>
      <c r="G91" t="s">
        <v>69</v>
      </c>
      <c r="H91" t="s">
        <v>92</v>
      </c>
      <c r="I91" t="s">
        <v>125</v>
      </c>
      <c r="J91" s="5">
        <v>5</v>
      </c>
      <c r="K91" s="6">
        <v>110</v>
      </c>
      <c r="L91" s="6">
        <v>77</v>
      </c>
      <c r="M91" s="7">
        <v>81</v>
      </c>
      <c r="N91" s="8">
        <v>113</v>
      </c>
      <c r="O91" s="8">
        <v>126</v>
      </c>
      <c r="P91" s="8">
        <v>50</v>
      </c>
      <c r="Q91" s="4" t="s">
        <v>126</v>
      </c>
      <c r="R91" s="9">
        <v>26.026174895895306</v>
      </c>
      <c r="S91" s="4" t="s">
        <v>174</v>
      </c>
    </row>
    <row r="92" spans="1:19" x14ac:dyDescent="0.35">
      <c r="A92">
        <v>91</v>
      </c>
      <c r="B92">
        <v>32</v>
      </c>
      <c r="C92" t="s">
        <v>64</v>
      </c>
      <c r="D92" t="s">
        <v>90</v>
      </c>
      <c r="E92" s="10">
        <v>300</v>
      </c>
      <c r="F92" t="s">
        <v>69</v>
      </c>
      <c r="G92" t="s">
        <v>69</v>
      </c>
      <c r="H92" t="s">
        <v>92</v>
      </c>
      <c r="I92" t="s">
        <v>125</v>
      </c>
      <c r="J92" s="5">
        <v>6</v>
      </c>
      <c r="K92" s="6">
        <v>115</v>
      </c>
      <c r="L92" s="6">
        <v>78</v>
      </c>
      <c r="M92" s="7">
        <v>82</v>
      </c>
      <c r="N92" s="8">
        <v>213</v>
      </c>
      <c r="O92" s="8">
        <v>88</v>
      </c>
      <c r="P92" s="8">
        <v>51</v>
      </c>
      <c r="Q92" s="4" t="s">
        <v>126</v>
      </c>
      <c r="R92" s="9">
        <v>21.847008520333322</v>
      </c>
      <c r="S92" s="4" t="s">
        <v>174</v>
      </c>
    </row>
    <row r="93" spans="1:19" x14ac:dyDescent="0.35">
      <c r="A93">
        <v>92</v>
      </c>
      <c r="B93">
        <v>50</v>
      </c>
      <c r="C93" t="s">
        <v>89</v>
      </c>
      <c r="D93" t="s">
        <v>66</v>
      </c>
      <c r="E93" s="10">
        <v>300</v>
      </c>
      <c r="F93" t="s">
        <v>69</v>
      </c>
      <c r="G93" t="s">
        <v>69</v>
      </c>
      <c r="H93" t="s">
        <v>92</v>
      </c>
      <c r="I93" t="s">
        <v>125</v>
      </c>
      <c r="J93" s="5">
        <v>5</v>
      </c>
      <c r="K93" s="6">
        <v>122</v>
      </c>
      <c r="L93" s="6">
        <v>80</v>
      </c>
      <c r="M93" s="7">
        <v>90</v>
      </c>
      <c r="N93" s="8">
        <v>252</v>
      </c>
      <c r="O93" s="8">
        <v>92</v>
      </c>
      <c r="P93" s="8">
        <v>54</v>
      </c>
      <c r="Q93" s="4" t="s">
        <v>126</v>
      </c>
      <c r="R93" s="9">
        <v>26.365603028664147</v>
      </c>
      <c r="S93" s="4" t="s">
        <v>174</v>
      </c>
    </row>
    <row r="94" spans="1:19" x14ac:dyDescent="0.35">
      <c r="A94">
        <v>93</v>
      </c>
      <c r="B94">
        <v>30</v>
      </c>
      <c r="C94" t="s">
        <v>89</v>
      </c>
      <c r="D94" t="s">
        <v>101</v>
      </c>
      <c r="E94" s="10">
        <v>700</v>
      </c>
      <c r="F94" t="s">
        <v>69</v>
      </c>
      <c r="G94" t="s">
        <v>69</v>
      </c>
      <c r="H94" t="s">
        <v>73</v>
      </c>
      <c r="I94" t="s">
        <v>125</v>
      </c>
      <c r="J94" s="5">
        <v>4</v>
      </c>
      <c r="K94" s="6">
        <v>157</v>
      </c>
      <c r="L94" s="6">
        <v>82</v>
      </c>
      <c r="M94" s="7">
        <v>89</v>
      </c>
      <c r="N94" s="8">
        <v>86</v>
      </c>
      <c r="O94" s="8">
        <v>44</v>
      </c>
      <c r="P94" s="8">
        <v>40</v>
      </c>
      <c r="Q94" s="4" t="s">
        <v>126</v>
      </c>
      <c r="R94" s="9">
        <v>26.448979591836736</v>
      </c>
      <c r="S94" s="4" t="s">
        <v>174</v>
      </c>
    </row>
    <row r="95" spans="1:19" x14ac:dyDescent="0.35">
      <c r="A95">
        <v>94</v>
      </c>
      <c r="B95">
        <v>50</v>
      </c>
      <c r="C95" t="s">
        <v>89</v>
      </c>
      <c r="D95" t="s">
        <v>90</v>
      </c>
      <c r="E95" s="10">
        <v>800</v>
      </c>
      <c r="F95" t="s">
        <v>69</v>
      </c>
      <c r="G95" t="s">
        <v>69</v>
      </c>
      <c r="H95" t="s">
        <v>73</v>
      </c>
      <c r="I95" t="s">
        <v>125</v>
      </c>
      <c r="J95" s="5">
        <v>1</v>
      </c>
      <c r="K95" s="6">
        <v>159</v>
      </c>
      <c r="L95" s="6">
        <v>89</v>
      </c>
      <c r="M95" s="7">
        <v>76</v>
      </c>
      <c r="N95" s="8">
        <v>96</v>
      </c>
      <c r="O95" s="8">
        <v>93</v>
      </c>
      <c r="P95" s="8">
        <v>51</v>
      </c>
      <c r="Q95" s="4" t="s">
        <v>126</v>
      </c>
      <c r="R95" s="9">
        <v>16.135393882892899</v>
      </c>
      <c r="S95" s="4" t="s">
        <v>174</v>
      </c>
    </row>
    <row r="96" spans="1:19" x14ac:dyDescent="0.35">
      <c r="A96">
        <v>95</v>
      </c>
      <c r="B96">
        <v>67</v>
      </c>
      <c r="C96" t="s">
        <v>89</v>
      </c>
      <c r="D96" t="s">
        <v>66</v>
      </c>
      <c r="E96" s="10">
        <v>300</v>
      </c>
      <c r="F96" t="s">
        <v>69</v>
      </c>
      <c r="G96" t="s">
        <v>69</v>
      </c>
      <c r="H96" t="s">
        <v>103</v>
      </c>
      <c r="I96" t="s">
        <v>125</v>
      </c>
      <c r="J96" s="5">
        <v>10</v>
      </c>
      <c r="K96" s="6">
        <v>232</v>
      </c>
      <c r="L96" s="6">
        <v>94</v>
      </c>
      <c r="M96" s="7">
        <v>76</v>
      </c>
      <c r="N96" s="8">
        <v>99</v>
      </c>
      <c r="O96" s="8">
        <v>149</v>
      </c>
      <c r="P96" s="8">
        <v>38</v>
      </c>
      <c r="Q96" s="4" t="s">
        <v>127</v>
      </c>
      <c r="R96" s="9">
        <v>17.630853994490359</v>
      </c>
      <c r="S96" s="4" t="s">
        <v>175</v>
      </c>
    </row>
    <row r="97" spans="1:19" x14ac:dyDescent="0.35">
      <c r="A97">
        <v>96</v>
      </c>
      <c r="B97">
        <v>80</v>
      </c>
      <c r="C97" t="s">
        <v>89</v>
      </c>
      <c r="D97" t="s">
        <v>90</v>
      </c>
      <c r="E97" s="10">
        <v>400</v>
      </c>
      <c r="F97" t="s">
        <v>69</v>
      </c>
      <c r="G97" t="s">
        <v>69</v>
      </c>
      <c r="H97" t="s">
        <v>92</v>
      </c>
      <c r="I97" t="s">
        <v>125</v>
      </c>
      <c r="J97" s="5">
        <v>8</v>
      </c>
      <c r="K97" s="6">
        <v>170</v>
      </c>
      <c r="L97" s="6">
        <v>82</v>
      </c>
      <c r="M97" s="7">
        <v>90</v>
      </c>
      <c r="N97" s="8">
        <v>154</v>
      </c>
      <c r="O97" s="8">
        <v>120</v>
      </c>
      <c r="P97" s="8">
        <v>39</v>
      </c>
      <c r="Q97" s="4" t="s">
        <v>126</v>
      </c>
      <c r="R97" s="9">
        <v>26.122448979591837</v>
      </c>
      <c r="S97" s="4" t="s">
        <v>174</v>
      </c>
    </row>
    <row r="98" spans="1:19" x14ac:dyDescent="0.35">
      <c r="A98">
        <v>97</v>
      </c>
      <c r="B98">
        <v>36</v>
      </c>
      <c r="C98" t="s">
        <v>89</v>
      </c>
      <c r="D98" t="s">
        <v>66</v>
      </c>
      <c r="E98" s="10">
        <v>300</v>
      </c>
      <c r="F98" t="s">
        <v>69</v>
      </c>
      <c r="G98" t="s">
        <v>69</v>
      </c>
      <c r="H98" t="s">
        <v>92</v>
      </c>
      <c r="I98" t="s">
        <v>125</v>
      </c>
      <c r="J98" s="5">
        <v>2</v>
      </c>
      <c r="K98" s="6">
        <v>124</v>
      </c>
      <c r="L98" s="6">
        <v>69</v>
      </c>
      <c r="M98" s="7">
        <v>90</v>
      </c>
      <c r="N98" s="8">
        <v>120</v>
      </c>
      <c r="O98" s="8">
        <v>87</v>
      </c>
      <c r="P98" s="8">
        <v>55</v>
      </c>
      <c r="Q98" s="4" t="s">
        <v>126</v>
      </c>
      <c r="R98" s="9">
        <v>24.343809494085704</v>
      </c>
      <c r="S98" s="4" t="s">
        <v>174</v>
      </c>
    </row>
    <row r="99" spans="1:19" x14ac:dyDescent="0.35">
      <c r="A99">
        <v>98</v>
      </c>
      <c r="B99">
        <v>29</v>
      </c>
      <c r="C99" t="s">
        <v>89</v>
      </c>
      <c r="D99" t="s">
        <v>90</v>
      </c>
      <c r="E99" s="10">
        <v>200</v>
      </c>
      <c r="F99" t="s">
        <v>69</v>
      </c>
      <c r="G99" t="s">
        <v>69</v>
      </c>
      <c r="H99" t="s">
        <v>106</v>
      </c>
      <c r="I99" t="s">
        <v>125</v>
      </c>
      <c r="J99" s="5">
        <v>3</v>
      </c>
      <c r="K99" s="6">
        <v>114</v>
      </c>
      <c r="L99" s="6">
        <v>91</v>
      </c>
      <c r="M99" s="7">
        <v>76</v>
      </c>
      <c r="N99" s="8">
        <v>61</v>
      </c>
      <c r="O99" s="8">
        <v>94</v>
      </c>
      <c r="P99" s="8">
        <v>56</v>
      </c>
      <c r="Q99" s="4" t="s">
        <v>127</v>
      </c>
      <c r="R99" s="9">
        <v>21.629648760330578</v>
      </c>
      <c r="S99" s="4" t="s">
        <v>175</v>
      </c>
    </row>
    <row r="100" spans="1:19" x14ac:dyDescent="0.35">
      <c r="A100">
        <v>99</v>
      </c>
      <c r="B100">
        <v>39</v>
      </c>
      <c r="C100" t="s">
        <v>64</v>
      </c>
      <c r="D100" t="s">
        <v>101</v>
      </c>
      <c r="E100" s="10">
        <v>800</v>
      </c>
      <c r="F100" t="s">
        <v>69</v>
      </c>
      <c r="G100" t="s">
        <v>69</v>
      </c>
      <c r="H100" t="s">
        <v>73</v>
      </c>
      <c r="I100" t="s">
        <v>125</v>
      </c>
      <c r="J100" s="5">
        <v>4</v>
      </c>
      <c r="K100" s="6">
        <v>151</v>
      </c>
      <c r="L100" s="6">
        <v>89</v>
      </c>
      <c r="M100" s="7">
        <v>90</v>
      </c>
      <c r="N100" s="8">
        <v>109</v>
      </c>
      <c r="O100" s="8">
        <v>101</v>
      </c>
      <c r="P100" s="8">
        <v>42</v>
      </c>
      <c r="Q100" s="4" t="s">
        <v>126</v>
      </c>
      <c r="R100" s="9">
        <v>26.196187350082059</v>
      </c>
      <c r="S100" s="4" t="s">
        <v>174</v>
      </c>
    </row>
    <row r="101" spans="1:19" x14ac:dyDescent="0.35">
      <c r="A101">
        <v>100</v>
      </c>
      <c r="B101">
        <v>40</v>
      </c>
      <c r="C101" t="s">
        <v>64</v>
      </c>
      <c r="D101" t="s">
        <v>115</v>
      </c>
      <c r="E101" s="10">
        <v>300</v>
      </c>
      <c r="F101" t="s">
        <v>70</v>
      </c>
      <c r="G101" t="s">
        <v>69</v>
      </c>
      <c r="H101" t="s">
        <v>73</v>
      </c>
      <c r="I101" t="s">
        <v>125</v>
      </c>
      <c r="J101" s="5">
        <v>2</v>
      </c>
      <c r="K101" s="6">
        <v>116</v>
      </c>
      <c r="L101" s="6">
        <v>90</v>
      </c>
      <c r="M101" s="7">
        <v>70</v>
      </c>
      <c r="N101" s="8">
        <v>88</v>
      </c>
      <c r="O101" s="8">
        <v>72</v>
      </c>
      <c r="P101" s="8">
        <v>36</v>
      </c>
      <c r="Q101" s="4" t="s">
        <v>126</v>
      </c>
      <c r="R101" s="9">
        <v>16.60899653979239</v>
      </c>
      <c r="S101" s="4" t="s">
        <v>174</v>
      </c>
    </row>
    <row r="102" spans="1:19" x14ac:dyDescent="0.35">
      <c r="A102">
        <v>101</v>
      </c>
      <c r="B102">
        <v>27</v>
      </c>
      <c r="C102" t="s">
        <v>64</v>
      </c>
      <c r="D102" t="s">
        <v>101</v>
      </c>
      <c r="E102" s="10">
        <v>650</v>
      </c>
      <c r="F102" t="s">
        <v>69</v>
      </c>
      <c r="G102" t="s">
        <v>69</v>
      </c>
      <c r="H102" t="s">
        <v>103</v>
      </c>
      <c r="I102" t="s">
        <v>124</v>
      </c>
      <c r="J102" s="5">
        <v>1</v>
      </c>
      <c r="K102" s="6">
        <v>123</v>
      </c>
      <c r="L102" s="6">
        <v>82</v>
      </c>
      <c r="M102" s="7">
        <v>69</v>
      </c>
      <c r="N102" s="8">
        <v>94</v>
      </c>
      <c r="O102" s="8">
        <v>65</v>
      </c>
      <c r="P102" s="8">
        <v>54</v>
      </c>
      <c r="Q102" s="4" t="s">
        <v>126</v>
      </c>
      <c r="R102" s="9">
        <v>16.262975778546714</v>
      </c>
      <c r="S102" s="4" t="s">
        <v>174</v>
      </c>
    </row>
    <row r="103" spans="1:19" x14ac:dyDescent="0.35">
      <c r="A103">
        <v>102</v>
      </c>
      <c r="B103">
        <v>37</v>
      </c>
      <c r="C103" t="s">
        <v>89</v>
      </c>
      <c r="D103" t="s">
        <v>66</v>
      </c>
      <c r="E103" s="10">
        <v>450</v>
      </c>
      <c r="F103" t="s">
        <v>69</v>
      </c>
      <c r="G103" t="s">
        <v>69</v>
      </c>
      <c r="H103" t="s">
        <v>92</v>
      </c>
      <c r="I103" t="s">
        <v>125</v>
      </c>
      <c r="J103" s="5">
        <v>8</v>
      </c>
      <c r="K103" s="6">
        <v>110</v>
      </c>
      <c r="L103" s="6">
        <v>62</v>
      </c>
      <c r="M103" s="7">
        <v>97</v>
      </c>
      <c r="N103" s="8">
        <v>111</v>
      </c>
      <c r="O103" s="8">
        <v>119</v>
      </c>
      <c r="P103" s="8">
        <v>51</v>
      </c>
      <c r="Q103" s="4" t="s">
        <v>126</v>
      </c>
      <c r="R103" s="9">
        <v>27.732299776136855</v>
      </c>
      <c r="S103" s="4" t="s">
        <v>174</v>
      </c>
    </row>
    <row r="104" spans="1:19" x14ac:dyDescent="0.35">
      <c r="A104">
        <v>103</v>
      </c>
      <c r="B104">
        <v>29</v>
      </c>
      <c r="C104" t="s">
        <v>64</v>
      </c>
      <c r="D104" t="s">
        <v>101</v>
      </c>
      <c r="E104" s="10">
        <v>1400</v>
      </c>
      <c r="F104" t="s">
        <v>69</v>
      </c>
      <c r="G104" t="s">
        <v>70</v>
      </c>
      <c r="H104" t="s">
        <v>103</v>
      </c>
      <c r="I104" t="s">
        <v>74</v>
      </c>
      <c r="J104" s="5">
        <v>6</v>
      </c>
      <c r="K104" s="6">
        <v>122</v>
      </c>
      <c r="L104" s="6">
        <v>84</v>
      </c>
      <c r="M104" s="7">
        <v>87</v>
      </c>
      <c r="N104" s="8">
        <v>71</v>
      </c>
      <c r="O104" s="8">
        <v>144</v>
      </c>
      <c r="P104" s="8">
        <v>51</v>
      </c>
      <c r="Q104" s="4" t="s">
        <v>126</v>
      </c>
      <c r="R104" s="9">
        <v>23.98687034465345</v>
      </c>
      <c r="S104" s="4" t="s">
        <v>174</v>
      </c>
    </row>
    <row r="105" spans="1:19" x14ac:dyDescent="0.35">
      <c r="A105">
        <v>104</v>
      </c>
      <c r="B105">
        <v>30</v>
      </c>
      <c r="C105" t="s">
        <v>64</v>
      </c>
      <c r="D105" t="s">
        <v>101</v>
      </c>
      <c r="E105" s="10">
        <v>350</v>
      </c>
      <c r="F105" t="s">
        <v>70</v>
      </c>
      <c r="G105" t="s">
        <v>69</v>
      </c>
      <c r="H105" t="s">
        <v>92</v>
      </c>
      <c r="I105" t="s">
        <v>125</v>
      </c>
      <c r="J105" s="5">
        <v>7</v>
      </c>
      <c r="K105" s="6">
        <v>140</v>
      </c>
      <c r="L105" s="6">
        <v>94</v>
      </c>
      <c r="M105" s="7">
        <v>92</v>
      </c>
      <c r="N105" s="8">
        <v>66</v>
      </c>
      <c r="O105" s="8">
        <v>210</v>
      </c>
      <c r="P105" s="8">
        <v>41</v>
      </c>
      <c r="Q105" s="4" t="s">
        <v>127</v>
      </c>
      <c r="R105" s="9">
        <v>25.978679566424791</v>
      </c>
      <c r="S105" s="4" t="s">
        <v>175</v>
      </c>
    </row>
    <row r="106" spans="1:19" x14ac:dyDescent="0.35">
      <c r="A106">
        <v>105</v>
      </c>
      <c r="B106">
        <v>55</v>
      </c>
      <c r="C106" t="s">
        <v>64</v>
      </c>
      <c r="D106" t="s">
        <v>66</v>
      </c>
      <c r="E106" s="10">
        <v>500</v>
      </c>
      <c r="F106" t="s">
        <v>69</v>
      </c>
      <c r="G106" t="s">
        <v>69</v>
      </c>
      <c r="H106" t="s">
        <v>92</v>
      </c>
      <c r="I106" t="s">
        <v>125</v>
      </c>
      <c r="J106" s="5">
        <v>5</v>
      </c>
      <c r="K106" s="6">
        <v>125</v>
      </c>
      <c r="L106" s="6">
        <v>83</v>
      </c>
      <c r="M106" s="7">
        <v>104</v>
      </c>
      <c r="N106" s="8">
        <v>210</v>
      </c>
      <c r="O106" s="8">
        <v>144</v>
      </c>
      <c r="P106" s="8">
        <v>52</v>
      </c>
      <c r="Q106" s="4" t="s">
        <v>126</v>
      </c>
      <c r="R106" s="9">
        <v>31.708283789139912</v>
      </c>
      <c r="S106" s="4" t="s">
        <v>174</v>
      </c>
    </row>
    <row r="107" spans="1:19" x14ac:dyDescent="0.35">
      <c r="A107">
        <v>106</v>
      </c>
      <c r="B107">
        <v>20</v>
      </c>
      <c r="C107" t="s">
        <v>89</v>
      </c>
      <c r="D107" t="s">
        <v>90</v>
      </c>
      <c r="E107" s="10">
        <v>300</v>
      </c>
      <c r="F107" t="s">
        <v>69</v>
      </c>
      <c r="G107" t="s">
        <v>69</v>
      </c>
      <c r="H107" t="s">
        <v>92</v>
      </c>
      <c r="I107" t="s">
        <v>125</v>
      </c>
      <c r="J107" s="5">
        <v>4</v>
      </c>
      <c r="K107" s="6">
        <v>106</v>
      </c>
      <c r="L107" s="6">
        <v>53</v>
      </c>
      <c r="M107" s="7">
        <v>100</v>
      </c>
      <c r="N107" s="8">
        <v>88</v>
      </c>
      <c r="O107" s="8">
        <v>132</v>
      </c>
      <c r="P107" s="8">
        <v>37</v>
      </c>
      <c r="Q107" s="4" t="s">
        <v>126</v>
      </c>
      <c r="R107" s="9">
        <v>25.14860539551897</v>
      </c>
      <c r="S107" s="4" t="s">
        <v>174</v>
      </c>
    </row>
    <row r="108" spans="1:19" x14ac:dyDescent="0.35">
      <c r="A108">
        <v>107</v>
      </c>
      <c r="B108">
        <v>60</v>
      </c>
      <c r="C108" t="s">
        <v>89</v>
      </c>
      <c r="D108" t="s">
        <v>115</v>
      </c>
      <c r="E108" s="10">
        <v>500</v>
      </c>
      <c r="F108" t="s">
        <v>69</v>
      </c>
      <c r="G108" t="s">
        <v>69</v>
      </c>
      <c r="H108" t="s">
        <v>92</v>
      </c>
      <c r="I108" t="s">
        <v>125</v>
      </c>
      <c r="J108" s="5">
        <v>6</v>
      </c>
      <c r="K108" s="6">
        <v>147</v>
      </c>
      <c r="L108" s="6">
        <v>83</v>
      </c>
      <c r="M108" s="7">
        <v>82</v>
      </c>
      <c r="N108" s="8">
        <v>202</v>
      </c>
      <c r="O108" s="8">
        <v>203</v>
      </c>
      <c r="P108" s="8">
        <v>33</v>
      </c>
      <c r="Q108" s="4" t="s">
        <v>126</v>
      </c>
      <c r="R108" s="9">
        <v>23.722810651876106</v>
      </c>
      <c r="S108" s="4" t="s">
        <v>174</v>
      </c>
    </row>
    <row r="109" spans="1:19" x14ac:dyDescent="0.35">
      <c r="A109">
        <v>108</v>
      </c>
      <c r="B109">
        <v>37</v>
      </c>
      <c r="C109" t="s">
        <v>89</v>
      </c>
      <c r="D109" t="s">
        <v>115</v>
      </c>
      <c r="E109" s="10">
        <v>800</v>
      </c>
      <c r="F109" t="s">
        <v>69</v>
      </c>
      <c r="G109" t="s">
        <v>69</v>
      </c>
      <c r="H109" t="s">
        <v>92</v>
      </c>
      <c r="I109" t="s">
        <v>125</v>
      </c>
      <c r="J109" s="5">
        <v>4</v>
      </c>
      <c r="K109" s="6">
        <v>123</v>
      </c>
      <c r="L109" s="6">
        <v>87</v>
      </c>
      <c r="M109" s="7">
        <v>104</v>
      </c>
      <c r="N109" s="8">
        <v>125</v>
      </c>
      <c r="O109" s="8">
        <v>108</v>
      </c>
      <c r="P109" s="8">
        <v>42</v>
      </c>
      <c r="Q109" s="4" t="s">
        <v>126</v>
      </c>
      <c r="R109" s="9">
        <v>27.398175682448461</v>
      </c>
      <c r="S109" s="4" t="s">
        <v>174</v>
      </c>
    </row>
    <row r="110" spans="1:19" x14ac:dyDescent="0.35">
      <c r="A110">
        <v>109</v>
      </c>
      <c r="B110">
        <v>70</v>
      </c>
      <c r="C110" t="s">
        <v>89</v>
      </c>
      <c r="D110" t="s">
        <v>90</v>
      </c>
      <c r="E110" s="10">
        <v>700</v>
      </c>
      <c r="F110" t="s">
        <v>70</v>
      </c>
      <c r="G110" t="s">
        <v>69</v>
      </c>
      <c r="H110" t="s">
        <v>92</v>
      </c>
      <c r="I110" t="s">
        <v>125</v>
      </c>
      <c r="J110" s="5">
        <v>4</v>
      </c>
      <c r="K110" s="6">
        <v>169</v>
      </c>
      <c r="L110" s="6">
        <v>117</v>
      </c>
      <c r="M110" s="7">
        <v>110</v>
      </c>
      <c r="N110" s="8">
        <v>152</v>
      </c>
      <c r="O110" s="8">
        <v>121</v>
      </c>
      <c r="P110" s="8">
        <v>36</v>
      </c>
      <c r="Q110" s="4" t="s">
        <v>127</v>
      </c>
      <c r="R110" s="9">
        <v>31.919307989402789</v>
      </c>
      <c r="S110" s="4" t="s">
        <v>175</v>
      </c>
    </row>
    <row r="111" spans="1:19" x14ac:dyDescent="0.35">
      <c r="A111">
        <v>110</v>
      </c>
      <c r="B111">
        <v>30</v>
      </c>
      <c r="C111" t="s">
        <v>64</v>
      </c>
      <c r="D111" t="s">
        <v>101</v>
      </c>
      <c r="E111" s="10">
        <v>500</v>
      </c>
      <c r="F111" t="s">
        <v>70</v>
      </c>
      <c r="G111" t="s">
        <v>69</v>
      </c>
      <c r="H111" t="s">
        <v>103</v>
      </c>
      <c r="I111" t="s">
        <v>74</v>
      </c>
      <c r="J111" s="5">
        <v>4</v>
      </c>
      <c r="K111" s="6">
        <v>144</v>
      </c>
      <c r="L111" s="6">
        <v>75</v>
      </c>
      <c r="M111" s="7">
        <v>90</v>
      </c>
      <c r="N111" s="8">
        <v>98</v>
      </c>
      <c r="O111" s="8">
        <v>91</v>
      </c>
      <c r="P111" s="8">
        <v>51</v>
      </c>
      <c r="Q111" s="4" t="s">
        <v>126</v>
      </c>
      <c r="R111" s="9">
        <v>24.441802087462015</v>
      </c>
      <c r="S111" s="4" t="s">
        <v>174</v>
      </c>
    </row>
    <row r="112" spans="1:19" x14ac:dyDescent="0.35">
      <c r="A112">
        <v>111</v>
      </c>
      <c r="B112">
        <v>25</v>
      </c>
      <c r="C112" t="s">
        <v>64</v>
      </c>
      <c r="D112" t="s">
        <v>90</v>
      </c>
      <c r="E112" s="10">
        <v>150</v>
      </c>
      <c r="F112" t="s">
        <v>70</v>
      </c>
      <c r="G112" t="s">
        <v>69</v>
      </c>
      <c r="H112" t="s">
        <v>103</v>
      </c>
      <c r="I112" t="s">
        <v>125</v>
      </c>
      <c r="J112" s="5">
        <v>2</v>
      </c>
      <c r="K112" s="6">
        <v>137</v>
      </c>
      <c r="L112" s="6">
        <v>67</v>
      </c>
      <c r="M112" s="7">
        <v>78</v>
      </c>
      <c r="N112" s="8">
        <v>72</v>
      </c>
      <c r="O112" s="8">
        <v>98</v>
      </c>
      <c r="P112" s="8">
        <v>55</v>
      </c>
      <c r="Q112" s="4" t="s">
        <v>127</v>
      </c>
      <c r="R112" s="9">
        <v>17.505615008587661</v>
      </c>
      <c r="S112" s="4" t="s">
        <v>175</v>
      </c>
    </row>
    <row r="113" spans="1:19" x14ac:dyDescent="0.35">
      <c r="A113">
        <v>112</v>
      </c>
      <c r="B113">
        <v>36</v>
      </c>
      <c r="C113" t="s">
        <v>89</v>
      </c>
      <c r="D113" t="s">
        <v>115</v>
      </c>
      <c r="E113" s="10">
        <v>300</v>
      </c>
      <c r="F113" t="s">
        <v>69</v>
      </c>
      <c r="G113" t="s">
        <v>69</v>
      </c>
      <c r="H113" t="s">
        <v>103</v>
      </c>
      <c r="I113" t="s">
        <v>125</v>
      </c>
      <c r="J113" s="5">
        <v>4</v>
      </c>
      <c r="K113" s="6">
        <v>147</v>
      </c>
      <c r="L113" s="6">
        <v>84</v>
      </c>
      <c r="M113" s="7">
        <v>87</v>
      </c>
      <c r="N113" s="8">
        <v>125</v>
      </c>
      <c r="O113" s="8">
        <v>137</v>
      </c>
      <c r="P113" s="8">
        <v>53</v>
      </c>
      <c r="Q113" s="4" t="s">
        <v>127</v>
      </c>
      <c r="R113" s="9">
        <v>23.183673469387756</v>
      </c>
      <c r="S113" s="4" t="s">
        <v>175</v>
      </c>
    </row>
    <row r="114" spans="1:19" x14ac:dyDescent="0.35">
      <c r="A114">
        <v>113</v>
      </c>
      <c r="B114">
        <v>60</v>
      </c>
      <c r="C114" t="s">
        <v>89</v>
      </c>
      <c r="D114" t="s">
        <v>90</v>
      </c>
      <c r="E114" s="10">
        <v>600</v>
      </c>
      <c r="F114" t="s">
        <v>69</v>
      </c>
      <c r="G114" t="s">
        <v>69</v>
      </c>
      <c r="H114" t="s">
        <v>92</v>
      </c>
      <c r="I114" t="s">
        <v>125</v>
      </c>
      <c r="J114" s="5">
        <v>10</v>
      </c>
      <c r="K114" s="6">
        <v>148</v>
      </c>
      <c r="L114" s="6">
        <v>90</v>
      </c>
      <c r="M114" s="7">
        <v>110</v>
      </c>
      <c r="N114" s="8">
        <v>196</v>
      </c>
      <c r="O114" s="8">
        <v>139</v>
      </c>
      <c r="P114" s="8">
        <v>41</v>
      </c>
      <c r="Q114" s="4" t="s">
        <v>126</v>
      </c>
      <c r="R114" s="9">
        <v>37.113546444452233</v>
      </c>
      <c r="S114" s="4" t="s">
        <v>174</v>
      </c>
    </row>
    <row r="115" spans="1:19" x14ac:dyDescent="0.35">
      <c r="A115">
        <v>114</v>
      </c>
      <c r="B115">
        <v>25</v>
      </c>
      <c r="C115" t="s">
        <v>89</v>
      </c>
      <c r="D115" t="s">
        <v>66</v>
      </c>
      <c r="E115" s="10">
        <v>200</v>
      </c>
      <c r="F115" t="s">
        <v>69</v>
      </c>
      <c r="G115" t="s">
        <v>69</v>
      </c>
      <c r="H115" t="s">
        <v>103</v>
      </c>
      <c r="I115" t="s">
        <v>125</v>
      </c>
      <c r="J115" s="5">
        <v>5</v>
      </c>
      <c r="K115" s="6">
        <v>118</v>
      </c>
      <c r="L115" s="6">
        <v>60</v>
      </c>
      <c r="M115" s="7">
        <v>76</v>
      </c>
      <c r="N115" s="8">
        <v>96</v>
      </c>
      <c r="O115" s="8">
        <v>70</v>
      </c>
      <c r="P115" s="8">
        <v>52</v>
      </c>
      <c r="Q115" s="4" t="s">
        <v>126</v>
      </c>
      <c r="R115" s="9">
        <v>20.312499999999996</v>
      </c>
      <c r="S115" s="4" t="s">
        <v>174</v>
      </c>
    </row>
    <row r="116" spans="1:19" x14ac:dyDescent="0.35">
      <c r="A116">
        <v>115</v>
      </c>
      <c r="B116">
        <v>26</v>
      </c>
      <c r="C116" t="s">
        <v>89</v>
      </c>
      <c r="D116" t="s">
        <v>66</v>
      </c>
      <c r="E116" s="10">
        <v>750</v>
      </c>
      <c r="F116" t="s">
        <v>69</v>
      </c>
      <c r="G116" t="s">
        <v>69</v>
      </c>
      <c r="H116" t="s">
        <v>103</v>
      </c>
      <c r="I116" t="s">
        <v>74</v>
      </c>
      <c r="J116" s="5">
        <v>1</v>
      </c>
      <c r="K116" s="6">
        <v>123</v>
      </c>
      <c r="L116" s="6">
        <v>71</v>
      </c>
      <c r="M116" s="7">
        <v>96</v>
      </c>
      <c r="N116" s="8">
        <v>91</v>
      </c>
      <c r="O116" s="8">
        <v>64</v>
      </c>
      <c r="P116" s="8">
        <v>38</v>
      </c>
      <c r="Q116" s="4" t="s">
        <v>127</v>
      </c>
      <c r="R116" s="9">
        <v>24.767565919829291</v>
      </c>
      <c r="S116" s="4" t="s">
        <v>175</v>
      </c>
    </row>
    <row r="117" spans="1:19" x14ac:dyDescent="0.35">
      <c r="A117">
        <v>116</v>
      </c>
      <c r="B117">
        <v>33</v>
      </c>
      <c r="C117" t="s">
        <v>89</v>
      </c>
      <c r="D117" t="s">
        <v>66</v>
      </c>
      <c r="E117" s="10">
        <v>100</v>
      </c>
      <c r="F117" t="s">
        <v>69</v>
      </c>
      <c r="G117" t="s">
        <v>69</v>
      </c>
      <c r="H117" t="s">
        <v>73</v>
      </c>
      <c r="I117" t="s">
        <v>125</v>
      </c>
      <c r="J117" s="5">
        <v>1</v>
      </c>
      <c r="K117" s="6">
        <v>87</v>
      </c>
      <c r="L117" s="6">
        <v>59</v>
      </c>
      <c r="M117" s="7">
        <v>72</v>
      </c>
      <c r="N117" s="8">
        <v>98</v>
      </c>
      <c r="O117" s="8">
        <v>68</v>
      </c>
      <c r="P117" s="8">
        <v>40</v>
      </c>
      <c r="Q117" s="4" t="s">
        <v>126</v>
      </c>
      <c r="R117" s="9">
        <v>15.822158933586486</v>
      </c>
      <c r="S117" s="4" t="s">
        <v>174</v>
      </c>
    </row>
    <row r="118" spans="1:19" x14ac:dyDescent="0.35">
      <c r="A118">
        <v>117</v>
      </c>
      <c r="B118">
        <v>32</v>
      </c>
      <c r="C118" t="s">
        <v>89</v>
      </c>
      <c r="D118" t="s">
        <v>115</v>
      </c>
      <c r="E118" s="10">
        <v>500</v>
      </c>
      <c r="F118" t="s">
        <v>69</v>
      </c>
      <c r="G118" t="s">
        <v>69</v>
      </c>
      <c r="H118" t="s">
        <v>103</v>
      </c>
      <c r="I118" t="s">
        <v>125</v>
      </c>
      <c r="J118" s="5">
        <v>4</v>
      </c>
      <c r="K118" s="6">
        <v>112</v>
      </c>
      <c r="L118" s="6">
        <v>95</v>
      </c>
      <c r="M118" s="7">
        <v>73</v>
      </c>
      <c r="N118" s="8">
        <v>98</v>
      </c>
      <c r="O118" s="8">
        <v>60</v>
      </c>
      <c r="P118" s="8">
        <v>50</v>
      </c>
      <c r="Q118" s="4" t="s">
        <v>127</v>
      </c>
      <c r="R118" s="9">
        <v>18.206645425580341</v>
      </c>
      <c r="S118" s="4" t="s">
        <v>175</v>
      </c>
    </row>
    <row r="119" spans="1:19" x14ac:dyDescent="0.35">
      <c r="A119">
        <v>118</v>
      </c>
      <c r="B119">
        <v>50</v>
      </c>
      <c r="C119" t="s">
        <v>89</v>
      </c>
      <c r="D119" t="s">
        <v>66</v>
      </c>
      <c r="E119" s="10">
        <v>700</v>
      </c>
      <c r="F119" t="s">
        <v>69</v>
      </c>
      <c r="G119" t="s">
        <v>69</v>
      </c>
      <c r="H119" t="s">
        <v>103</v>
      </c>
      <c r="I119" t="s">
        <v>125</v>
      </c>
      <c r="J119" s="5">
        <v>4</v>
      </c>
      <c r="K119" s="6">
        <v>179</v>
      </c>
      <c r="L119" s="6">
        <v>88</v>
      </c>
      <c r="M119" s="7">
        <v>90</v>
      </c>
      <c r="N119" s="8">
        <v>159</v>
      </c>
      <c r="O119" s="8">
        <v>102</v>
      </c>
      <c r="P119" s="8">
        <v>51</v>
      </c>
      <c r="Q119" s="4" t="s">
        <v>126</v>
      </c>
      <c r="R119" s="9">
        <v>23.92242299970097</v>
      </c>
      <c r="S119" s="4" t="s">
        <v>174</v>
      </c>
    </row>
    <row r="120" spans="1:19" x14ac:dyDescent="0.35">
      <c r="A120">
        <v>119</v>
      </c>
      <c r="B120">
        <v>36</v>
      </c>
      <c r="C120" t="s">
        <v>89</v>
      </c>
      <c r="D120" t="s">
        <v>90</v>
      </c>
      <c r="E120" s="10">
        <v>150</v>
      </c>
      <c r="F120" t="s">
        <v>69</v>
      </c>
      <c r="G120" t="s">
        <v>69</v>
      </c>
      <c r="H120" t="s">
        <v>73</v>
      </c>
      <c r="I120" t="s">
        <v>74</v>
      </c>
      <c r="J120" s="5">
        <v>2</v>
      </c>
      <c r="K120" s="6">
        <v>117</v>
      </c>
      <c r="L120" s="6">
        <v>69</v>
      </c>
      <c r="M120" s="7">
        <v>83</v>
      </c>
      <c r="N120" s="8">
        <v>89</v>
      </c>
      <c r="O120" s="8">
        <v>115</v>
      </c>
      <c r="P120" s="8">
        <v>32</v>
      </c>
      <c r="Q120" s="4" t="s">
        <v>127</v>
      </c>
      <c r="R120" s="9">
        <v>22.600262984878366</v>
      </c>
      <c r="S120" s="4" t="s">
        <v>175</v>
      </c>
    </row>
    <row r="121" spans="1:19" x14ac:dyDescent="0.35">
      <c r="A121">
        <v>120</v>
      </c>
      <c r="B121">
        <v>37</v>
      </c>
      <c r="C121" t="s">
        <v>89</v>
      </c>
      <c r="D121" t="s">
        <v>90</v>
      </c>
      <c r="E121" s="10">
        <v>250</v>
      </c>
      <c r="F121" t="s">
        <v>69</v>
      </c>
      <c r="G121" t="s">
        <v>69</v>
      </c>
      <c r="H121" t="s">
        <v>103</v>
      </c>
      <c r="I121" t="s">
        <v>125</v>
      </c>
      <c r="J121" s="5">
        <v>3</v>
      </c>
      <c r="K121" s="6">
        <v>178</v>
      </c>
      <c r="L121" s="6">
        <v>93</v>
      </c>
      <c r="M121" s="7">
        <v>95</v>
      </c>
      <c r="N121" s="8">
        <v>319</v>
      </c>
      <c r="O121" s="8">
        <v>82</v>
      </c>
      <c r="P121" s="8">
        <v>51</v>
      </c>
      <c r="Q121" s="4" t="s">
        <v>127</v>
      </c>
      <c r="R121" s="9">
        <v>21.60410477990818</v>
      </c>
      <c r="S121" s="4" t="s">
        <v>175</v>
      </c>
    </row>
    <row r="122" spans="1:19" x14ac:dyDescent="0.35">
      <c r="A122">
        <v>121</v>
      </c>
      <c r="B122">
        <v>70</v>
      </c>
      <c r="C122" t="s">
        <v>64</v>
      </c>
      <c r="D122" t="s">
        <v>66</v>
      </c>
      <c r="E122" s="10">
        <v>900</v>
      </c>
      <c r="F122" t="s">
        <v>70</v>
      </c>
      <c r="G122" t="s">
        <v>70</v>
      </c>
      <c r="H122" t="s">
        <v>73</v>
      </c>
      <c r="I122" t="s">
        <v>125</v>
      </c>
      <c r="J122" s="5">
        <v>6</v>
      </c>
      <c r="K122" s="6">
        <v>137</v>
      </c>
      <c r="L122" s="6">
        <v>67</v>
      </c>
      <c r="M122" s="7">
        <v>107</v>
      </c>
      <c r="N122" s="8">
        <v>104</v>
      </c>
      <c r="O122" s="8">
        <v>96</v>
      </c>
      <c r="P122" s="8">
        <v>40</v>
      </c>
      <c r="Q122" s="4" t="s">
        <v>127</v>
      </c>
      <c r="R122" s="9">
        <v>30.668904958677686</v>
      </c>
      <c r="S122" s="4" t="s">
        <v>175</v>
      </c>
    </row>
    <row r="123" spans="1:19" x14ac:dyDescent="0.35">
      <c r="A123">
        <v>122</v>
      </c>
      <c r="B123">
        <v>34</v>
      </c>
      <c r="C123" t="s">
        <v>89</v>
      </c>
      <c r="D123" t="s">
        <v>115</v>
      </c>
      <c r="E123" s="10">
        <v>700</v>
      </c>
      <c r="F123" t="s">
        <v>69</v>
      </c>
      <c r="G123" t="s">
        <v>69</v>
      </c>
      <c r="H123" t="s">
        <v>92</v>
      </c>
      <c r="I123" t="s">
        <v>74</v>
      </c>
      <c r="J123" s="5">
        <v>4</v>
      </c>
      <c r="K123" s="6">
        <v>94</v>
      </c>
      <c r="L123" s="6">
        <v>59</v>
      </c>
      <c r="M123" s="7">
        <v>69</v>
      </c>
      <c r="N123" s="8">
        <v>89</v>
      </c>
      <c r="O123" s="8">
        <v>69</v>
      </c>
      <c r="P123" s="8">
        <v>75</v>
      </c>
      <c r="Q123" s="4" t="s">
        <v>127</v>
      </c>
      <c r="R123" s="9">
        <v>17.514631124781069</v>
      </c>
      <c r="S123" s="4" t="s">
        <v>175</v>
      </c>
    </row>
    <row r="124" spans="1:19" x14ac:dyDescent="0.35">
      <c r="A124">
        <v>123</v>
      </c>
      <c r="B124">
        <v>30</v>
      </c>
      <c r="C124" t="s">
        <v>89</v>
      </c>
      <c r="D124" t="s">
        <v>90</v>
      </c>
      <c r="E124" s="10">
        <v>700</v>
      </c>
      <c r="F124" t="s">
        <v>69</v>
      </c>
      <c r="G124" t="s">
        <v>69</v>
      </c>
      <c r="H124" t="s">
        <v>92</v>
      </c>
      <c r="I124" t="s">
        <v>125</v>
      </c>
      <c r="J124" s="5">
        <v>4</v>
      </c>
      <c r="K124" s="6">
        <v>118</v>
      </c>
      <c r="L124" s="6">
        <v>65</v>
      </c>
      <c r="M124" s="7">
        <v>76</v>
      </c>
      <c r="N124" s="8">
        <v>89</v>
      </c>
      <c r="O124" s="8">
        <v>51</v>
      </c>
      <c r="P124" s="8">
        <v>56</v>
      </c>
      <c r="Q124" s="4" t="s">
        <v>126</v>
      </c>
      <c r="R124" s="9">
        <v>18.730489073881373</v>
      </c>
      <c r="S124" s="4" t="s">
        <v>174</v>
      </c>
    </row>
    <row r="125" spans="1:19" x14ac:dyDescent="0.35">
      <c r="A125">
        <v>124</v>
      </c>
      <c r="B125">
        <v>34</v>
      </c>
      <c r="C125" t="s">
        <v>64</v>
      </c>
      <c r="D125" t="s">
        <v>66</v>
      </c>
      <c r="E125" s="10">
        <v>500</v>
      </c>
      <c r="F125" t="s">
        <v>70</v>
      </c>
      <c r="G125" t="s">
        <v>70</v>
      </c>
      <c r="H125" t="s">
        <v>73</v>
      </c>
      <c r="I125" t="s">
        <v>125</v>
      </c>
      <c r="J125" s="5">
        <v>3</v>
      </c>
      <c r="K125" s="6">
        <v>103</v>
      </c>
      <c r="L125" s="6">
        <v>75</v>
      </c>
      <c r="M125" s="7">
        <v>100</v>
      </c>
      <c r="N125" s="8">
        <v>78</v>
      </c>
      <c r="O125" s="8">
        <v>85</v>
      </c>
      <c r="P125" s="8">
        <v>27</v>
      </c>
      <c r="Q125" s="4" t="s">
        <v>126</v>
      </c>
      <c r="R125" s="9">
        <v>30.836530531750871</v>
      </c>
      <c r="S125" s="4" t="s">
        <v>174</v>
      </c>
    </row>
    <row r="126" spans="1:19" x14ac:dyDescent="0.35">
      <c r="A126">
        <v>125</v>
      </c>
      <c r="B126">
        <v>30</v>
      </c>
      <c r="C126" t="s">
        <v>64</v>
      </c>
      <c r="D126" t="s">
        <v>115</v>
      </c>
      <c r="E126" s="10">
        <v>300</v>
      </c>
      <c r="F126" t="s">
        <v>69</v>
      </c>
      <c r="G126" t="s">
        <v>70</v>
      </c>
      <c r="H126" t="s">
        <v>73</v>
      </c>
      <c r="I126" t="s">
        <v>125</v>
      </c>
      <c r="J126" s="5">
        <v>4</v>
      </c>
      <c r="K126" s="6">
        <v>124</v>
      </c>
      <c r="L126" s="6">
        <v>58</v>
      </c>
      <c r="M126" s="7">
        <v>77</v>
      </c>
      <c r="N126" s="8">
        <v>99</v>
      </c>
      <c r="O126" s="8">
        <v>69</v>
      </c>
      <c r="P126" s="8">
        <v>44</v>
      </c>
      <c r="Q126" s="4" t="s">
        <v>126</v>
      </c>
      <c r="R126" s="9">
        <v>16.891891891891891</v>
      </c>
      <c r="S126" s="4" t="s">
        <v>174</v>
      </c>
    </row>
    <row r="127" spans="1:19" x14ac:dyDescent="0.35">
      <c r="A127">
        <v>126</v>
      </c>
      <c r="B127">
        <v>50</v>
      </c>
      <c r="C127" t="s">
        <v>89</v>
      </c>
      <c r="D127" t="s">
        <v>66</v>
      </c>
      <c r="E127" s="10">
        <v>700</v>
      </c>
      <c r="F127" t="s">
        <v>69</v>
      </c>
      <c r="G127" t="s">
        <v>69</v>
      </c>
      <c r="H127" t="s">
        <v>73</v>
      </c>
      <c r="I127" t="s">
        <v>125</v>
      </c>
      <c r="J127" s="5">
        <v>5</v>
      </c>
      <c r="K127" s="6">
        <v>142</v>
      </c>
      <c r="L127" s="6">
        <v>67</v>
      </c>
      <c r="M127" s="7">
        <v>99</v>
      </c>
      <c r="N127" s="8">
        <v>158</v>
      </c>
      <c r="O127" s="8">
        <v>48</v>
      </c>
      <c r="P127" s="8">
        <v>22</v>
      </c>
      <c r="Q127" s="4" t="s">
        <v>126</v>
      </c>
      <c r="R127" s="9">
        <v>23.661438615467823</v>
      </c>
      <c r="S127" s="4" t="s">
        <v>174</v>
      </c>
    </row>
    <row r="128" spans="1:19" x14ac:dyDescent="0.35">
      <c r="A128">
        <v>127</v>
      </c>
      <c r="B128">
        <v>60</v>
      </c>
      <c r="C128" t="s">
        <v>89</v>
      </c>
      <c r="D128" t="s">
        <v>90</v>
      </c>
      <c r="E128" s="10">
        <v>1200</v>
      </c>
      <c r="F128" t="s">
        <v>69</v>
      </c>
      <c r="G128" t="s">
        <v>69</v>
      </c>
      <c r="H128" t="s">
        <v>73</v>
      </c>
      <c r="I128" t="s">
        <v>125</v>
      </c>
      <c r="J128" s="5">
        <v>4</v>
      </c>
      <c r="K128" s="6">
        <v>182</v>
      </c>
      <c r="L128" s="6">
        <v>104</v>
      </c>
      <c r="M128" s="7">
        <v>106</v>
      </c>
      <c r="N128" s="8">
        <v>132</v>
      </c>
      <c r="O128" s="8">
        <v>73</v>
      </c>
      <c r="P128" s="8">
        <v>28</v>
      </c>
      <c r="Q128" s="4" t="s">
        <v>127</v>
      </c>
      <c r="R128" s="9">
        <v>28.875440053795337</v>
      </c>
      <c r="S128" s="4" t="s">
        <v>175</v>
      </c>
    </row>
    <row r="129" spans="1:19" x14ac:dyDescent="0.35">
      <c r="A129">
        <v>128</v>
      </c>
      <c r="B129">
        <v>47</v>
      </c>
      <c r="C129" t="s">
        <v>64</v>
      </c>
      <c r="D129" t="s">
        <v>90</v>
      </c>
      <c r="E129" s="10">
        <v>500</v>
      </c>
      <c r="F129" t="s">
        <v>69</v>
      </c>
      <c r="G129" t="s">
        <v>69</v>
      </c>
      <c r="H129" t="s">
        <v>73</v>
      </c>
      <c r="I129" t="s">
        <v>74</v>
      </c>
      <c r="J129" s="5">
        <v>1</v>
      </c>
      <c r="K129" s="6">
        <v>99</v>
      </c>
      <c r="L129" s="6">
        <v>72</v>
      </c>
      <c r="M129" s="7">
        <v>79</v>
      </c>
      <c r="N129" s="8">
        <v>228</v>
      </c>
      <c r="O129" s="8">
        <v>121</v>
      </c>
      <c r="P129" s="8">
        <v>28</v>
      </c>
      <c r="Q129" s="4" t="s">
        <v>126</v>
      </c>
      <c r="R129" s="9">
        <v>22.145328719723185</v>
      </c>
      <c r="S129" s="4" t="s">
        <v>174</v>
      </c>
    </row>
    <row r="130" spans="1:19" x14ac:dyDescent="0.35">
      <c r="A130">
        <v>129</v>
      </c>
      <c r="B130">
        <v>35</v>
      </c>
      <c r="C130" t="s">
        <v>89</v>
      </c>
      <c r="D130" t="s">
        <v>90</v>
      </c>
      <c r="E130" s="10">
        <v>400</v>
      </c>
      <c r="F130" t="s">
        <v>69</v>
      </c>
      <c r="G130" t="s">
        <v>69</v>
      </c>
      <c r="H130" t="s">
        <v>92</v>
      </c>
      <c r="I130" t="s">
        <v>125</v>
      </c>
      <c r="J130" s="5">
        <v>5</v>
      </c>
      <c r="K130" s="6">
        <v>118</v>
      </c>
      <c r="L130" s="6">
        <v>70</v>
      </c>
      <c r="M130" s="7">
        <v>76</v>
      </c>
      <c r="N130" s="8">
        <v>184</v>
      </c>
      <c r="O130" s="8">
        <v>129</v>
      </c>
      <c r="P130" s="8">
        <v>26</v>
      </c>
      <c r="Q130" s="4" t="s">
        <v>127</v>
      </c>
      <c r="R130" s="9">
        <v>18.796189499765049</v>
      </c>
      <c r="S130" s="4" t="s">
        <v>175</v>
      </c>
    </row>
    <row r="131" spans="1:19" x14ac:dyDescent="0.35">
      <c r="A131">
        <v>130</v>
      </c>
      <c r="B131">
        <v>56</v>
      </c>
      <c r="C131" t="s">
        <v>89</v>
      </c>
      <c r="D131" t="s">
        <v>115</v>
      </c>
      <c r="E131" s="10">
        <v>300</v>
      </c>
      <c r="F131" t="s">
        <v>69</v>
      </c>
      <c r="G131" t="s">
        <v>69</v>
      </c>
      <c r="H131" t="s">
        <v>73</v>
      </c>
      <c r="I131" t="s">
        <v>125</v>
      </c>
      <c r="J131" s="5">
        <v>6</v>
      </c>
      <c r="K131" s="6">
        <v>142</v>
      </c>
      <c r="L131" s="6">
        <v>82</v>
      </c>
      <c r="M131" s="7">
        <v>91</v>
      </c>
      <c r="N131" s="8">
        <v>118</v>
      </c>
      <c r="O131" s="8">
        <v>48</v>
      </c>
      <c r="P131" s="8">
        <v>36</v>
      </c>
      <c r="Q131" s="4" t="s">
        <v>126</v>
      </c>
      <c r="R131" s="9">
        <v>25.727555214006482</v>
      </c>
      <c r="S131" s="4" t="s">
        <v>174</v>
      </c>
    </row>
    <row r="132" spans="1:19" x14ac:dyDescent="0.35">
      <c r="A132">
        <v>131</v>
      </c>
      <c r="B132">
        <v>25</v>
      </c>
      <c r="C132" t="s">
        <v>89</v>
      </c>
      <c r="D132" t="s">
        <v>90</v>
      </c>
      <c r="E132" s="10">
        <v>500</v>
      </c>
      <c r="F132" t="s">
        <v>69</v>
      </c>
      <c r="G132" t="s">
        <v>69</v>
      </c>
      <c r="H132" t="s">
        <v>92</v>
      </c>
      <c r="I132" t="s">
        <v>125</v>
      </c>
      <c r="J132" s="5">
        <v>2</v>
      </c>
      <c r="K132" s="6">
        <v>123</v>
      </c>
      <c r="L132" s="6">
        <v>79</v>
      </c>
      <c r="M132" s="7">
        <v>78</v>
      </c>
      <c r="N132" s="8">
        <v>95</v>
      </c>
      <c r="O132" s="8">
        <v>83</v>
      </c>
      <c r="P132" s="8">
        <v>27</v>
      </c>
      <c r="Q132" s="4" t="s">
        <v>127</v>
      </c>
      <c r="R132" s="9">
        <v>22.481329065691202</v>
      </c>
      <c r="S132" s="4" t="s">
        <v>175</v>
      </c>
    </row>
    <row r="133" spans="1:19" x14ac:dyDescent="0.35">
      <c r="A133">
        <v>132</v>
      </c>
      <c r="B133">
        <v>32</v>
      </c>
      <c r="C133" t="s">
        <v>89</v>
      </c>
      <c r="D133" t="s">
        <v>101</v>
      </c>
      <c r="E133" s="10">
        <v>300</v>
      </c>
      <c r="F133" t="s">
        <v>69</v>
      </c>
      <c r="G133" t="s">
        <v>69</v>
      </c>
      <c r="H133" t="s">
        <v>92</v>
      </c>
      <c r="I133" t="s">
        <v>74</v>
      </c>
      <c r="J133" s="5">
        <v>1</v>
      </c>
      <c r="K133" s="6">
        <v>117</v>
      </c>
      <c r="L133" s="6">
        <v>84</v>
      </c>
      <c r="M133" s="7">
        <v>78</v>
      </c>
      <c r="N133" s="8">
        <v>97</v>
      </c>
      <c r="O133" s="8">
        <v>61</v>
      </c>
      <c r="P133" s="8">
        <v>39</v>
      </c>
      <c r="Q133" s="4" t="s">
        <v>127</v>
      </c>
      <c r="R133" s="9">
        <v>22.64086462471699</v>
      </c>
      <c r="S133" s="4" t="s">
        <v>175</v>
      </c>
    </row>
    <row r="134" spans="1:19" x14ac:dyDescent="0.35">
      <c r="A134">
        <v>133</v>
      </c>
      <c r="B134">
        <v>33</v>
      </c>
      <c r="C134" t="s">
        <v>89</v>
      </c>
      <c r="D134" t="s">
        <v>90</v>
      </c>
      <c r="E134" s="10">
        <v>500</v>
      </c>
      <c r="F134" t="s">
        <v>69</v>
      </c>
      <c r="G134" t="s">
        <v>69</v>
      </c>
      <c r="H134" t="s">
        <v>92</v>
      </c>
      <c r="I134" t="s">
        <v>125</v>
      </c>
      <c r="J134" s="5">
        <v>2</v>
      </c>
      <c r="K134" s="6">
        <v>124</v>
      </c>
      <c r="L134" s="6">
        <v>82</v>
      </c>
      <c r="M134" s="7">
        <v>99</v>
      </c>
      <c r="N134" s="8">
        <v>89</v>
      </c>
      <c r="O134" s="8">
        <v>42</v>
      </c>
      <c r="P134" s="8">
        <v>38</v>
      </c>
      <c r="Q134" s="4" t="s">
        <v>126</v>
      </c>
      <c r="R134" s="9">
        <v>26.1286108288576</v>
      </c>
      <c r="S134" s="4" t="s">
        <v>174</v>
      </c>
    </row>
    <row r="135" spans="1:19" x14ac:dyDescent="0.35">
      <c r="A135">
        <v>134</v>
      </c>
      <c r="B135">
        <v>40</v>
      </c>
      <c r="C135" t="s">
        <v>89</v>
      </c>
      <c r="D135" t="s">
        <v>90</v>
      </c>
      <c r="E135" s="10">
        <v>300</v>
      </c>
      <c r="F135" t="s">
        <v>69</v>
      </c>
      <c r="G135" t="s">
        <v>69</v>
      </c>
      <c r="H135" t="s">
        <v>92</v>
      </c>
      <c r="I135" t="s">
        <v>125</v>
      </c>
      <c r="J135" s="5">
        <v>8</v>
      </c>
      <c r="K135" s="6">
        <v>142</v>
      </c>
      <c r="L135" s="6">
        <v>87</v>
      </c>
      <c r="M135" s="7">
        <v>103</v>
      </c>
      <c r="N135" s="8">
        <v>131</v>
      </c>
      <c r="O135" s="8">
        <v>201</v>
      </c>
      <c r="P135" s="8">
        <v>22</v>
      </c>
      <c r="Q135" s="4" t="s">
        <v>126</v>
      </c>
      <c r="R135" s="9">
        <v>25.909456951787405</v>
      </c>
      <c r="S135" s="4" t="s">
        <v>174</v>
      </c>
    </row>
    <row r="136" spans="1:19" x14ac:dyDescent="0.35">
      <c r="A136">
        <v>135</v>
      </c>
      <c r="B136">
        <v>70</v>
      </c>
      <c r="C136" t="s">
        <v>64</v>
      </c>
      <c r="D136" t="s">
        <v>90</v>
      </c>
      <c r="E136" s="10">
        <v>600</v>
      </c>
      <c r="F136" t="s">
        <v>70</v>
      </c>
      <c r="G136" t="s">
        <v>70</v>
      </c>
      <c r="H136" t="s">
        <v>92</v>
      </c>
      <c r="I136" t="s">
        <v>125</v>
      </c>
      <c r="J136" s="5">
        <v>8</v>
      </c>
      <c r="K136" s="6">
        <v>162</v>
      </c>
      <c r="L136" s="6">
        <v>82</v>
      </c>
      <c r="M136" s="7">
        <v>112</v>
      </c>
      <c r="N136" s="8">
        <v>95</v>
      </c>
      <c r="O136" s="8">
        <v>107</v>
      </c>
      <c r="P136" s="8">
        <v>26</v>
      </c>
      <c r="Q136" s="4" t="s">
        <v>127</v>
      </c>
      <c r="R136" s="9">
        <v>27.609451755172291</v>
      </c>
      <c r="S136" s="4" t="s">
        <v>175</v>
      </c>
    </row>
    <row r="137" spans="1:19" x14ac:dyDescent="0.35">
      <c r="A137">
        <v>136</v>
      </c>
      <c r="B137">
        <v>38</v>
      </c>
      <c r="C137" t="s">
        <v>89</v>
      </c>
      <c r="D137" t="s">
        <v>90</v>
      </c>
      <c r="E137" s="10">
        <v>400</v>
      </c>
      <c r="F137" t="s">
        <v>69</v>
      </c>
      <c r="G137" t="s">
        <v>69</v>
      </c>
      <c r="H137" t="s">
        <v>92</v>
      </c>
      <c r="I137" t="s">
        <v>125</v>
      </c>
      <c r="J137" s="5">
        <v>2</v>
      </c>
      <c r="K137" s="6">
        <v>142</v>
      </c>
      <c r="L137" s="6">
        <v>75</v>
      </c>
      <c r="M137" s="7">
        <v>98</v>
      </c>
      <c r="N137" s="8">
        <v>144</v>
      </c>
      <c r="O137" s="8">
        <v>86</v>
      </c>
      <c r="P137" s="8">
        <v>27</v>
      </c>
      <c r="Q137" s="4" t="s">
        <v>127</v>
      </c>
      <c r="R137" s="9">
        <v>31.645569620253159</v>
      </c>
      <c r="S137" s="4" t="s">
        <v>175</v>
      </c>
    </row>
    <row r="138" spans="1:19" x14ac:dyDescent="0.35">
      <c r="A138">
        <v>137</v>
      </c>
      <c r="B138">
        <v>40</v>
      </c>
      <c r="C138" t="s">
        <v>89</v>
      </c>
      <c r="D138" t="s">
        <v>90</v>
      </c>
      <c r="E138" s="10">
        <v>600</v>
      </c>
      <c r="F138" t="s">
        <v>69</v>
      </c>
      <c r="G138" t="s">
        <v>69</v>
      </c>
      <c r="H138" t="s">
        <v>103</v>
      </c>
      <c r="I138" t="s">
        <v>125</v>
      </c>
      <c r="J138" s="5">
        <v>4</v>
      </c>
      <c r="K138" s="6">
        <v>134</v>
      </c>
      <c r="L138" s="6">
        <v>80</v>
      </c>
      <c r="M138" s="7">
        <v>111</v>
      </c>
      <c r="N138" s="8">
        <v>90</v>
      </c>
      <c r="O138" s="8">
        <v>84</v>
      </c>
      <c r="P138" s="8">
        <v>26</v>
      </c>
      <c r="Q138" s="4" t="s">
        <v>127</v>
      </c>
      <c r="R138" s="9">
        <v>31.588613406795229</v>
      </c>
      <c r="S138" s="4" t="s">
        <v>175</v>
      </c>
    </row>
    <row r="139" spans="1:19" x14ac:dyDescent="0.35">
      <c r="A139">
        <v>138</v>
      </c>
      <c r="B139">
        <v>27</v>
      </c>
      <c r="C139" t="s">
        <v>89</v>
      </c>
      <c r="D139" t="s">
        <v>101</v>
      </c>
      <c r="E139" s="10">
        <v>500</v>
      </c>
      <c r="F139" t="s">
        <v>69</v>
      </c>
      <c r="G139" t="s">
        <v>69</v>
      </c>
      <c r="H139" t="s">
        <v>73</v>
      </c>
      <c r="I139" t="s">
        <v>125</v>
      </c>
      <c r="J139" s="5">
        <v>1</v>
      </c>
      <c r="K139" s="6">
        <v>118</v>
      </c>
      <c r="L139" s="6">
        <v>70</v>
      </c>
      <c r="M139" s="7">
        <v>101</v>
      </c>
      <c r="N139" s="8">
        <v>91</v>
      </c>
      <c r="O139" s="8">
        <v>81</v>
      </c>
      <c r="P139" s="8">
        <v>89</v>
      </c>
      <c r="Q139" s="4" t="s">
        <v>126</v>
      </c>
      <c r="R139" s="9">
        <v>28.282828282828287</v>
      </c>
      <c r="S139" s="4" t="s">
        <v>174</v>
      </c>
    </row>
    <row r="140" spans="1:19" x14ac:dyDescent="0.35">
      <c r="A140">
        <v>139</v>
      </c>
      <c r="B140">
        <v>29</v>
      </c>
      <c r="C140" t="s">
        <v>89</v>
      </c>
      <c r="D140" t="s">
        <v>66</v>
      </c>
      <c r="E140" s="10">
        <v>650</v>
      </c>
      <c r="F140" t="s">
        <v>69</v>
      </c>
      <c r="G140" t="s">
        <v>69</v>
      </c>
      <c r="H140" t="s">
        <v>73</v>
      </c>
      <c r="I140" t="s">
        <v>124</v>
      </c>
      <c r="J140" s="5">
        <v>3</v>
      </c>
      <c r="K140" s="6">
        <v>114</v>
      </c>
      <c r="L140" s="6">
        <v>69</v>
      </c>
      <c r="M140" s="7">
        <v>72</v>
      </c>
      <c r="N140" s="8">
        <v>95</v>
      </c>
      <c r="O140" s="8">
        <v>98</v>
      </c>
      <c r="P140" s="8">
        <v>26</v>
      </c>
      <c r="Q140" s="4" t="s">
        <v>126</v>
      </c>
      <c r="R140" s="9">
        <v>18.645344042454013</v>
      </c>
      <c r="S140" s="4" t="s">
        <v>174</v>
      </c>
    </row>
    <row r="141" spans="1:19" x14ac:dyDescent="0.35">
      <c r="A141">
        <v>140</v>
      </c>
      <c r="B141">
        <v>27</v>
      </c>
      <c r="C141" t="s">
        <v>64</v>
      </c>
      <c r="D141" t="s">
        <v>101</v>
      </c>
      <c r="E141" s="10">
        <v>600</v>
      </c>
      <c r="F141" t="s">
        <v>69</v>
      </c>
      <c r="G141" t="s">
        <v>69</v>
      </c>
      <c r="H141" t="s">
        <v>92</v>
      </c>
      <c r="I141" t="s">
        <v>125</v>
      </c>
      <c r="J141" s="5">
        <v>3</v>
      </c>
      <c r="K141" s="6">
        <v>134</v>
      </c>
      <c r="L141" s="6">
        <v>81</v>
      </c>
      <c r="M141" s="7">
        <v>75</v>
      </c>
      <c r="N141" s="8">
        <v>91</v>
      </c>
      <c r="O141" s="8">
        <v>57</v>
      </c>
      <c r="P141" s="8">
        <v>34</v>
      </c>
      <c r="Q141" s="4" t="s">
        <v>126</v>
      </c>
      <c r="R141" s="9">
        <v>16.757292842242059</v>
      </c>
      <c r="S141" s="4" t="s">
        <v>174</v>
      </c>
    </row>
    <row r="142" spans="1:19" x14ac:dyDescent="0.35">
      <c r="A142">
        <v>141</v>
      </c>
      <c r="B142">
        <v>62</v>
      </c>
      <c r="C142" t="s">
        <v>64</v>
      </c>
      <c r="D142" t="s">
        <v>101</v>
      </c>
      <c r="E142" s="10">
        <v>400</v>
      </c>
      <c r="F142" t="s">
        <v>69</v>
      </c>
      <c r="G142" t="s">
        <v>70</v>
      </c>
      <c r="H142" t="s">
        <v>92</v>
      </c>
      <c r="I142" t="s">
        <v>125</v>
      </c>
      <c r="J142" s="5">
        <v>10</v>
      </c>
      <c r="K142" s="6">
        <v>106</v>
      </c>
      <c r="L142" s="6">
        <v>76</v>
      </c>
      <c r="M142" s="7">
        <v>97</v>
      </c>
      <c r="N142" s="8">
        <v>132</v>
      </c>
      <c r="O142" s="8">
        <v>66</v>
      </c>
      <c r="P142" s="8">
        <v>23</v>
      </c>
      <c r="Q142" s="4" t="s">
        <v>126</v>
      </c>
      <c r="R142" s="9">
        <v>22.460034350640772</v>
      </c>
      <c r="S142" s="4" t="s">
        <v>174</v>
      </c>
    </row>
    <row r="143" spans="1:19" x14ac:dyDescent="0.35">
      <c r="A143">
        <v>142</v>
      </c>
      <c r="B143">
        <v>48</v>
      </c>
      <c r="C143" t="s">
        <v>64</v>
      </c>
      <c r="D143" t="s">
        <v>101</v>
      </c>
      <c r="E143" s="10">
        <v>300</v>
      </c>
      <c r="F143" t="s">
        <v>69</v>
      </c>
      <c r="G143" t="s">
        <v>69</v>
      </c>
      <c r="H143" t="s">
        <v>92</v>
      </c>
      <c r="I143" t="s">
        <v>125</v>
      </c>
      <c r="J143" s="5">
        <v>4</v>
      </c>
      <c r="K143" s="6">
        <v>120</v>
      </c>
      <c r="L143" s="6">
        <v>86</v>
      </c>
      <c r="M143" s="7">
        <v>92</v>
      </c>
      <c r="N143" s="8">
        <v>80</v>
      </c>
      <c r="O143" s="8">
        <v>118</v>
      </c>
      <c r="P143" s="8">
        <v>31</v>
      </c>
      <c r="Q143" s="4" t="s">
        <v>127</v>
      </c>
      <c r="R143" s="9">
        <v>25.762980578676178</v>
      </c>
      <c r="S143" s="4" t="s">
        <v>175</v>
      </c>
    </row>
    <row r="144" spans="1:19" x14ac:dyDescent="0.35">
      <c r="A144">
        <v>143</v>
      </c>
      <c r="B144">
        <v>64</v>
      </c>
      <c r="C144" t="s">
        <v>89</v>
      </c>
      <c r="D144" t="s">
        <v>66</v>
      </c>
      <c r="E144" s="10">
        <v>700</v>
      </c>
      <c r="F144" t="s">
        <v>69</v>
      </c>
      <c r="G144" t="s">
        <v>69</v>
      </c>
      <c r="H144" t="s">
        <v>73</v>
      </c>
      <c r="I144" t="s">
        <v>125</v>
      </c>
      <c r="J144" s="5">
        <v>7</v>
      </c>
      <c r="K144" s="6">
        <v>180</v>
      </c>
      <c r="L144" s="6">
        <v>120</v>
      </c>
      <c r="M144" s="7">
        <v>114</v>
      </c>
      <c r="N144" s="8">
        <v>78</v>
      </c>
      <c r="O144" s="8">
        <v>107</v>
      </c>
      <c r="P144" s="8">
        <v>22</v>
      </c>
      <c r="Q144" s="4" t="s">
        <v>126</v>
      </c>
      <c r="R144" s="9">
        <v>35.492157923201731</v>
      </c>
      <c r="S144" s="4" t="s">
        <v>174</v>
      </c>
    </row>
    <row r="145" spans="1:19" x14ac:dyDescent="0.35">
      <c r="A145">
        <v>144</v>
      </c>
      <c r="B145">
        <v>40</v>
      </c>
      <c r="C145" t="s">
        <v>89</v>
      </c>
      <c r="D145" t="s">
        <v>115</v>
      </c>
      <c r="E145" s="10">
        <v>700</v>
      </c>
      <c r="F145" t="s">
        <v>69</v>
      </c>
      <c r="G145" t="s">
        <v>69</v>
      </c>
      <c r="H145" t="s">
        <v>92</v>
      </c>
      <c r="I145" t="s">
        <v>125</v>
      </c>
      <c r="J145" s="5">
        <v>4</v>
      </c>
      <c r="K145" s="6">
        <v>144</v>
      </c>
      <c r="L145" s="6">
        <v>74</v>
      </c>
      <c r="M145" s="7">
        <v>66</v>
      </c>
      <c r="N145" s="8">
        <v>111</v>
      </c>
      <c r="O145" s="8">
        <v>35</v>
      </c>
      <c r="P145" s="8">
        <v>73</v>
      </c>
      <c r="Q145" s="4" t="s">
        <v>127</v>
      </c>
      <c r="R145" s="9">
        <v>16.649323621227886</v>
      </c>
      <c r="S145" s="4" t="s">
        <v>175</v>
      </c>
    </row>
    <row r="146" spans="1:19" x14ac:dyDescent="0.35">
      <c r="A146">
        <v>145</v>
      </c>
      <c r="B146">
        <v>32</v>
      </c>
      <c r="C146" t="s">
        <v>89</v>
      </c>
      <c r="D146" t="s">
        <v>66</v>
      </c>
      <c r="E146" s="10">
        <v>1200</v>
      </c>
      <c r="F146" t="s">
        <v>69</v>
      </c>
      <c r="G146" t="s">
        <v>69</v>
      </c>
      <c r="H146" t="s">
        <v>92</v>
      </c>
      <c r="I146" t="s">
        <v>74</v>
      </c>
      <c r="J146" s="5">
        <v>1</v>
      </c>
      <c r="K146" s="6">
        <v>108</v>
      </c>
      <c r="L146" s="6">
        <v>70</v>
      </c>
      <c r="M146" s="7">
        <v>100</v>
      </c>
      <c r="N146" s="8">
        <v>111</v>
      </c>
      <c r="O146" s="8">
        <v>51</v>
      </c>
      <c r="P146" s="8">
        <v>53</v>
      </c>
      <c r="Q146" s="4" t="s">
        <v>126</v>
      </c>
      <c r="R146" s="9">
        <v>27.475629493018182</v>
      </c>
      <c r="S146" s="4" t="s">
        <v>174</v>
      </c>
    </row>
    <row r="147" spans="1:19" x14ac:dyDescent="0.35">
      <c r="A147">
        <v>146</v>
      </c>
      <c r="B147">
        <v>60</v>
      </c>
      <c r="C147" t="s">
        <v>89</v>
      </c>
      <c r="D147" t="s">
        <v>90</v>
      </c>
      <c r="E147" s="10">
        <v>200</v>
      </c>
      <c r="F147" t="s">
        <v>69</v>
      </c>
      <c r="G147" t="s">
        <v>69</v>
      </c>
      <c r="H147" t="s">
        <v>92</v>
      </c>
      <c r="I147" t="s">
        <v>125</v>
      </c>
      <c r="J147" s="5">
        <v>7</v>
      </c>
      <c r="K147" s="6">
        <v>127</v>
      </c>
      <c r="L147" s="6">
        <v>71</v>
      </c>
      <c r="M147" s="7">
        <v>90</v>
      </c>
      <c r="N147" s="8">
        <v>90</v>
      </c>
      <c r="O147" s="8">
        <v>41</v>
      </c>
      <c r="P147" s="8">
        <v>50</v>
      </c>
      <c r="Q147" s="4" t="s">
        <v>126</v>
      </c>
      <c r="R147" s="9">
        <v>27.548209366391188</v>
      </c>
      <c r="S147" s="4" t="s">
        <v>174</v>
      </c>
    </row>
    <row r="148" spans="1:19" x14ac:dyDescent="0.35">
      <c r="A148">
        <v>147</v>
      </c>
      <c r="B148">
        <v>37</v>
      </c>
      <c r="C148" t="s">
        <v>89</v>
      </c>
      <c r="D148" t="s">
        <v>66</v>
      </c>
      <c r="E148" s="10">
        <v>400</v>
      </c>
      <c r="F148" t="s">
        <v>69</v>
      </c>
      <c r="G148" t="s">
        <v>69</v>
      </c>
      <c r="H148" t="s">
        <v>92</v>
      </c>
      <c r="I148" t="s">
        <v>125</v>
      </c>
      <c r="J148" s="5">
        <v>2</v>
      </c>
      <c r="K148" s="6">
        <v>173</v>
      </c>
      <c r="L148" s="6">
        <v>98</v>
      </c>
      <c r="M148" s="7">
        <v>62</v>
      </c>
      <c r="N148" s="8">
        <v>95</v>
      </c>
      <c r="O148" s="8">
        <v>55</v>
      </c>
      <c r="P148" s="8">
        <v>64</v>
      </c>
      <c r="Q148" s="4" t="s">
        <v>127</v>
      </c>
      <c r="R148" s="9">
        <v>13.71742112482853</v>
      </c>
      <c r="S148" s="4" t="s">
        <v>175</v>
      </c>
    </row>
    <row r="149" spans="1:19" x14ac:dyDescent="0.35">
      <c r="A149">
        <v>148</v>
      </c>
      <c r="B149">
        <v>35</v>
      </c>
      <c r="C149" t="s">
        <v>89</v>
      </c>
      <c r="D149" t="s">
        <v>101</v>
      </c>
      <c r="E149" s="10">
        <v>380</v>
      </c>
      <c r="F149" t="s">
        <v>69</v>
      </c>
      <c r="G149" t="s">
        <v>69</v>
      </c>
      <c r="H149" t="s">
        <v>103</v>
      </c>
      <c r="I149" t="s">
        <v>125</v>
      </c>
      <c r="J149" s="5">
        <v>1</v>
      </c>
      <c r="K149" s="6">
        <v>149</v>
      </c>
      <c r="L149" s="6">
        <v>88</v>
      </c>
      <c r="M149" s="7">
        <v>111</v>
      </c>
      <c r="N149" s="8">
        <v>325</v>
      </c>
      <c r="O149" s="8">
        <v>90</v>
      </c>
      <c r="P149" s="8">
        <v>57</v>
      </c>
      <c r="Q149" s="4" t="s">
        <v>126</v>
      </c>
      <c r="R149" s="9">
        <v>26.533758829646096</v>
      </c>
      <c r="S149" s="4" t="s">
        <v>174</v>
      </c>
    </row>
    <row r="150" spans="1:19" x14ac:dyDescent="0.35">
      <c r="A150">
        <v>149</v>
      </c>
      <c r="B150">
        <v>20</v>
      </c>
      <c r="C150" t="s">
        <v>89</v>
      </c>
      <c r="D150" t="s">
        <v>90</v>
      </c>
      <c r="E150" s="10">
        <v>100</v>
      </c>
      <c r="F150" t="s">
        <v>69</v>
      </c>
      <c r="G150" t="s">
        <v>69</v>
      </c>
      <c r="H150" t="s">
        <v>92</v>
      </c>
      <c r="I150" t="s">
        <v>125</v>
      </c>
      <c r="J150" s="5">
        <v>4</v>
      </c>
      <c r="K150" s="6">
        <v>127</v>
      </c>
      <c r="L150" s="6">
        <v>76</v>
      </c>
      <c r="M150" s="7">
        <v>69</v>
      </c>
      <c r="N150" s="8">
        <v>76</v>
      </c>
      <c r="O150" s="8">
        <v>43</v>
      </c>
      <c r="P150" s="8">
        <v>52</v>
      </c>
      <c r="Q150" s="4" t="s">
        <v>127</v>
      </c>
      <c r="R150" s="9">
        <v>17.898022892819977</v>
      </c>
      <c r="S150" s="4" t="s">
        <v>175</v>
      </c>
    </row>
    <row r="151" spans="1:19" x14ac:dyDescent="0.35">
      <c r="A151">
        <v>150</v>
      </c>
      <c r="B151">
        <v>38</v>
      </c>
      <c r="C151" t="s">
        <v>64</v>
      </c>
      <c r="D151" t="s">
        <v>101</v>
      </c>
      <c r="E151" s="10">
        <v>400</v>
      </c>
      <c r="F151" t="s">
        <v>69</v>
      </c>
      <c r="G151" t="s">
        <v>69</v>
      </c>
      <c r="H151" t="s">
        <v>103</v>
      </c>
      <c r="I151" t="s">
        <v>125</v>
      </c>
      <c r="J151" s="5">
        <v>3</v>
      </c>
      <c r="K151" s="6">
        <v>137</v>
      </c>
      <c r="L151" s="6">
        <v>90</v>
      </c>
      <c r="M151" s="7">
        <v>74</v>
      </c>
      <c r="N151" s="8">
        <v>76</v>
      </c>
      <c r="O151" s="8">
        <v>53</v>
      </c>
      <c r="P151" s="8">
        <v>58</v>
      </c>
      <c r="Q151" s="4" t="s">
        <v>126</v>
      </c>
      <c r="R151" s="9">
        <v>19.591836734693878</v>
      </c>
      <c r="S151" s="4" t="s">
        <v>174</v>
      </c>
    </row>
    <row r="152" spans="1:19" x14ac:dyDescent="0.35">
      <c r="A152">
        <v>151</v>
      </c>
      <c r="B152">
        <v>60</v>
      </c>
      <c r="C152" t="s">
        <v>89</v>
      </c>
      <c r="D152" t="s">
        <v>66</v>
      </c>
      <c r="E152" s="10">
        <v>250</v>
      </c>
      <c r="F152" t="s">
        <v>69</v>
      </c>
      <c r="G152" t="s">
        <v>69</v>
      </c>
      <c r="H152" t="s">
        <v>92</v>
      </c>
      <c r="I152" t="s">
        <v>125</v>
      </c>
      <c r="J152" s="5">
        <v>6</v>
      </c>
      <c r="K152" s="6">
        <v>178</v>
      </c>
      <c r="L152" s="6">
        <v>107</v>
      </c>
      <c r="M152" s="7">
        <v>69</v>
      </c>
      <c r="N152" s="8">
        <v>92</v>
      </c>
      <c r="O152" s="8">
        <v>82</v>
      </c>
      <c r="P152" s="8">
        <v>51</v>
      </c>
      <c r="Q152" s="4" t="s">
        <v>126</v>
      </c>
      <c r="R152" s="9">
        <v>17.941817249775728</v>
      </c>
      <c r="S152" s="4" t="s">
        <v>174</v>
      </c>
    </row>
    <row r="153" spans="1:19" x14ac:dyDescent="0.35">
      <c r="A153">
        <v>152</v>
      </c>
      <c r="B153">
        <v>50</v>
      </c>
      <c r="C153" t="s">
        <v>89</v>
      </c>
      <c r="D153" t="s">
        <v>66</v>
      </c>
      <c r="E153" s="10">
        <v>230</v>
      </c>
      <c r="F153" t="s">
        <v>69</v>
      </c>
      <c r="G153" t="s">
        <v>69</v>
      </c>
      <c r="H153" t="s">
        <v>92</v>
      </c>
      <c r="I153" t="s">
        <v>125</v>
      </c>
      <c r="J153" s="5">
        <v>6</v>
      </c>
      <c r="K153" s="6">
        <v>147</v>
      </c>
      <c r="L153" s="6">
        <v>79</v>
      </c>
      <c r="M153" s="7">
        <v>88</v>
      </c>
      <c r="N153" s="8">
        <v>175</v>
      </c>
      <c r="O153" s="8">
        <v>312</v>
      </c>
      <c r="P153" s="8">
        <v>40</v>
      </c>
      <c r="Q153" s="4" t="s">
        <v>127</v>
      </c>
      <c r="R153" s="9">
        <v>18.666666666666668</v>
      </c>
      <c r="S153" s="4" t="s">
        <v>175</v>
      </c>
    </row>
    <row r="154" spans="1:19" x14ac:dyDescent="0.35">
      <c r="A154">
        <v>153</v>
      </c>
      <c r="B154">
        <v>28</v>
      </c>
      <c r="C154" t="s">
        <v>89</v>
      </c>
      <c r="D154" t="s">
        <v>115</v>
      </c>
      <c r="E154" s="10">
        <v>750</v>
      </c>
      <c r="F154" t="s">
        <v>69</v>
      </c>
      <c r="G154" t="s">
        <v>69</v>
      </c>
      <c r="H154" t="s">
        <v>92</v>
      </c>
      <c r="I154" t="s">
        <v>125</v>
      </c>
      <c r="J154" s="5">
        <v>4</v>
      </c>
      <c r="K154" s="6">
        <v>127</v>
      </c>
      <c r="L154" s="6">
        <v>76</v>
      </c>
      <c r="M154" s="7">
        <v>76</v>
      </c>
      <c r="N154" s="8">
        <v>94</v>
      </c>
      <c r="O154" s="8">
        <v>104</v>
      </c>
      <c r="P154" s="8">
        <v>42</v>
      </c>
      <c r="Q154" s="4" t="s">
        <v>126</v>
      </c>
      <c r="R154" s="9">
        <v>24.524346347059055</v>
      </c>
      <c r="S154" s="4" t="s">
        <v>174</v>
      </c>
    </row>
    <row r="155" spans="1:19" x14ac:dyDescent="0.35">
      <c r="A155">
        <v>154</v>
      </c>
      <c r="B155">
        <v>30</v>
      </c>
      <c r="C155" t="s">
        <v>64</v>
      </c>
      <c r="D155" t="s">
        <v>101</v>
      </c>
      <c r="E155" s="10">
        <v>500</v>
      </c>
      <c r="F155" t="s">
        <v>69</v>
      </c>
      <c r="G155" t="s">
        <v>69</v>
      </c>
      <c r="H155" t="s">
        <v>92</v>
      </c>
      <c r="I155" t="s">
        <v>74</v>
      </c>
      <c r="J155" s="5">
        <v>2</v>
      </c>
      <c r="K155" s="6">
        <v>116</v>
      </c>
      <c r="L155" s="6">
        <v>70</v>
      </c>
      <c r="M155" s="7">
        <v>66</v>
      </c>
      <c r="N155" s="8">
        <v>95</v>
      </c>
      <c r="O155" s="8">
        <v>62</v>
      </c>
      <c r="P155" s="8">
        <v>53</v>
      </c>
      <c r="Q155" s="4" t="s">
        <v>127</v>
      </c>
      <c r="R155" s="9">
        <v>15.548945375878855</v>
      </c>
      <c r="S155" s="4" t="s">
        <v>175</v>
      </c>
    </row>
    <row r="156" spans="1:19" x14ac:dyDescent="0.35">
      <c r="A156">
        <v>155</v>
      </c>
      <c r="B156">
        <v>26</v>
      </c>
      <c r="C156" t="s">
        <v>89</v>
      </c>
      <c r="D156" t="s">
        <v>66</v>
      </c>
      <c r="E156" s="10">
        <v>700</v>
      </c>
      <c r="F156" t="s">
        <v>69</v>
      </c>
      <c r="G156" t="s">
        <v>69</v>
      </c>
      <c r="H156" t="s">
        <v>92</v>
      </c>
      <c r="I156" t="s">
        <v>125</v>
      </c>
      <c r="J156" s="5">
        <v>7</v>
      </c>
      <c r="K156" s="6">
        <v>111</v>
      </c>
      <c r="L156" s="6">
        <v>68</v>
      </c>
      <c r="M156" s="7">
        <v>66</v>
      </c>
      <c r="N156" s="8">
        <v>75</v>
      </c>
      <c r="O156" s="8">
        <v>55</v>
      </c>
      <c r="P156" s="8">
        <v>62</v>
      </c>
      <c r="Q156" s="4" t="s">
        <v>126</v>
      </c>
      <c r="R156" s="9">
        <v>19.948059768903612</v>
      </c>
      <c r="S156" s="4" t="s">
        <v>174</v>
      </c>
    </row>
    <row r="157" spans="1:19" x14ac:dyDescent="0.35">
      <c r="A157">
        <v>156</v>
      </c>
      <c r="B157">
        <v>30</v>
      </c>
      <c r="C157" t="s">
        <v>89</v>
      </c>
      <c r="D157" t="s">
        <v>115</v>
      </c>
      <c r="E157" s="10">
        <v>700</v>
      </c>
      <c r="F157" t="s">
        <v>69</v>
      </c>
      <c r="G157" t="s">
        <v>69</v>
      </c>
      <c r="H157" t="s">
        <v>73</v>
      </c>
      <c r="I157" t="s">
        <v>125</v>
      </c>
      <c r="J157" s="5">
        <v>1</v>
      </c>
      <c r="K157" s="6">
        <v>120</v>
      </c>
      <c r="L157" s="6">
        <v>75</v>
      </c>
      <c r="M157" s="7">
        <v>71</v>
      </c>
      <c r="N157" s="8">
        <v>129</v>
      </c>
      <c r="O157" s="8">
        <v>53</v>
      </c>
      <c r="P157" s="8">
        <v>55</v>
      </c>
      <c r="Q157" s="4" t="s">
        <v>126</v>
      </c>
      <c r="R157" s="9">
        <v>16.824226886716868</v>
      </c>
      <c r="S157" s="4" t="s">
        <v>174</v>
      </c>
    </row>
    <row r="158" spans="1:19" x14ac:dyDescent="0.35">
      <c r="A158">
        <v>157</v>
      </c>
      <c r="B158">
        <v>37</v>
      </c>
      <c r="C158" t="s">
        <v>89</v>
      </c>
      <c r="D158" t="s">
        <v>115</v>
      </c>
      <c r="E158" s="10">
        <v>130</v>
      </c>
      <c r="F158" t="s">
        <v>69</v>
      </c>
      <c r="G158" t="s">
        <v>69</v>
      </c>
      <c r="H158" t="s">
        <v>92</v>
      </c>
      <c r="I158" t="s">
        <v>125</v>
      </c>
      <c r="J158" s="5">
        <v>6</v>
      </c>
      <c r="K158" s="6">
        <v>127</v>
      </c>
      <c r="L158" s="6">
        <v>97</v>
      </c>
      <c r="M158" s="7">
        <v>113</v>
      </c>
      <c r="N158" s="8">
        <v>93</v>
      </c>
      <c r="O158" s="8">
        <v>146</v>
      </c>
      <c r="P158" s="8">
        <v>52</v>
      </c>
      <c r="Q158" s="4" t="s">
        <v>127</v>
      </c>
      <c r="R158" s="9">
        <v>25.180785123966942</v>
      </c>
      <c r="S158" s="4" t="s">
        <v>175</v>
      </c>
    </row>
    <row r="159" spans="1:19" x14ac:dyDescent="0.35">
      <c r="A159">
        <v>158</v>
      </c>
      <c r="B159">
        <v>32</v>
      </c>
      <c r="C159" t="s">
        <v>89</v>
      </c>
      <c r="D159" t="s">
        <v>101</v>
      </c>
      <c r="E159" s="10">
        <v>720</v>
      </c>
      <c r="F159" t="s">
        <v>69</v>
      </c>
      <c r="G159" t="s">
        <v>69</v>
      </c>
      <c r="H159" t="s">
        <v>73</v>
      </c>
      <c r="I159" t="s">
        <v>125</v>
      </c>
      <c r="J159" s="5">
        <v>4</v>
      </c>
      <c r="K159" s="6">
        <v>97</v>
      </c>
      <c r="L159" s="6">
        <v>53</v>
      </c>
      <c r="M159" s="7">
        <v>62</v>
      </c>
      <c r="N159" s="8">
        <v>92</v>
      </c>
      <c r="O159" s="8">
        <v>35</v>
      </c>
      <c r="P159" s="8">
        <v>61</v>
      </c>
      <c r="Q159" s="4" t="s">
        <v>126</v>
      </c>
      <c r="R159" s="9">
        <v>16.227838857560144</v>
      </c>
      <c r="S159" s="4" t="s">
        <v>174</v>
      </c>
    </row>
    <row r="160" spans="1:19" x14ac:dyDescent="0.35">
      <c r="A160">
        <v>159</v>
      </c>
      <c r="B160">
        <v>50</v>
      </c>
      <c r="C160" t="s">
        <v>89</v>
      </c>
      <c r="D160" t="s">
        <v>66</v>
      </c>
      <c r="E160" s="10">
        <v>450</v>
      </c>
      <c r="F160" t="s">
        <v>69</v>
      </c>
      <c r="G160" t="s">
        <v>69</v>
      </c>
      <c r="H160" t="s">
        <v>92</v>
      </c>
      <c r="I160" t="s">
        <v>125</v>
      </c>
      <c r="J160" s="5">
        <v>4</v>
      </c>
      <c r="K160" s="6">
        <v>162</v>
      </c>
      <c r="L160" s="6">
        <v>105</v>
      </c>
      <c r="M160" s="7">
        <v>100</v>
      </c>
      <c r="N160" s="8">
        <v>78</v>
      </c>
      <c r="O160" s="8">
        <v>77</v>
      </c>
      <c r="P160" s="8">
        <v>53</v>
      </c>
      <c r="Q160" s="4" t="s">
        <v>126</v>
      </c>
      <c r="R160" s="9">
        <v>24.221453287197235</v>
      </c>
      <c r="S160" s="4" t="s">
        <v>174</v>
      </c>
    </row>
    <row r="161" spans="1:19" x14ac:dyDescent="0.35">
      <c r="A161">
        <v>160</v>
      </c>
      <c r="B161">
        <v>38</v>
      </c>
      <c r="C161" t="s">
        <v>89</v>
      </c>
      <c r="D161" t="s">
        <v>90</v>
      </c>
      <c r="E161" s="10">
        <v>900</v>
      </c>
      <c r="F161" t="s">
        <v>69</v>
      </c>
      <c r="G161" t="s">
        <v>69</v>
      </c>
      <c r="H161" t="s">
        <v>73</v>
      </c>
      <c r="I161" t="s">
        <v>125</v>
      </c>
      <c r="J161" s="5">
        <v>5</v>
      </c>
      <c r="K161" s="6">
        <v>108</v>
      </c>
      <c r="L161" s="6">
        <v>68</v>
      </c>
      <c r="M161" s="7">
        <v>76</v>
      </c>
      <c r="N161" s="8">
        <v>106</v>
      </c>
      <c r="O161" s="8">
        <v>121</v>
      </c>
      <c r="P161" s="8">
        <v>69</v>
      </c>
      <c r="Q161" s="4" t="s">
        <v>127</v>
      </c>
      <c r="R161" s="9">
        <v>25.180785123966942</v>
      </c>
      <c r="S161" s="4" t="s">
        <v>175</v>
      </c>
    </row>
    <row r="162" spans="1:19" x14ac:dyDescent="0.35">
      <c r="A162">
        <v>161</v>
      </c>
      <c r="B162">
        <v>45</v>
      </c>
      <c r="C162" t="s">
        <v>89</v>
      </c>
      <c r="D162" t="s">
        <v>115</v>
      </c>
      <c r="E162" s="10">
        <v>700</v>
      </c>
      <c r="F162" t="s">
        <v>69</v>
      </c>
      <c r="G162" t="s">
        <v>69</v>
      </c>
      <c r="H162" t="s">
        <v>73</v>
      </c>
      <c r="I162" t="s">
        <v>125</v>
      </c>
      <c r="J162" s="5">
        <v>5</v>
      </c>
      <c r="K162" s="6">
        <v>123</v>
      </c>
      <c r="L162" s="6">
        <v>76</v>
      </c>
      <c r="M162" s="7">
        <v>77</v>
      </c>
      <c r="N162" s="8">
        <v>101</v>
      </c>
      <c r="O162" s="8">
        <v>44</v>
      </c>
      <c r="P162" s="8">
        <v>56</v>
      </c>
      <c r="Q162" s="4" t="s">
        <v>126</v>
      </c>
      <c r="R162" s="9">
        <v>24.508945765204302</v>
      </c>
      <c r="S162" s="4" t="s">
        <v>174</v>
      </c>
    </row>
    <row r="163" spans="1:19" x14ac:dyDescent="0.35">
      <c r="A163">
        <v>162</v>
      </c>
      <c r="B163">
        <v>22</v>
      </c>
      <c r="C163" t="s">
        <v>89</v>
      </c>
      <c r="D163" t="s">
        <v>66</v>
      </c>
      <c r="E163" s="10">
        <v>200</v>
      </c>
      <c r="F163" t="s">
        <v>69</v>
      </c>
      <c r="G163" t="s">
        <v>69</v>
      </c>
      <c r="H163" t="s">
        <v>73</v>
      </c>
      <c r="I163" t="s">
        <v>125</v>
      </c>
      <c r="J163" s="5">
        <v>4</v>
      </c>
      <c r="K163" s="6">
        <v>106</v>
      </c>
      <c r="L163" s="6">
        <v>59</v>
      </c>
      <c r="M163" s="7">
        <v>95</v>
      </c>
      <c r="N163" s="8">
        <v>91</v>
      </c>
      <c r="O163" s="8">
        <v>54</v>
      </c>
      <c r="P163" s="8">
        <v>89</v>
      </c>
      <c r="Q163" s="4" t="s">
        <v>126</v>
      </c>
      <c r="R163" s="9">
        <v>26.446280991735541</v>
      </c>
      <c r="S163" s="4" t="s">
        <v>174</v>
      </c>
    </row>
    <row r="164" spans="1:19" x14ac:dyDescent="0.35">
      <c r="A164">
        <v>163</v>
      </c>
      <c r="B164">
        <v>50</v>
      </c>
      <c r="C164" t="s">
        <v>89</v>
      </c>
      <c r="D164" t="s">
        <v>115</v>
      </c>
      <c r="E164" s="10">
        <v>100</v>
      </c>
      <c r="F164" t="s">
        <v>69</v>
      </c>
      <c r="G164" t="s">
        <v>69</v>
      </c>
      <c r="H164" t="s">
        <v>73</v>
      </c>
      <c r="I164" t="s">
        <v>125</v>
      </c>
      <c r="J164" s="5">
        <v>4</v>
      </c>
      <c r="K164" s="6">
        <v>155</v>
      </c>
      <c r="L164" s="6">
        <v>99</v>
      </c>
      <c r="M164" s="7">
        <v>98</v>
      </c>
      <c r="N164" s="8">
        <v>97</v>
      </c>
      <c r="O164" s="8">
        <v>181</v>
      </c>
      <c r="P164" s="8">
        <v>66</v>
      </c>
      <c r="Q164" s="4" t="s">
        <v>126</v>
      </c>
      <c r="R164" s="9">
        <v>28.604764951635367</v>
      </c>
      <c r="S164" s="4" t="s">
        <v>174</v>
      </c>
    </row>
    <row r="165" spans="1:19" x14ac:dyDescent="0.35">
      <c r="A165">
        <v>164</v>
      </c>
      <c r="B165">
        <v>24</v>
      </c>
      <c r="C165" t="s">
        <v>89</v>
      </c>
      <c r="D165" t="s">
        <v>66</v>
      </c>
      <c r="E165" s="10">
        <v>900</v>
      </c>
      <c r="F165" t="s">
        <v>69</v>
      </c>
      <c r="G165" t="s">
        <v>69</v>
      </c>
      <c r="H165" t="s">
        <v>73</v>
      </c>
      <c r="I165" t="s">
        <v>125</v>
      </c>
      <c r="J165" s="5">
        <v>4</v>
      </c>
      <c r="K165" s="6">
        <v>117</v>
      </c>
      <c r="L165" s="6">
        <v>89</v>
      </c>
      <c r="M165" s="7">
        <v>97</v>
      </c>
      <c r="N165" s="8">
        <v>84</v>
      </c>
      <c r="O165" s="8">
        <v>48</v>
      </c>
      <c r="P165" s="8">
        <v>72</v>
      </c>
      <c r="Q165" s="4" t="s">
        <v>126</v>
      </c>
      <c r="R165" s="9">
        <v>22.758306781975424</v>
      </c>
      <c r="S165" s="4" t="s">
        <v>174</v>
      </c>
    </row>
    <row r="166" spans="1:19" x14ac:dyDescent="0.35">
      <c r="A166">
        <v>165</v>
      </c>
      <c r="B166">
        <v>29</v>
      </c>
      <c r="C166" t="s">
        <v>64</v>
      </c>
      <c r="D166" t="s">
        <v>101</v>
      </c>
      <c r="E166" s="10">
        <v>500</v>
      </c>
      <c r="F166" t="s">
        <v>69</v>
      </c>
      <c r="G166" t="s">
        <v>70</v>
      </c>
      <c r="H166" t="s">
        <v>92</v>
      </c>
      <c r="I166" t="s">
        <v>125</v>
      </c>
      <c r="J166" s="5">
        <v>5</v>
      </c>
      <c r="K166" s="6">
        <v>130</v>
      </c>
      <c r="L166" s="6">
        <v>75</v>
      </c>
      <c r="M166" s="7">
        <v>89</v>
      </c>
      <c r="N166" s="8">
        <v>114</v>
      </c>
      <c r="O166" s="8">
        <v>115</v>
      </c>
      <c r="P166" s="8">
        <v>55</v>
      </c>
      <c r="Q166" s="4" t="s">
        <v>127</v>
      </c>
      <c r="R166" s="9">
        <v>22.491349480968861</v>
      </c>
      <c r="S166" s="4" t="s">
        <v>175</v>
      </c>
    </row>
    <row r="167" spans="1:19" x14ac:dyDescent="0.35">
      <c r="A167">
        <v>166</v>
      </c>
      <c r="B167">
        <v>25</v>
      </c>
      <c r="C167" t="s">
        <v>89</v>
      </c>
      <c r="D167" t="s">
        <v>101</v>
      </c>
      <c r="E167" s="10">
        <v>800</v>
      </c>
      <c r="F167" t="s">
        <v>69</v>
      </c>
      <c r="G167" t="s">
        <v>69</v>
      </c>
      <c r="H167" t="s">
        <v>92</v>
      </c>
      <c r="I167" t="s">
        <v>125</v>
      </c>
      <c r="J167" s="5">
        <v>3</v>
      </c>
      <c r="K167" s="6">
        <v>90</v>
      </c>
      <c r="L167" s="6">
        <v>65</v>
      </c>
      <c r="M167" s="7">
        <v>113</v>
      </c>
      <c r="N167" s="8">
        <v>97</v>
      </c>
      <c r="O167" s="8">
        <v>41</v>
      </c>
      <c r="P167" s="8">
        <v>38</v>
      </c>
      <c r="Q167" s="4" t="s">
        <v>126</v>
      </c>
      <c r="R167" s="9">
        <v>30.043262297708697</v>
      </c>
      <c r="S167" s="4" t="s">
        <v>174</v>
      </c>
    </row>
    <row r="168" spans="1:19" x14ac:dyDescent="0.35">
      <c r="A168">
        <v>167</v>
      </c>
      <c r="B168">
        <v>62</v>
      </c>
      <c r="C168" t="s">
        <v>64</v>
      </c>
      <c r="D168" t="s">
        <v>90</v>
      </c>
      <c r="E168" s="10">
        <v>500</v>
      </c>
      <c r="F168" t="s">
        <v>69</v>
      </c>
      <c r="G168" t="s">
        <v>69</v>
      </c>
      <c r="H168" t="s">
        <v>92</v>
      </c>
      <c r="I168" t="s">
        <v>124</v>
      </c>
      <c r="J168" s="5">
        <v>6</v>
      </c>
      <c r="K168" s="6">
        <v>120</v>
      </c>
      <c r="L168" s="6">
        <v>78</v>
      </c>
      <c r="M168" s="7">
        <v>113</v>
      </c>
      <c r="N168" s="8">
        <v>85</v>
      </c>
      <c r="O168" s="8">
        <v>55</v>
      </c>
      <c r="P168" s="8">
        <v>80</v>
      </c>
      <c r="Q168" s="4" t="s">
        <v>126</v>
      </c>
      <c r="R168" s="9">
        <v>29.629629629629626</v>
      </c>
      <c r="S168" s="4" t="s">
        <v>174</v>
      </c>
    </row>
    <row r="169" spans="1:19" x14ac:dyDescent="0.35">
      <c r="A169">
        <v>168</v>
      </c>
      <c r="B169">
        <v>32</v>
      </c>
      <c r="C169" t="s">
        <v>89</v>
      </c>
      <c r="D169" t="s">
        <v>90</v>
      </c>
      <c r="E169" s="10">
        <v>1500</v>
      </c>
      <c r="F169" t="s">
        <v>69</v>
      </c>
      <c r="G169" t="s">
        <v>69</v>
      </c>
      <c r="H169" t="s">
        <v>92</v>
      </c>
      <c r="I169" t="s">
        <v>125</v>
      </c>
      <c r="J169" s="5">
        <v>3</v>
      </c>
      <c r="K169" s="6">
        <v>122</v>
      </c>
      <c r="L169" s="6">
        <v>84</v>
      </c>
      <c r="M169" s="7">
        <v>110</v>
      </c>
      <c r="N169" s="8">
        <v>82</v>
      </c>
      <c r="O169" s="8">
        <v>64</v>
      </c>
      <c r="P169" s="8">
        <v>54</v>
      </c>
      <c r="Q169" s="4" t="s">
        <v>127</v>
      </c>
      <c r="R169" s="9">
        <v>29.667971215755585</v>
      </c>
      <c r="S169" s="4" t="s">
        <v>175</v>
      </c>
    </row>
    <row r="170" spans="1:19" x14ac:dyDescent="0.35">
      <c r="A170">
        <v>169</v>
      </c>
      <c r="B170">
        <v>55</v>
      </c>
      <c r="C170" t="s">
        <v>64</v>
      </c>
      <c r="D170" t="s">
        <v>101</v>
      </c>
      <c r="E170" s="10">
        <v>1000</v>
      </c>
      <c r="F170" t="s">
        <v>69</v>
      </c>
      <c r="G170" t="s">
        <v>70</v>
      </c>
      <c r="H170" t="s">
        <v>103</v>
      </c>
      <c r="I170" t="s">
        <v>125</v>
      </c>
      <c r="J170" s="5">
        <v>5</v>
      </c>
      <c r="K170" s="6">
        <v>140</v>
      </c>
      <c r="L170" s="6">
        <v>80</v>
      </c>
      <c r="M170" s="7">
        <v>95</v>
      </c>
      <c r="N170" s="8">
        <v>102</v>
      </c>
      <c r="O170" s="8">
        <v>68</v>
      </c>
      <c r="P170" s="8">
        <v>82</v>
      </c>
      <c r="Q170" s="4" t="s">
        <v>127</v>
      </c>
      <c r="R170" s="9">
        <v>26.528510346119035</v>
      </c>
      <c r="S170" s="4" t="s">
        <v>175</v>
      </c>
    </row>
    <row r="171" spans="1:19" x14ac:dyDescent="0.35">
      <c r="A171">
        <v>170</v>
      </c>
      <c r="B171">
        <v>30</v>
      </c>
      <c r="C171" t="s">
        <v>89</v>
      </c>
      <c r="D171" t="s">
        <v>101</v>
      </c>
      <c r="E171" s="10">
        <v>400</v>
      </c>
      <c r="F171" t="s">
        <v>69</v>
      </c>
      <c r="G171" t="s">
        <v>69</v>
      </c>
      <c r="H171" t="s">
        <v>92</v>
      </c>
      <c r="I171" t="s">
        <v>125</v>
      </c>
      <c r="J171" s="5">
        <v>8</v>
      </c>
      <c r="K171" s="6">
        <v>120</v>
      </c>
      <c r="L171" s="6">
        <v>70</v>
      </c>
      <c r="M171" s="7">
        <v>79</v>
      </c>
      <c r="N171" s="8">
        <v>83</v>
      </c>
      <c r="O171" s="8">
        <v>61</v>
      </c>
      <c r="P171" s="8">
        <v>70</v>
      </c>
      <c r="Q171" s="4" t="s">
        <v>127</v>
      </c>
      <c r="R171" s="9">
        <v>23.529411764705884</v>
      </c>
      <c r="S171" s="4" t="s">
        <v>175</v>
      </c>
    </row>
    <row r="172" spans="1:19" x14ac:dyDescent="0.35">
      <c r="A172">
        <v>171</v>
      </c>
      <c r="B172">
        <v>31</v>
      </c>
      <c r="C172" t="s">
        <v>89</v>
      </c>
      <c r="D172" t="s">
        <v>101</v>
      </c>
      <c r="E172" s="10">
        <v>900</v>
      </c>
      <c r="F172" t="s">
        <v>69</v>
      </c>
      <c r="G172" t="s">
        <v>69</v>
      </c>
      <c r="H172" t="s">
        <v>73</v>
      </c>
      <c r="I172" t="s">
        <v>125</v>
      </c>
      <c r="J172" s="5">
        <v>2</v>
      </c>
      <c r="K172" s="6">
        <v>127</v>
      </c>
      <c r="L172" s="6">
        <v>84</v>
      </c>
      <c r="M172" s="7">
        <v>76</v>
      </c>
      <c r="N172" s="8">
        <v>108</v>
      </c>
      <c r="O172" s="8">
        <v>56</v>
      </c>
      <c r="P172" s="8">
        <v>43</v>
      </c>
      <c r="Q172" s="4" t="s">
        <v>127</v>
      </c>
      <c r="R172" s="9">
        <v>27.102040816326532</v>
      </c>
      <c r="S172" s="4" t="s">
        <v>175</v>
      </c>
    </row>
    <row r="173" spans="1:19" x14ac:dyDescent="0.35">
      <c r="A173">
        <v>172</v>
      </c>
      <c r="B173">
        <v>25</v>
      </c>
      <c r="C173" t="s">
        <v>89</v>
      </c>
      <c r="D173" t="s">
        <v>101</v>
      </c>
      <c r="E173" s="10">
        <v>700</v>
      </c>
      <c r="F173" t="s">
        <v>69</v>
      </c>
      <c r="G173" t="s">
        <v>69</v>
      </c>
      <c r="H173" t="s">
        <v>73</v>
      </c>
      <c r="I173" t="s">
        <v>125</v>
      </c>
      <c r="J173" s="5">
        <v>2</v>
      </c>
      <c r="K173" s="6">
        <v>97</v>
      </c>
      <c r="L173" s="6">
        <v>58</v>
      </c>
      <c r="M173" s="7">
        <v>76</v>
      </c>
      <c r="N173" s="8">
        <v>88</v>
      </c>
      <c r="O173" s="8">
        <v>55</v>
      </c>
      <c r="P173" s="8">
        <v>44</v>
      </c>
      <c r="Q173" s="4" t="s">
        <v>126</v>
      </c>
      <c r="R173" s="9">
        <v>20.446742023841672</v>
      </c>
      <c r="S173" s="4" t="s">
        <v>174</v>
      </c>
    </row>
    <row r="174" spans="1:19" x14ac:dyDescent="0.35">
      <c r="A174">
        <v>173</v>
      </c>
      <c r="B174">
        <v>38</v>
      </c>
      <c r="C174" t="s">
        <v>89</v>
      </c>
      <c r="D174" t="s">
        <v>66</v>
      </c>
      <c r="E174" s="10">
        <v>800</v>
      </c>
      <c r="F174" t="s">
        <v>69</v>
      </c>
      <c r="G174" t="s">
        <v>69</v>
      </c>
      <c r="H174" t="s">
        <v>73</v>
      </c>
      <c r="I174" t="s">
        <v>74</v>
      </c>
      <c r="J174" s="5">
        <v>2</v>
      </c>
      <c r="K174" s="6">
        <v>104</v>
      </c>
      <c r="L174" s="6">
        <v>70</v>
      </c>
      <c r="M174" s="7">
        <v>117</v>
      </c>
      <c r="N174" s="8">
        <v>110</v>
      </c>
      <c r="O174" s="8">
        <v>81</v>
      </c>
      <c r="P174" s="8">
        <v>39</v>
      </c>
      <c r="Q174" s="4" t="s">
        <v>126</v>
      </c>
      <c r="R174" s="9">
        <v>35.083029837281565</v>
      </c>
      <c r="S174" s="4" t="s">
        <v>174</v>
      </c>
    </row>
    <row r="175" spans="1:19" x14ac:dyDescent="0.35">
      <c r="A175">
        <v>174</v>
      </c>
      <c r="B175">
        <v>49</v>
      </c>
      <c r="C175" t="s">
        <v>89</v>
      </c>
      <c r="D175" t="s">
        <v>101</v>
      </c>
      <c r="E175" s="10">
        <v>400</v>
      </c>
      <c r="F175" t="s">
        <v>69</v>
      </c>
      <c r="G175" t="s">
        <v>69</v>
      </c>
      <c r="H175" t="s">
        <v>92</v>
      </c>
      <c r="I175" t="s">
        <v>125</v>
      </c>
      <c r="J175" s="5">
        <v>3</v>
      </c>
      <c r="K175" s="6">
        <v>103</v>
      </c>
      <c r="L175" s="6">
        <v>55</v>
      </c>
      <c r="M175" s="7">
        <v>96</v>
      </c>
      <c r="N175" s="8">
        <v>115</v>
      </c>
      <c r="O175" s="8">
        <v>52</v>
      </c>
      <c r="P175" s="8">
        <v>50</v>
      </c>
      <c r="Q175" s="4" t="s">
        <v>127</v>
      </c>
      <c r="R175" s="9">
        <v>29.64951156330951</v>
      </c>
      <c r="S175" s="4" t="s">
        <v>175</v>
      </c>
    </row>
    <row r="176" spans="1:19" x14ac:dyDescent="0.35">
      <c r="A176">
        <v>175</v>
      </c>
      <c r="B176">
        <v>46</v>
      </c>
      <c r="C176" t="s">
        <v>89</v>
      </c>
      <c r="D176" t="s">
        <v>66</v>
      </c>
      <c r="E176" s="10">
        <v>500</v>
      </c>
      <c r="F176" t="s">
        <v>69</v>
      </c>
      <c r="G176" t="s">
        <v>69</v>
      </c>
      <c r="H176" t="s">
        <v>103</v>
      </c>
      <c r="I176" t="s">
        <v>125</v>
      </c>
      <c r="J176" s="5">
        <v>2</v>
      </c>
      <c r="K176" s="6">
        <v>100</v>
      </c>
      <c r="L176" s="6">
        <v>74</v>
      </c>
      <c r="M176" s="7">
        <v>94</v>
      </c>
      <c r="N176" s="8">
        <v>109</v>
      </c>
      <c r="O176" s="8">
        <v>104</v>
      </c>
      <c r="P176" s="8">
        <v>51</v>
      </c>
      <c r="Q176" s="4" t="s">
        <v>127</v>
      </c>
      <c r="R176" s="9">
        <v>23.624447492760247</v>
      </c>
      <c r="S176" s="4" t="s">
        <v>175</v>
      </c>
    </row>
    <row r="177" spans="1:19" x14ac:dyDescent="0.35">
      <c r="A177">
        <v>176</v>
      </c>
      <c r="B177">
        <v>40</v>
      </c>
      <c r="C177" t="s">
        <v>64</v>
      </c>
      <c r="D177" t="s">
        <v>66</v>
      </c>
      <c r="E177" s="10">
        <v>450</v>
      </c>
      <c r="F177" t="s">
        <v>70</v>
      </c>
      <c r="G177" t="s">
        <v>69</v>
      </c>
      <c r="H177" t="s">
        <v>92</v>
      </c>
      <c r="I177" t="s">
        <v>124</v>
      </c>
      <c r="J177" s="5">
        <v>3</v>
      </c>
      <c r="K177" s="6">
        <v>125</v>
      </c>
      <c r="L177" s="6">
        <v>81</v>
      </c>
      <c r="M177" s="7">
        <v>68</v>
      </c>
      <c r="N177" s="8">
        <v>73</v>
      </c>
      <c r="O177" s="8">
        <v>70</v>
      </c>
      <c r="P177" s="8">
        <v>43</v>
      </c>
      <c r="Q177" s="4" t="s">
        <v>127</v>
      </c>
      <c r="R177" s="9">
        <v>16.653061224489797</v>
      </c>
      <c r="S177" s="4" t="s">
        <v>175</v>
      </c>
    </row>
    <row r="178" spans="1:19" x14ac:dyDescent="0.35">
      <c r="A178">
        <v>177</v>
      </c>
      <c r="B178">
        <v>31</v>
      </c>
      <c r="C178" t="s">
        <v>89</v>
      </c>
      <c r="D178" t="s">
        <v>115</v>
      </c>
      <c r="E178" s="10">
        <v>380</v>
      </c>
      <c r="F178" t="s">
        <v>69</v>
      </c>
      <c r="G178" t="s">
        <v>69</v>
      </c>
      <c r="H178" t="s">
        <v>92</v>
      </c>
      <c r="I178" t="s">
        <v>125</v>
      </c>
      <c r="J178" s="5">
        <v>2</v>
      </c>
      <c r="K178" s="6">
        <v>146</v>
      </c>
      <c r="L178" s="6">
        <v>81</v>
      </c>
      <c r="M178" s="7">
        <v>103</v>
      </c>
      <c r="N178" s="8">
        <v>111</v>
      </c>
      <c r="O178" s="8">
        <v>73</v>
      </c>
      <c r="P178" s="8">
        <v>70</v>
      </c>
      <c r="Q178" s="4" t="s">
        <v>126</v>
      </c>
      <c r="R178" s="9">
        <v>28.650137741046834</v>
      </c>
      <c r="S178" s="4" t="s">
        <v>174</v>
      </c>
    </row>
    <row r="179" spans="1:19" x14ac:dyDescent="0.35">
      <c r="A179">
        <v>178</v>
      </c>
      <c r="B179">
        <v>25</v>
      </c>
      <c r="C179" t="s">
        <v>89</v>
      </c>
      <c r="D179" t="s">
        <v>90</v>
      </c>
      <c r="E179" s="10">
        <v>100</v>
      </c>
      <c r="F179" t="s">
        <v>69</v>
      </c>
      <c r="G179" t="s">
        <v>69</v>
      </c>
      <c r="H179" t="s">
        <v>92</v>
      </c>
      <c r="I179" t="s">
        <v>125</v>
      </c>
      <c r="J179" s="5">
        <v>2</v>
      </c>
      <c r="K179" s="6">
        <v>150</v>
      </c>
      <c r="L179" s="6">
        <v>90</v>
      </c>
      <c r="M179" s="7">
        <v>79</v>
      </c>
      <c r="N179" s="8">
        <v>95</v>
      </c>
      <c r="O179" s="8">
        <v>74</v>
      </c>
      <c r="P179" s="8">
        <v>52</v>
      </c>
      <c r="Q179" s="4" t="s">
        <v>127</v>
      </c>
      <c r="R179" s="9">
        <v>26.397977394408095</v>
      </c>
      <c r="S179" s="4" t="s">
        <v>175</v>
      </c>
    </row>
    <row r="180" spans="1:19" x14ac:dyDescent="0.35">
      <c r="A180">
        <v>179</v>
      </c>
      <c r="B180">
        <v>58</v>
      </c>
      <c r="C180" t="s">
        <v>89</v>
      </c>
      <c r="D180" t="s">
        <v>115</v>
      </c>
      <c r="E180" s="10">
        <v>800</v>
      </c>
      <c r="F180" t="s">
        <v>69</v>
      </c>
      <c r="G180" t="s">
        <v>69</v>
      </c>
      <c r="H180" t="s">
        <v>92</v>
      </c>
      <c r="I180" t="s">
        <v>125</v>
      </c>
      <c r="J180" s="5">
        <v>8</v>
      </c>
      <c r="K180" s="6">
        <v>140</v>
      </c>
      <c r="L180" s="6">
        <v>80</v>
      </c>
      <c r="M180" s="7">
        <v>117</v>
      </c>
      <c r="N180" s="8">
        <v>86</v>
      </c>
      <c r="O180" s="8">
        <v>68</v>
      </c>
      <c r="P180" s="8">
        <v>70</v>
      </c>
      <c r="Q180" s="4" t="s">
        <v>127</v>
      </c>
      <c r="R180" s="9">
        <v>33.515273388872927</v>
      </c>
      <c r="S180" s="4" t="s">
        <v>175</v>
      </c>
    </row>
    <row r="181" spans="1:19" x14ac:dyDescent="0.35">
      <c r="A181">
        <v>180</v>
      </c>
      <c r="B181">
        <v>35</v>
      </c>
      <c r="C181" t="s">
        <v>64</v>
      </c>
      <c r="D181" t="s">
        <v>101</v>
      </c>
      <c r="E181" s="10">
        <v>1800</v>
      </c>
      <c r="F181" t="s">
        <v>69</v>
      </c>
      <c r="G181" t="s">
        <v>69</v>
      </c>
      <c r="H181" t="s">
        <v>118</v>
      </c>
      <c r="I181" t="s">
        <v>125</v>
      </c>
      <c r="J181" s="5">
        <v>3</v>
      </c>
      <c r="K181" s="6">
        <v>95</v>
      </c>
      <c r="L181" s="6">
        <v>70</v>
      </c>
      <c r="M181" s="7">
        <v>89</v>
      </c>
      <c r="N181" s="8">
        <v>116</v>
      </c>
      <c r="O181" s="8">
        <v>40</v>
      </c>
      <c r="P181" s="8">
        <v>50</v>
      </c>
      <c r="Q181" s="4" t="s">
        <v>126</v>
      </c>
      <c r="R181" s="9">
        <v>21.146319909102385</v>
      </c>
      <c r="S181" s="4" t="s">
        <v>174</v>
      </c>
    </row>
    <row r="182" spans="1:19" x14ac:dyDescent="0.35">
      <c r="A182">
        <v>181</v>
      </c>
      <c r="B182">
        <v>33</v>
      </c>
      <c r="C182" t="s">
        <v>89</v>
      </c>
      <c r="D182" t="s">
        <v>101</v>
      </c>
      <c r="E182" s="10">
        <v>800</v>
      </c>
      <c r="F182" t="s">
        <v>69</v>
      </c>
      <c r="G182" t="s">
        <v>69</v>
      </c>
      <c r="H182" t="s">
        <v>118</v>
      </c>
      <c r="I182" t="s">
        <v>74</v>
      </c>
      <c r="J182" s="5">
        <v>5</v>
      </c>
      <c r="K182" s="6">
        <v>95</v>
      </c>
      <c r="L182" s="6">
        <v>70</v>
      </c>
      <c r="M182" s="7">
        <v>76</v>
      </c>
      <c r="N182" s="8">
        <v>104</v>
      </c>
      <c r="O182" s="8">
        <v>36</v>
      </c>
      <c r="P182" s="8">
        <v>60</v>
      </c>
      <c r="Q182" s="4" t="s">
        <v>126</v>
      </c>
      <c r="R182" s="9">
        <v>29.744199881023206</v>
      </c>
      <c r="S182" s="4" t="s">
        <v>174</v>
      </c>
    </row>
    <row r="183" spans="1:19" x14ac:dyDescent="0.35">
      <c r="A183">
        <v>182</v>
      </c>
      <c r="B183">
        <v>60</v>
      </c>
      <c r="C183" t="s">
        <v>64</v>
      </c>
      <c r="D183" t="s">
        <v>66</v>
      </c>
      <c r="E183" s="10">
        <v>600</v>
      </c>
      <c r="F183" t="s">
        <v>70</v>
      </c>
      <c r="G183" t="s">
        <v>69</v>
      </c>
      <c r="H183" t="s">
        <v>92</v>
      </c>
      <c r="I183" t="s">
        <v>125</v>
      </c>
      <c r="J183" s="5">
        <v>2</v>
      </c>
      <c r="K183" s="6">
        <v>142</v>
      </c>
      <c r="L183" s="6">
        <v>102</v>
      </c>
      <c r="M183" s="7">
        <v>70</v>
      </c>
      <c r="N183" s="8">
        <v>96</v>
      </c>
      <c r="O183" s="8">
        <v>172</v>
      </c>
      <c r="P183" s="8">
        <v>43</v>
      </c>
      <c r="Q183" s="4" t="s">
        <v>127</v>
      </c>
      <c r="R183" s="9">
        <v>20.983987603305785</v>
      </c>
      <c r="S183" s="4" t="s">
        <v>175</v>
      </c>
    </row>
    <row r="184" spans="1:19" x14ac:dyDescent="0.35">
      <c r="A184">
        <v>183</v>
      </c>
      <c r="B184">
        <v>29</v>
      </c>
      <c r="C184" t="s">
        <v>89</v>
      </c>
      <c r="D184" t="s">
        <v>66</v>
      </c>
      <c r="E184" s="10">
        <v>600</v>
      </c>
      <c r="F184" t="s">
        <v>69</v>
      </c>
      <c r="G184" t="s">
        <v>69</v>
      </c>
      <c r="H184" t="s">
        <v>92</v>
      </c>
      <c r="I184" t="s">
        <v>125</v>
      </c>
      <c r="J184" s="5">
        <v>4</v>
      </c>
      <c r="K184" s="6">
        <v>130</v>
      </c>
      <c r="L184" s="6">
        <v>83</v>
      </c>
      <c r="M184" s="7">
        <v>100</v>
      </c>
      <c r="N184" s="8">
        <v>116</v>
      </c>
      <c r="O184" s="8">
        <v>78</v>
      </c>
      <c r="P184" s="8">
        <v>54</v>
      </c>
      <c r="Q184" s="4" t="s">
        <v>126</v>
      </c>
      <c r="R184" s="9">
        <v>30.693877551020407</v>
      </c>
      <c r="S184" s="4" t="s">
        <v>174</v>
      </c>
    </row>
    <row r="185" spans="1:19" x14ac:dyDescent="0.35">
      <c r="A185">
        <v>184</v>
      </c>
      <c r="B185">
        <v>60</v>
      </c>
      <c r="C185" t="s">
        <v>89</v>
      </c>
      <c r="D185" t="s">
        <v>66</v>
      </c>
      <c r="E185" s="10">
        <v>400</v>
      </c>
      <c r="F185" t="s">
        <v>69</v>
      </c>
      <c r="G185" t="s">
        <v>69</v>
      </c>
      <c r="H185" t="s">
        <v>73</v>
      </c>
      <c r="I185" t="s">
        <v>125</v>
      </c>
      <c r="J185" s="5">
        <v>4</v>
      </c>
      <c r="K185" s="6">
        <v>120</v>
      </c>
      <c r="L185" s="6">
        <v>85</v>
      </c>
      <c r="M185" s="7">
        <v>111</v>
      </c>
      <c r="N185" s="8">
        <v>246</v>
      </c>
      <c r="O185" s="8">
        <v>70</v>
      </c>
      <c r="P185" s="8">
        <v>40</v>
      </c>
      <c r="Q185" s="4" t="s">
        <v>126</v>
      </c>
      <c r="R185" s="9">
        <v>26.078971533516992</v>
      </c>
      <c r="S185" s="4" t="s">
        <v>174</v>
      </c>
    </row>
    <row r="186" spans="1:19" x14ac:dyDescent="0.35">
      <c r="A186">
        <v>185</v>
      </c>
      <c r="B186">
        <v>40</v>
      </c>
      <c r="C186" t="s">
        <v>89</v>
      </c>
      <c r="D186" t="s">
        <v>66</v>
      </c>
      <c r="E186" s="10">
        <v>250</v>
      </c>
      <c r="F186" t="s">
        <v>69</v>
      </c>
      <c r="G186" t="s">
        <v>69</v>
      </c>
      <c r="H186" t="s">
        <v>73</v>
      </c>
      <c r="I186" t="s">
        <v>125</v>
      </c>
      <c r="J186" s="5">
        <v>10</v>
      </c>
      <c r="K186" s="6">
        <v>150</v>
      </c>
      <c r="L186" s="6">
        <v>89</v>
      </c>
      <c r="M186" s="7">
        <v>90</v>
      </c>
      <c r="N186" s="8">
        <v>141</v>
      </c>
      <c r="O186" s="8">
        <v>53</v>
      </c>
      <c r="P186" s="8">
        <v>52</v>
      </c>
      <c r="Q186" s="4" t="s">
        <v>126</v>
      </c>
      <c r="R186" s="9">
        <v>25.20398137468495</v>
      </c>
      <c r="S186" s="4" t="s">
        <v>174</v>
      </c>
    </row>
    <row r="187" spans="1:19" x14ac:dyDescent="0.35">
      <c r="A187">
        <v>186</v>
      </c>
      <c r="B187">
        <v>35</v>
      </c>
      <c r="C187" t="s">
        <v>89</v>
      </c>
      <c r="D187" t="s">
        <v>66</v>
      </c>
      <c r="E187" s="10">
        <v>100</v>
      </c>
      <c r="F187" t="s">
        <v>69</v>
      </c>
      <c r="G187" t="s">
        <v>69</v>
      </c>
      <c r="H187" t="s">
        <v>92</v>
      </c>
      <c r="I187" t="s">
        <v>125</v>
      </c>
      <c r="J187" s="5">
        <v>4</v>
      </c>
      <c r="K187" s="6">
        <v>104</v>
      </c>
      <c r="L187" s="6">
        <v>67</v>
      </c>
      <c r="M187" s="7">
        <v>79</v>
      </c>
      <c r="N187" s="8">
        <v>97</v>
      </c>
      <c r="O187" s="8">
        <v>83</v>
      </c>
      <c r="P187" s="8">
        <v>39</v>
      </c>
      <c r="Q187" s="4" t="s">
        <v>127</v>
      </c>
      <c r="R187" s="9">
        <v>24.801587301587304</v>
      </c>
      <c r="S187" s="4" t="s">
        <v>175</v>
      </c>
    </row>
    <row r="188" spans="1:19" x14ac:dyDescent="0.35">
      <c r="A188">
        <v>187</v>
      </c>
      <c r="B188">
        <v>30</v>
      </c>
      <c r="C188" t="s">
        <v>89</v>
      </c>
      <c r="D188" t="s">
        <v>66</v>
      </c>
      <c r="E188" s="10">
        <v>200</v>
      </c>
      <c r="F188" t="s">
        <v>69</v>
      </c>
      <c r="G188" t="s">
        <v>69</v>
      </c>
      <c r="H188" t="s">
        <v>73</v>
      </c>
      <c r="I188" t="s">
        <v>125</v>
      </c>
      <c r="J188" s="5">
        <v>10</v>
      </c>
      <c r="K188" s="6">
        <v>158</v>
      </c>
      <c r="L188" s="6">
        <v>95</v>
      </c>
      <c r="M188" s="7">
        <v>102</v>
      </c>
      <c r="N188" s="8">
        <v>103</v>
      </c>
      <c r="O188" s="8">
        <v>61</v>
      </c>
      <c r="P188" s="8">
        <v>34</v>
      </c>
      <c r="Q188" s="4" t="s">
        <v>127</v>
      </c>
      <c r="R188" s="9">
        <v>28.084332107116012</v>
      </c>
      <c r="S188" s="4" t="s">
        <v>175</v>
      </c>
    </row>
    <row r="189" spans="1:19" x14ac:dyDescent="0.35">
      <c r="A189">
        <v>188</v>
      </c>
      <c r="B189">
        <v>25</v>
      </c>
      <c r="C189" t="s">
        <v>89</v>
      </c>
      <c r="D189" t="s">
        <v>66</v>
      </c>
      <c r="E189" s="10">
        <v>300</v>
      </c>
      <c r="F189" t="s">
        <v>69</v>
      </c>
      <c r="G189" t="s">
        <v>69</v>
      </c>
      <c r="H189" t="s">
        <v>73</v>
      </c>
      <c r="I189" t="s">
        <v>125</v>
      </c>
      <c r="J189" s="5">
        <v>1</v>
      </c>
      <c r="K189" s="6">
        <v>106</v>
      </c>
      <c r="L189" s="6">
        <v>58</v>
      </c>
      <c r="M189" s="7">
        <v>76</v>
      </c>
      <c r="N189" s="8">
        <v>87</v>
      </c>
      <c r="O189" s="8">
        <v>82</v>
      </c>
      <c r="P189" s="8">
        <v>54</v>
      </c>
      <c r="Q189" s="4" t="s">
        <v>127</v>
      </c>
      <c r="R189" s="9">
        <v>26.106562240417702</v>
      </c>
      <c r="S189" s="4" t="s">
        <v>175</v>
      </c>
    </row>
    <row r="190" spans="1:19" x14ac:dyDescent="0.35">
      <c r="A190">
        <v>189</v>
      </c>
      <c r="B190">
        <v>60</v>
      </c>
      <c r="C190" t="s">
        <v>89</v>
      </c>
      <c r="D190" t="s">
        <v>115</v>
      </c>
      <c r="E190" s="10">
        <v>500</v>
      </c>
      <c r="F190" t="s">
        <v>69</v>
      </c>
      <c r="G190" t="s">
        <v>69</v>
      </c>
      <c r="H190" t="s">
        <v>73</v>
      </c>
      <c r="I190" t="s">
        <v>125</v>
      </c>
      <c r="J190" s="5">
        <v>4</v>
      </c>
      <c r="K190" s="6">
        <v>162</v>
      </c>
      <c r="L190" s="6">
        <v>89</v>
      </c>
      <c r="M190" s="7">
        <v>77</v>
      </c>
      <c r="N190" s="8">
        <v>95</v>
      </c>
      <c r="O190" s="8">
        <v>47</v>
      </c>
      <c r="P190" s="8">
        <v>63</v>
      </c>
      <c r="Q190" s="4" t="s">
        <v>127</v>
      </c>
      <c r="R190" s="9">
        <v>26.298487836949374</v>
      </c>
      <c r="S190" s="4" t="s">
        <v>175</v>
      </c>
    </row>
    <row r="191" spans="1:19" x14ac:dyDescent="0.35">
      <c r="A191">
        <v>190</v>
      </c>
      <c r="B191">
        <v>35</v>
      </c>
      <c r="C191" t="s">
        <v>89</v>
      </c>
      <c r="D191" t="s">
        <v>101</v>
      </c>
      <c r="E191" s="10">
        <v>900</v>
      </c>
      <c r="F191" t="s">
        <v>69</v>
      </c>
      <c r="G191" t="s">
        <v>69</v>
      </c>
      <c r="H191" t="s">
        <v>73</v>
      </c>
      <c r="I191" t="s">
        <v>124</v>
      </c>
      <c r="J191" s="5">
        <v>2</v>
      </c>
      <c r="K191" s="6">
        <v>116</v>
      </c>
      <c r="L191" s="6">
        <v>80</v>
      </c>
      <c r="M191" s="7">
        <v>93</v>
      </c>
      <c r="N191" s="8">
        <v>82</v>
      </c>
      <c r="O191" s="8">
        <v>99</v>
      </c>
      <c r="P191" s="8">
        <v>53</v>
      </c>
      <c r="Q191" s="4" t="s">
        <v>127</v>
      </c>
      <c r="R191" s="9">
        <v>31.861629494765594</v>
      </c>
      <c r="S191" s="4" t="s">
        <v>175</v>
      </c>
    </row>
    <row r="192" spans="1:19" x14ac:dyDescent="0.35">
      <c r="A192">
        <v>191</v>
      </c>
      <c r="B192">
        <v>30</v>
      </c>
      <c r="C192" t="s">
        <v>89</v>
      </c>
      <c r="D192" t="s">
        <v>90</v>
      </c>
      <c r="E192" s="10">
        <v>100</v>
      </c>
      <c r="F192" t="s">
        <v>69</v>
      </c>
      <c r="G192" t="s">
        <v>69</v>
      </c>
      <c r="H192" t="s">
        <v>92</v>
      </c>
      <c r="I192" t="s">
        <v>125</v>
      </c>
      <c r="J192" s="5">
        <v>2</v>
      </c>
      <c r="K192" s="6">
        <v>116</v>
      </c>
      <c r="L192" s="6">
        <v>70</v>
      </c>
      <c r="M192" s="7">
        <v>77</v>
      </c>
      <c r="N192" s="8">
        <v>95</v>
      </c>
      <c r="O192" s="8">
        <v>48</v>
      </c>
      <c r="P192" s="8">
        <v>35</v>
      </c>
      <c r="Q192" s="4" t="s">
        <v>127</v>
      </c>
      <c r="R192" s="9">
        <v>18.286779733945284</v>
      </c>
      <c r="S192" s="4" t="s">
        <v>175</v>
      </c>
    </row>
    <row r="193" spans="1:19" x14ac:dyDescent="0.35">
      <c r="A193">
        <v>192</v>
      </c>
      <c r="B193">
        <v>20</v>
      </c>
      <c r="C193" t="s">
        <v>89</v>
      </c>
      <c r="D193" t="s">
        <v>90</v>
      </c>
      <c r="E193" s="10">
        <v>200</v>
      </c>
      <c r="F193" t="s">
        <v>69</v>
      </c>
      <c r="G193" t="s">
        <v>69</v>
      </c>
      <c r="H193" t="s">
        <v>92</v>
      </c>
      <c r="I193" t="s">
        <v>125</v>
      </c>
      <c r="J193" s="5">
        <v>1</v>
      </c>
      <c r="K193" s="6">
        <v>101</v>
      </c>
      <c r="L193" s="6">
        <v>72</v>
      </c>
      <c r="M193" s="7">
        <v>97</v>
      </c>
      <c r="N193" s="8">
        <v>94</v>
      </c>
      <c r="O193" s="8">
        <v>40</v>
      </c>
      <c r="P193" s="8">
        <v>53</v>
      </c>
      <c r="Q193" s="4" t="s">
        <v>127</v>
      </c>
      <c r="R193" s="9">
        <v>25.847768218818715</v>
      </c>
      <c r="S193" s="4" t="s">
        <v>175</v>
      </c>
    </row>
    <row r="194" spans="1:19" x14ac:dyDescent="0.35">
      <c r="A194">
        <v>193</v>
      </c>
      <c r="B194">
        <v>30</v>
      </c>
      <c r="C194" t="s">
        <v>89</v>
      </c>
      <c r="D194" t="s">
        <v>90</v>
      </c>
      <c r="E194" s="10">
        <v>250</v>
      </c>
      <c r="F194" t="s">
        <v>69</v>
      </c>
      <c r="G194" t="s">
        <v>69</v>
      </c>
      <c r="H194" t="s">
        <v>73</v>
      </c>
      <c r="I194" t="s">
        <v>125</v>
      </c>
      <c r="J194" s="5">
        <v>1</v>
      </c>
      <c r="K194" s="6">
        <v>121</v>
      </c>
      <c r="L194" s="6">
        <v>73</v>
      </c>
      <c r="M194" s="7">
        <v>93</v>
      </c>
      <c r="N194" s="8">
        <v>94</v>
      </c>
      <c r="O194" s="8">
        <v>54</v>
      </c>
      <c r="P194" s="8">
        <v>63</v>
      </c>
      <c r="Q194" s="4" t="s">
        <v>127</v>
      </c>
      <c r="R194" s="9">
        <v>25.076193048107708</v>
      </c>
      <c r="S194" s="4" t="s">
        <v>175</v>
      </c>
    </row>
    <row r="195" spans="1:19" x14ac:dyDescent="0.35">
      <c r="A195">
        <v>194</v>
      </c>
      <c r="B195">
        <v>29</v>
      </c>
      <c r="C195" t="s">
        <v>64</v>
      </c>
      <c r="D195" t="s">
        <v>101</v>
      </c>
      <c r="E195" s="10">
        <v>150</v>
      </c>
      <c r="F195" t="s">
        <v>69</v>
      </c>
      <c r="G195" t="s">
        <v>69</v>
      </c>
      <c r="H195" t="s">
        <v>92</v>
      </c>
      <c r="I195" t="s">
        <v>74</v>
      </c>
      <c r="J195" s="5">
        <v>1</v>
      </c>
      <c r="K195" s="6">
        <v>120</v>
      </c>
      <c r="L195" s="6">
        <v>67</v>
      </c>
      <c r="M195" s="7">
        <v>68</v>
      </c>
      <c r="N195" s="8">
        <v>90</v>
      </c>
      <c r="O195" s="8">
        <v>43</v>
      </c>
      <c r="P195" s="8">
        <v>44</v>
      </c>
      <c r="Q195" s="4" t="s">
        <v>127</v>
      </c>
      <c r="R195" s="9">
        <v>16.141528925619834</v>
      </c>
      <c r="S195" s="4" t="s">
        <v>175</v>
      </c>
    </row>
    <row r="196" spans="1:19" x14ac:dyDescent="0.35">
      <c r="A196">
        <v>195</v>
      </c>
      <c r="B196">
        <v>42</v>
      </c>
      <c r="C196" t="s">
        <v>64</v>
      </c>
      <c r="D196" t="s">
        <v>101</v>
      </c>
      <c r="E196" s="10">
        <v>600</v>
      </c>
      <c r="F196" t="s">
        <v>70</v>
      </c>
      <c r="G196" t="s">
        <v>70</v>
      </c>
      <c r="H196" t="s">
        <v>92</v>
      </c>
      <c r="I196" t="s">
        <v>125</v>
      </c>
      <c r="J196" s="5">
        <v>8</v>
      </c>
      <c r="K196" s="6">
        <v>140</v>
      </c>
      <c r="L196" s="6">
        <v>87</v>
      </c>
      <c r="M196" s="7">
        <v>96</v>
      </c>
      <c r="N196" s="8">
        <v>116</v>
      </c>
      <c r="O196" s="8">
        <v>148</v>
      </c>
      <c r="P196" s="8">
        <v>65</v>
      </c>
      <c r="Q196" s="4" t="s">
        <v>127</v>
      </c>
      <c r="R196" s="9">
        <v>28.731921487603305</v>
      </c>
      <c r="S196" s="4" t="s">
        <v>175</v>
      </c>
    </row>
    <row r="197" spans="1:19" x14ac:dyDescent="0.35">
      <c r="A197">
        <v>196</v>
      </c>
      <c r="B197">
        <v>40</v>
      </c>
      <c r="C197" t="s">
        <v>89</v>
      </c>
      <c r="D197" t="s">
        <v>101</v>
      </c>
      <c r="E197" s="10">
        <v>800</v>
      </c>
      <c r="F197" t="s">
        <v>69</v>
      </c>
      <c r="G197" t="s">
        <v>69</v>
      </c>
      <c r="H197" t="s">
        <v>92</v>
      </c>
      <c r="I197" t="s">
        <v>125</v>
      </c>
      <c r="J197" s="5">
        <v>1</v>
      </c>
      <c r="K197" s="6">
        <v>120</v>
      </c>
      <c r="L197" s="6">
        <v>85</v>
      </c>
      <c r="M197" s="7">
        <v>113</v>
      </c>
      <c r="N197" s="8">
        <v>152</v>
      </c>
      <c r="O197" s="8">
        <v>65</v>
      </c>
      <c r="P197" s="8">
        <v>55</v>
      </c>
      <c r="Q197" s="4" t="s">
        <v>127</v>
      </c>
      <c r="R197" s="9">
        <v>27.548209366391188</v>
      </c>
      <c r="S197" s="4" t="s">
        <v>175</v>
      </c>
    </row>
    <row r="198" spans="1:19" x14ac:dyDescent="0.35">
      <c r="A198">
        <v>197</v>
      </c>
      <c r="B198">
        <v>21</v>
      </c>
      <c r="C198" t="s">
        <v>89</v>
      </c>
      <c r="D198" t="s">
        <v>90</v>
      </c>
      <c r="E198" s="10">
        <v>1000</v>
      </c>
      <c r="F198" t="s">
        <v>69</v>
      </c>
      <c r="G198" t="s">
        <v>69</v>
      </c>
      <c r="H198" t="s">
        <v>92</v>
      </c>
      <c r="I198" t="s">
        <v>125</v>
      </c>
      <c r="J198" s="5">
        <v>5</v>
      </c>
      <c r="K198" s="6">
        <v>119</v>
      </c>
      <c r="L198" s="6">
        <v>83</v>
      </c>
      <c r="M198" s="7">
        <v>95</v>
      </c>
      <c r="N198" s="8">
        <v>81</v>
      </c>
      <c r="O198" s="8">
        <v>43</v>
      </c>
      <c r="P198" s="8">
        <v>53</v>
      </c>
      <c r="Q198" s="4" t="s">
        <v>127</v>
      </c>
      <c r="R198" s="9">
        <v>21.874999999999996</v>
      </c>
      <c r="S198" s="4" t="s">
        <v>175</v>
      </c>
    </row>
    <row r="199" spans="1:19" x14ac:dyDescent="0.35">
      <c r="A199">
        <v>198</v>
      </c>
      <c r="B199">
        <v>46</v>
      </c>
      <c r="C199" t="s">
        <v>64</v>
      </c>
      <c r="D199" t="s">
        <v>101</v>
      </c>
      <c r="E199" s="10">
        <v>400</v>
      </c>
      <c r="F199" t="s">
        <v>69</v>
      </c>
      <c r="G199" t="s">
        <v>70</v>
      </c>
      <c r="H199" t="s">
        <v>92</v>
      </c>
      <c r="I199" t="s">
        <v>125</v>
      </c>
      <c r="J199" s="5">
        <v>1</v>
      </c>
      <c r="K199" s="6">
        <v>120</v>
      </c>
      <c r="L199" s="6">
        <v>82</v>
      </c>
      <c r="M199" s="7">
        <v>87</v>
      </c>
      <c r="N199" s="8">
        <v>71</v>
      </c>
      <c r="O199" s="8">
        <v>55</v>
      </c>
      <c r="P199" s="8">
        <v>50</v>
      </c>
      <c r="Q199" s="4" t="s">
        <v>127</v>
      </c>
      <c r="R199" s="9">
        <v>23.671253629592222</v>
      </c>
      <c r="S199" s="4" t="s">
        <v>175</v>
      </c>
    </row>
    <row r="200" spans="1:19" x14ac:dyDescent="0.35">
      <c r="A200">
        <v>199</v>
      </c>
      <c r="B200">
        <v>82</v>
      </c>
      <c r="C200" t="s">
        <v>64</v>
      </c>
      <c r="D200" t="s">
        <v>115</v>
      </c>
      <c r="E200" s="10">
        <v>500</v>
      </c>
      <c r="F200" t="s">
        <v>70</v>
      </c>
      <c r="G200" t="s">
        <v>69</v>
      </c>
      <c r="H200" t="s">
        <v>92</v>
      </c>
      <c r="I200" t="s">
        <v>125</v>
      </c>
      <c r="J200" s="5">
        <v>4</v>
      </c>
      <c r="K200" s="6">
        <v>115</v>
      </c>
      <c r="L200" s="6">
        <v>75</v>
      </c>
      <c r="M200" s="7">
        <v>110</v>
      </c>
      <c r="N200" s="8">
        <v>77</v>
      </c>
      <c r="O200" s="8">
        <v>111</v>
      </c>
      <c r="P200" s="8">
        <v>39</v>
      </c>
      <c r="Q200" s="4" t="s">
        <v>127</v>
      </c>
      <c r="R200" s="9">
        <v>21.612811791383223</v>
      </c>
      <c r="S200" s="4" t="s">
        <v>175</v>
      </c>
    </row>
    <row r="201" spans="1:19" x14ac:dyDescent="0.35">
      <c r="A201">
        <v>200</v>
      </c>
      <c r="B201">
        <v>69</v>
      </c>
      <c r="C201" t="s">
        <v>89</v>
      </c>
      <c r="D201" t="s">
        <v>115</v>
      </c>
      <c r="E201" s="10">
        <v>500</v>
      </c>
      <c r="F201" t="s">
        <v>69</v>
      </c>
      <c r="G201" t="s">
        <v>69</v>
      </c>
      <c r="H201" t="s">
        <v>92</v>
      </c>
      <c r="I201" t="s">
        <v>125</v>
      </c>
      <c r="J201" s="5">
        <v>6</v>
      </c>
      <c r="K201" s="6">
        <v>120</v>
      </c>
      <c r="L201" s="6">
        <v>80</v>
      </c>
      <c r="M201" s="7">
        <v>79</v>
      </c>
      <c r="N201" s="8">
        <v>226</v>
      </c>
      <c r="O201" s="8">
        <v>69</v>
      </c>
      <c r="P201" s="8">
        <v>54</v>
      </c>
      <c r="Q201" s="4" t="s">
        <v>126</v>
      </c>
      <c r="R201" s="9">
        <v>22.862534475250399</v>
      </c>
      <c r="S201" s="4" t="s">
        <v>174</v>
      </c>
    </row>
    <row r="202" spans="1:19" x14ac:dyDescent="0.35">
      <c r="A202">
        <v>201</v>
      </c>
      <c r="B202">
        <v>55</v>
      </c>
      <c r="C202" t="s">
        <v>64</v>
      </c>
      <c r="D202" t="s">
        <v>101</v>
      </c>
      <c r="E202" s="10">
        <v>600</v>
      </c>
      <c r="F202" t="s">
        <v>70</v>
      </c>
      <c r="G202" t="s">
        <v>69</v>
      </c>
      <c r="H202" t="s">
        <v>92</v>
      </c>
      <c r="I202" t="s">
        <v>74</v>
      </c>
      <c r="J202" s="5">
        <v>4</v>
      </c>
      <c r="K202" s="6">
        <v>120</v>
      </c>
      <c r="L202" s="6">
        <v>82</v>
      </c>
      <c r="M202" s="7">
        <v>80</v>
      </c>
      <c r="N202" s="8">
        <v>104</v>
      </c>
      <c r="O202" s="8">
        <v>162</v>
      </c>
      <c r="P202" s="8">
        <v>80</v>
      </c>
      <c r="Q202" s="4" t="s">
        <v>127</v>
      </c>
      <c r="R202" s="9">
        <v>24.343809494085704</v>
      </c>
      <c r="S202" s="4" t="s">
        <v>175</v>
      </c>
    </row>
    <row r="203" spans="1:19" x14ac:dyDescent="0.35">
      <c r="A203">
        <v>202</v>
      </c>
      <c r="B203">
        <v>65</v>
      </c>
      <c r="C203" t="s">
        <v>64</v>
      </c>
      <c r="D203" t="s">
        <v>90</v>
      </c>
      <c r="E203" s="10">
        <v>1800</v>
      </c>
      <c r="F203" t="s">
        <v>69</v>
      </c>
      <c r="G203" t="s">
        <v>70</v>
      </c>
      <c r="H203" t="s">
        <v>92</v>
      </c>
      <c r="I203" t="s">
        <v>125</v>
      </c>
      <c r="J203" s="5">
        <v>3</v>
      </c>
      <c r="K203" s="6">
        <v>120</v>
      </c>
      <c r="L203" s="6">
        <v>80</v>
      </c>
      <c r="M203" s="7">
        <v>90</v>
      </c>
      <c r="N203" s="8">
        <v>90</v>
      </c>
      <c r="O203" s="8">
        <v>120</v>
      </c>
      <c r="P203" s="8">
        <v>58</v>
      </c>
      <c r="Q203" s="4" t="s">
        <v>126</v>
      </c>
      <c r="R203" s="9">
        <v>26.296566837107374</v>
      </c>
      <c r="S203" s="4" t="s">
        <v>174</v>
      </c>
    </row>
    <row r="204" spans="1:19" x14ac:dyDescent="0.35">
      <c r="A204">
        <v>203</v>
      </c>
      <c r="B204">
        <v>52</v>
      </c>
      <c r="C204" t="s">
        <v>64</v>
      </c>
      <c r="D204" t="s">
        <v>101</v>
      </c>
      <c r="E204" s="10">
        <v>300</v>
      </c>
      <c r="F204" t="s">
        <v>69</v>
      </c>
      <c r="G204" t="s">
        <v>69</v>
      </c>
      <c r="H204" t="s">
        <v>103</v>
      </c>
      <c r="I204" t="s">
        <v>125</v>
      </c>
      <c r="J204" s="5">
        <v>4</v>
      </c>
      <c r="K204" s="6">
        <v>110</v>
      </c>
      <c r="L204" s="6">
        <v>72</v>
      </c>
      <c r="M204" s="7">
        <v>90</v>
      </c>
      <c r="N204" s="8">
        <v>87</v>
      </c>
      <c r="O204" s="8">
        <v>140</v>
      </c>
      <c r="P204" s="8">
        <v>80</v>
      </c>
      <c r="Q204" s="4" t="s">
        <v>126</v>
      </c>
      <c r="R204" s="9">
        <v>25.661152034778407</v>
      </c>
      <c r="S204" s="4" t="s">
        <v>174</v>
      </c>
    </row>
    <row r="205" spans="1:19" x14ac:dyDescent="0.35">
      <c r="A205">
        <v>204</v>
      </c>
      <c r="B205">
        <v>70</v>
      </c>
      <c r="C205" t="s">
        <v>64</v>
      </c>
      <c r="D205" t="s">
        <v>66</v>
      </c>
      <c r="E205" s="10">
        <v>700</v>
      </c>
      <c r="F205" t="s">
        <v>70</v>
      </c>
      <c r="G205" t="s">
        <v>70</v>
      </c>
      <c r="H205" t="s">
        <v>103</v>
      </c>
      <c r="I205" t="s">
        <v>125</v>
      </c>
      <c r="J205" s="5">
        <v>10</v>
      </c>
      <c r="K205" s="6">
        <v>145</v>
      </c>
      <c r="L205" s="6">
        <v>91</v>
      </c>
      <c r="M205" s="7">
        <v>106</v>
      </c>
      <c r="N205" s="8">
        <v>108</v>
      </c>
      <c r="O205" s="8">
        <v>170</v>
      </c>
      <c r="P205" s="8">
        <v>38</v>
      </c>
      <c r="Q205" s="4" t="s">
        <v>126</v>
      </c>
      <c r="R205" s="9">
        <v>30.421849648458629</v>
      </c>
      <c r="S205" s="4" t="s">
        <v>174</v>
      </c>
    </row>
    <row r="206" spans="1:19" x14ac:dyDescent="0.35">
      <c r="A206">
        <v>205</v>
      </c>
      <c r="B206">
        <v>72</v>
      </c>
      <c r="C206" t="s">
        <v>64</v>
      </c>
      <c r="D206" t="s">
        <v>101</v>
      </c>
      <c r="E206" s="10">
        <v>300</v>
      </c>
      <c r="F206" t="s">
        <v>69</v>
      </c>
      <c r="G206" t="s">
        <v>70</v>
      </c>
      <c r="H206" t="s">
        <v>103</v>
      </c>
      <c r="I206" t="s">
        <v>125</v>
      </c>
      <c r="J206" s="5">
        <v>12</v>
      </c>
      <c r="K206" s="6">
        <v>162</v>
      </c>
      <c r="L206" s="6">
        <v>98</v>
      </c>
      <c r="M206" s="7">
        <v>110</v>
      </c>
      <c r="N206" s="8">
        <v>125</v>
      </c>
      <c r="O206" s="8">
        <v>165</v>
      </c>
      <c r="P206" s="8">
        <v>35</v>
      </c>
      <c r="Q206" s="4" t="s">
        <v>126</v>
      </c>
      <c r="R206" s="9">
        <v>30.717399920729289</v>
      </c>
      <c r="S206" s="4" t="s">
        <v>174</v>
      </c>
    </row>
    <row r="207" spans="1:19" x14ac:dyDescent="0.35">
      <c r="A207">
        <v>206</v>
      </c>
      <c r="B207">
        <v>43</v>
      </c>
      <c r="C207" t="s">
        <v>64</v>
      </c>
      <c r="D207" t="s">
        <v>101</v>
      </c>
      <c r="E207" s="10">
        <v>600</v>
      </c>
      <c r="F207" t="s">
        <v>69</v>
      </c>
      <c r="G207" t="s">
        <v>69</v>
      </c>
      <c r="H207" t="s">
        <v>103</v>
      </c>
      <c r="I207" t="s">
        <v>125</v>
      </c>
      <c r="J207" s="5">
        <v>3</v>
      </c>
      <c r="K207" s="6">
        <v>100</v>
      </c>
      <c r="L207" s="6">
        <v>72</v>
      </c>
      <c r="M207" s="7">
        <v>90</v>
      </c>
      <c r="N207" s="8">
        <v>96</v>
      </c>
      <c r="O207" s="8">
        <v>173</v>
      </c>
      <c r="P207" s="8">
        <v>55</v>
      </c>
      <c r="Q207" s="4" t="s">
        <v>127</v>
      </c>
      <c r="R207" s="9">
        <v>22.460034350640772</v>
      </c>
      <c r="S207" s="4" t="s">
        <v>175</v>
      </c>
    </row>
    <row r="208" spans="1:19" x14ac:dyDescent="0.35">
      <c r="A208">
        <v>207</v>
      </c>
      <c r="B208">
        <v>41</v>
      </c>
      <c r="C208" t="s">
        <v>64</v>
      </c>
      <c r="D208" t="s">
        <v>101</v>
      </c>
      <c r="E208" s="10">
        <v>1300</v>
      </c>
      <c r="F208" t="s">
        <v>70</v>
      </c>
      <c r="G208" t="s">
        <v>69</v>
      </c>
      <c r="H208" t="s">
        <v>92</v>
      </c>
      <c r="I208" t="s">
        <v>125</v>
      </c>
      <c r="J208" s="5">
        <v>10</v>
      </c>
      <c r="K208" s="6">
        <v>152</v>
      </c>
      <c r="L208" s="6">
        <v>98</v>
      </c>
      <c r="M208" s="7">
        <v>92</v>
      </c>
      <c r="N208" s="8">
        <v>106</v>
      </c>
      <c r="O208" s="8">
        <v>140</v>
      </c>
      <c r="P208" s="8">
        <v>35</v>
      </c>
      <c r="Q208" s="4" t="s">
        <v>127</v>
      </c>
      <c r="R208" s="9">
        <v>29.410734918245165</v>
      </c>
      <c r="S208" s="4" t="s">
        <v>175</v>
      </c>
    </row>
    <row r="209" spans="1:19" x14ac:dyDescent="0.35">
      <c r="A209">
        <v>208</v>
      </c>
      <c r="B209">
        <v>39</v>
      </c>
      <c r="C209" t="s">
        <v>64</v>
      </c>
      <c r="D209" t="s">
        <v>101</v>
      </c>
      <c r="E209" s="10">
        <v>800</v>
      </c>
      <c r="F209" t="s">
        <v>69</v>
      </c>
      <c r="G209" t="s">
        <v>70</v>
      </c>
      <c r="H209" t="s">
        <v>92</v>
      </c>
      <c r="I209" t="s">
        <v>74</v>
      </c>
      <c r="J209" s="5">
        <v>2</v>
      </c>
      <c r="K209" s="6">
        <v>107</v>
      </c>
      <c r="L209" s="6">
        <v>82</v>
      </c>
      <c r="M209" s="7">
        <v>92</v>
      </c>
      <c r="N209" s="8">
        <v>93</v>
      </c>
      <c r="O209" s="8">
        <v>170</v>
      </c>
      <c r="P209" s="8">
        <v>70</v>
      </c>
      <c r="Q209" s="4" t="s">
        <v>127</v>
      </c>
      <c r="R209" s="9">
        <v>29.737044338267232</v>
      </c>
      <c r="S209" s="4" t="s">
        <v>175</v>
      </c>
    </row>
    <row r="210" spans="1:19" x14ac:dyDescent="0.35">
      <c r="A210">
        <v>209</v>
      </c>
      <c r="B210">
        <v>37</v>
      </c>
      <c r="C210" t="s">
        <v>64</v>
      </c>
      <c r="D210" t="s">
        <v>90</v>
      </c>
      <c r="E210" s="10">
        <v>600</v>
      </c>
      <c r="F210" t="s">
        <v>69</v>
      </c>
      <c r="G210" t="s">
        <v>69</v>
      </c>
      <c r="H210" t="s">
        <v>92</v>
      </c>
      <c r="I210" t="s">
        <v>125</v>
      </c>
      <c r="J210" s="5">
        <v>2</v>
      </c>
      <c r="K210" s="6">
        <v>99</v>
      </c>
      <c r="L210" s="6">
        <v>67</v>
      </c>
      <c r="M210" s="7">
        <v>78</v>
      </c>
      <c r="N210" s="8">
        <v>89</v>
      </c>
      <c r="O210" s="8">
        <v>143</v>
      </c>
      <c r="P210" s="8">
        <v>38</v>
      </c>
      <c r="Q210" s="4" t="s">
        <v>127</v>
      </c>
      <c r="R210" s="9">
        <v>25.510204081632658</v>
      </c>
      <c r="S210" s="4" t="s">
        <v>175</v>
      </c>
    </row>
    <row r="211" spans="1:19" x14ac:dyDescent="0.35">
      <c r="A211">
        <v>210</v>
      </c>
      <c r="B211">
        <v>35</v>
      </c>
      <c r="C211" t="s">
        <v>64</v>
      </c>
      <c r="D211" t="s">
        <v>90</v>
      </c>
      <c r="E211" s="10">
        <v>800</v>
      </c>
      <c r="F211" t="s">
        <v>69</v>
      </c>
      <c r="G211" t="s">
        <v>69</v>
      </c>
      <c r="H211" t="s">
        <v>92</v>
      </c>
      <c r="I211" t="s">
        <v>125</v>
      </c>
      <c r="J211" s="5">
        <v>3</v>
      </c>
      <c r="K211" s="6">
        <v>110</v>
      </c>
      <c r="L211" s="6">
        <v>72</v>
      </c>
      <c r="M211" s="7">
        <v>88</v>
      </c>
      <c r="N211" s="8">
        <v>78</v>
      </c>
      <c r="O211" s="8">
        <v>120</v>
      </c>
      <c r="P211" s="8">
        <v>53</v>
      </c>
      <c r="Q211" s="4" t="s">
        <v>127</v>
      </c>
      <c r="R211" s="9">
        <v>26.472107438016529</v>
      </c>
      <c r="S211" s="4" t="s">
        <v>175</v>
      </c>
    </row>
    <row r="212" spans="1:19" x14ac:dyDescent="0.35">
      <c r="A212">
        <v>211</v>
      </c>
      <c r="B212">
        <v>43</v>
      </c>
      <c r="C212" t="s">
        <v>64</v>
      </c>
      <c r="D212" t="s">
        <v>101</v>
      </c>
      <c r="E212" s="10">
        <v>700</v>
      </c>
      <c r="F212" t="s">
        <v>69</v>
      </c>
      <c r="G212" t="s">
        <v>69</v>
      </c>
      <c r="H212" t="s">
        <v>92</v>
      </c>
      <c r="I212" t="s">
        <v>74</v>
      </c>
      <c r="J212" s="5">
        <v>4</v>
      </c>
      <c r="K212" s="6">
        <v>120</v>
      </c>
      <c r="L212" s="6">
        <v>80</v>
      </c>
      <c r="M212" s="7">
        <v>92</v>
      </c>
      <c r="N212" s="8">
        <v>92</v>
      </c>
      <c r="O212" s="8">
        <v>132</v>
      </c>
      <c r="P212" s="8">
        <v>35</v>
      </c>
      <c r="Q212" s="4" t="s">
        <v>127</v>
      </c>
      <c r="R212" s="9">
        <v>23.456790123456788</v>
      </c>
      <c r="S212" s="4" t="s">
        <v>175</v>
      </c>
    </row>
    <row r="213" spans="1:19" x14ac:dyDescent="0.35">
      <c r="A213">
        <v>212</v>
      </c>
      <c r="B213">
        <v>46</v>
      </c>
      <c r="C213" t="s">
        <v>64</v>
      </c>
      <c r="D213" t="s">
        <v>90</v>
      </c>
      <c r="E213" s="10">
        <v>800</v>
      </c>
      <c r="F213" t="s">
        <v>69</v>
      </c>
      <c r="G213" t="s">
        <v>69</v>
      </c>
      <c r="H213" t="s">
        <v>92</v>
      </c>
      <c r="I213" t="s">
        <v>125</v>
      </c>
      <c r="J213" s="5">
        <v>3</v>
      </c>
      <c r="K213" s="6">
        <v>100</v>
      </c>
      <c r="L213" s="6">
        <v>72</v>
      </c>
      <c r="M213" s="7">
        <v>92</v>
      </c>
      <c r="N213" s="8">
        <v>92</v>
      </c>
      <c r="O213" s="8">
        <v>140</v>
      </c>
      <c r="P213" s="8">
        <v>38</v>
      </c>
      <c r="Q213" s="4" t="s">
        <v>127</v>
      </c>
      <c r="R213" s="9">
        <v>27.358845456721728</v>
      </c>
      <c r="S213" s="4" t="s">
        <v>175</v>
      </c>
    </row>
    <row r="214" spans="1:19" x14ac:dyDescent="0.35">
      <c r="A214">
        <v>213</v>
      </c>
      <c r="B214">
        <v>48</v>
      </c>
      <c r="C214" t="s">
        <v>64</v>
      </c>
      <c r="D214" t="s">
        <v>101</v>
      </c>
      <c r="E214" s="10">
        <v>1200</v>
      </c>
      <c r="F214" t="s">
        <v>70</v>
      </c>
      <c r="G214" t="s">
        <v>69</v>
      </c>
      <c r="H214" t="s">
        <v>92</v>
      </c>
      <c r="I214" t="s">
        <v>125</v>
      </c>
      <c r="J214" s="5">
        <v>4</v>
      </c>
      <c r="K214" s="6">
        <v>110</v>
      </c>
      <c r="L214" s="6">
        <v>75</v>
      </c>
      <c r="M214" s="7">
        <v>90</v>
      </c>
      <c r="N214" s="8">
        <v>88</v>
      </c>
      <c r="O214" s="8">
        <v>120</v>
      </c>
      <c r="P214" s="8">
        <v>62</v>
      </c>
      <c r="Q214" s="4" t="s">
        <v>126</v>
      </c>
      <c r="R214" s="9">
        <v>27.08415906989034</v>
      </c>
      <c r="S214" s="4" t="s">
        <v>174</v>
      </c>
    </row>
    <row r="215" spans="1:19" x14ac:dyDescent="0.35">
      <c r="A215">
        <v>214</v>
      </c>
      <c r="B215">
        <v>51</v>
      </c>
      <c r="C215" t="s">
        <v>64</v>
      </c>
      <c r="D215" t="s">
        <v>90</v>
      </c>
      <c r="E215" s="10">
        <v>800</v>
      </c>
      <c r="F215" t="s">
        <v>69</v>
      </c>
      <c r="G215" t="s">
        <v>69</v>
      </c>
      <c r="H215" t="s">
        <v>103</v>
      </c>
      <c r="I215" t="s">
        <v>125</v>
      </c>
      <c r="J215" s="5">
        <v>4</v>
      </c>
      <c r="K215" s="6">
        <v>107</v>
      </c>
      <c r="L215" s="6">
        <v>78</v>
      </c>
      <c r="M215" s="7">
        <v>90</v>
      </c>
      <c r="N215" s="8">
        <v>88</v>
      </c>
      <c r="O215" s="8">
        <v>122</v>
      </c>
      <c r="P215" s="8">
        <v>50</v>
      </c>
      <c r="Q215" s="4" t="s">
        <v>127</v>
      </c>
      <c r="R215" s="9">
        <v>27.763429752066116</v>
      </c>
      <c r="S215" s="4" t="s">
        <v>175</v>
      </c>
    </row>
    <row r="216" spans="1:19" x14ac:dyDescent="0.35">
      <c r="A216">
        <v>215</v>
      </c>
      <c r="B216">
        <v>58</v>
      </c>
      <c r="C216" t="s">
        <v>64</v>
      </c>
      <c r="D216" t="s">
        <v>90</v>
      </c>
      <c r="E216" s="10">
        <v>700</v>
      </c>
      <c r="F216" t="s">
        <v>69</v>
      </c>
      <c r="G216" t="s">
        <v>69</v>
      </c>
      <c r="H216" t="s">
        <v>92</v>
      </c>
      <c r="I216" t="s">
        <v>74</v>
      </c>
      <c r="J216" s="5">
        <v>4</v>
      </c>
      <c r="K216" s="6">
        <v>110</v>
      </c>
      <c r="L216" s="6">
        <v>98</v>
      </c>
      <c r="M216" s="7">
        <v>92</v>
      </c>
      <c r="N216" s="8">
        <v>94</v>
      </c>
      <c r="O216" s="8">
        <v>130</v>
      </c>
      <c r="P216" s="8">
        <v>70</v>
      </c>
      <c r="Q216" s="4" t="s">
        <v>126</v>
      </c>
      <c r="R216" s="9">
        <v>30.38710529792575</v>
      </c>
      <c r="S216" s="4" t="s">
        <v>174</v>
      </c>
    </row>
    <row r="217" spans="1:19" x14ac:dyDescent="0.35">
      <c r="A217">
        <v>216</v>
      </c>
      <c r="B217">
        <v>65</v>
      </c>
      <c r="C217" t="s">
        <v>64</v>
      </c>
      <c r="D217" t="s">
        <v>90</v>
      </c>
      <c r="E217" s="10">
        <v>2800</v>
      </c>
      <c r="F217" t="s">
        <v>69</v>
      </c>
      <c r="G217" t="s">
        <v>70</v>
      </c>
      <c r="H217" t="s">
        <v>103</v>
      </c>
      <c r="I217" t="s">
        <v>125</v>
      </c>
      <c r="J217" s="5">
        <v>8</v>
      </c>
      <c r="K217" s="6">
        <v>158</v>
      </c>
      <c r="L217" s="6">
        <v>96</v>
      </c>
      <c r="M217" s="7">
        <v>98</v>
      </c>
      <c r="N217" s="8">
        <v>148</v>
      </c>
      <c r="O217" s="8">
        <v>178</v>
      </c>
      <c r="P217" s="8">
        <v>36</v>
      </c>
      <c r="Q217" s="4" t="s">
        <v>127</v>
      </c>
      <c r="R217" s="9">
        <v>32.449972958355872</v>
      </c>
      <c r="S217" s="4" t="s">
        <v>175</v>
      </c>
    </row>
    <row r="218" spans="1:19" x14ac:dyDescent="0.35">
      <c r="A218">
        <v>217</v>
      </c>
      <c r="B218">
        <v>58</v>
      </c>
      <c r="C218" t="s">
        <v>64</v>
      </c>
      <c r="D218" t="s">
        <v>101</v>
      </c>
      <c r="E218" s="10">
        <v>700</v>
      </c>
      <c r="F218" t="s">
        <v>69</v>
      </c>
      <c r="G218" t="s">
        <v>69</v>
      </c>
      <c r="H218" t="s">
        <v>103</v>
      </c>
      <c r="I218" t="s">
        <v>125</v>
      </c>
      <c r="J218" s="5">
        <v>3</v>
      </c>
      <c r="K218" s="6">
        <v>112</v>
      </c>
      <c r="L218" s="6">
        <v>70</v>
      </c>
      <c r="M218" s="7">
        <v>90</v>
      </c>
      <c r="N218" s="8">
        <v>92</v>
      </c>
      <c r="O218" s="8">
        <v>118</v>
      </c>
      <c r="P218" s="8">
        <v>70</v>
      </c>
      <c r="Q218" s="4" t="s">
        <v>127</v>
      </c>
      <c r="R218" s="9">
        <v>26.196187350082059</v>
      </c>
      <c r="S218" s="4" t="s">
        <v>175</v>
      </c>
    </row>
    <row r="219" spans="1:19" x14ac:dyDescent="0.35">
      <c r="A219">
        <v>218</v>
      </c>
      <c r="B219">
        <v>56</v>
      </c>
      <c r="C219" t="s">
        <v>64</v>
      </c>
      <c r="D219" t="s">
        <v>90</v>
      </c>
      <c r="E219" s="10">
        <v>800</v>
      </c>
      <c r="F219" t="s">
        <v>69</v>
      </c>
      <c r="G219" t="s">
        <v>70</v>
      </c>
      <c r="H219" t="s">
        <v>92</v>
      </c>
      <c r="I219" t="s">
        <v>125</v>
      </c>
      <c r="J219" s="5">
        <v>4</v>
      </c>
      <c r="K219" s="6">
        <v>110</v>
      </c>
      <c r="L219" s="6">
        <v>72</v>
      </c>
      <c r="M219" s="7">
        <v>88</v>
      </c>
      <c r="N219" s="8">
        <v>96</v>
      </c>
      <c r="O219" s="8">
        <v>140</v>
      </c>
      <c r="P219" s="8">
        <v>40</v>
      </c>
      <c r="Q219" s="4" t="s">
        <v>127</v>
      </c>
      <c r="R219" s="9">
        <v>25.826446280991735</v>
      </c>
      <c r="S219" s="4" t="s">
        <v>175</v>
      </c>
    </row>
    <row r="220" spans="1:19" x14ac:dyDescent="0.35">
      <c r="A220">
        <v>219</v>
      </c>
      <c r="B220">
        <v>57</v>
      </c>
      <c r="C220" t="s">
        <v>64</v>
      </c>
      <c r="D220" t="s">
        <v>101</v>
      </c>
      <c r="E220" s="10">
        <v>600</v>
      </c>
      <c r="F220" t="s">
        <v>69</v>
      </c>
      <c r="G220" t="s">
        <v>69</v>
      </c>
      <c r="H220" t="s">
        <v>92</v>
      </c>
      <c r="I220" t="s">
        <v>74</v>
      </c>
      <c r="J220" s="5">
        <v>3</v>
      </c>
      <c r="K220" s="6">
        <v>112</v>
      </c>
      <c r="L220" s="6">
        <v>76</v>
      </c>
      <c r="M220" s="7">
        <v>87</v>
      </c>
      <c r="N220" s="8">
        <v>88</v>
      </c>
      <c r="O220" s="8">
        <v>132</v>
      </c>
      <c r="P220" s="8">
        <v>58</v>
      </c>
      <c r="Q220" s="4" t="s">
        <v>127</v>
      </c>
      <c r="R220" s="9">
        <v>25.308641975308639</v>
      </c>
      <c r="S220" s="4" t="s">
        <v>175</v>
      </c>
    </row>
    <row r="221" spans="1:19" x14ac:dyDescent="0.35">
      <c r="A221">
        <v>220</v>
      </c>
      <c r="B221">
        <v>54</v>
      </c>
      <c r="C221" t="s">
        <v>64</v>
      </c>
      <c r="D221" t="s">
        <v>101</v>
      </c>
      <c r="E221" s="10">
        <v>300</v>
      </c>
      <c r="F221" t="s">
        <v>69</v>
      </c>
      <c r="G221" t="s">
        <v>70</v>
      </c>
      <c r="H221" t="s">
        <v>92</v>
      </c>
      <c r="I221" t="s">
        <v>125</v>
      </c>
      <c r="J221" s="5">
        <v>3</v>
      </c>
      <c r="K221" s="6">
        <v>100</v>
      </c>
      <c r="L221" s="6">
        <v>80</v>
      </c>
      <c r="M221" s="7">
        <v>81</v>
      </c>
      <c r="N221" s="8">
        <v>80</v>
      </c>
      <c r="O221" s="8">
        <v>140</v>
      </c>
      <c r="P221" s="8">
        <v>66</v>
      </c>
      <c r="Q221" s="4" t="s">
        <v>127</v>
      </c>
      <c r="R221" s="9">
        <v>23.661438615467823</v>
      </c>
      <c r="S221" s="4" t="s">
        <v>175</v>
      </c>
    </row>
    <row r="222" spans="1:19" x14ac:dyDescent="0.35">
      <c r="A222">
        <v>221</v>
      </c>
      <c r="B222">
        <v>45</v>
      </c>
      <c r="C222" t="s">
        <v>64</v>
      </c>
      <c r="D222" t="s">
        <v>101</v>
      </c>
      <c r="E222" s="10">
        <v>800</v>
      </c>
      <c r="F222" t="s">
        <v>69</v>
      </c>
      <c r="G222" t="s">
        <v>69</v>
      </c>
      <c r="H222" t="s">
        <v>92</v>
      </c>
      <c r="I222" t="s">
        <v>125</v>
      </c>
      <c r="J222" s="5">
        <v>4</v>
      </c>
      <c r="K222" s="6">
        <v>100</v>
      </c>
      <c r="L222" s="6">
        <v>68</v>
      </c>
      <c r="M222" s="7">
        <v>88</v>
      </c>
      <c r="N222" s="8">
        <v>98</v>
      </c>
      <c r="O222" s="8">
        <v>140</v>
      </c>
      <c r="P222" s="8">
        <v>70</v>
      </c>
      <c r="Q222" s="4" t="s">
        <v>126</v>
      </c>
      <c r="R222" s="9">
        <v>26.423569824283259</v>
      </c>
      <c r="S222" s="4" t="s">
        <v>174</v>
      </c>
    </row>
    <row r="223" spans="1:19" x14ac:dyDescent="0.35">
      <c r="A223">
        <v>222</v>
      </c>
      <c r="B223">
        <v>32</v>
      </c>
      <c r="C223" t="s">
        <v>64</v>
      </c>
      <c r="D223" t="s">
        <v>101</v>
      </c>
      <c r="E223" s="10">
        <v>700</v>
      </c>
      <c r="F223" t="s">
        <v>69</v>
      </c>
      <c r="G223" t="s">
        <v>69</v>
      </c>
      <c r="H223" t="s">
        <v>92</v>
      </c>
      <c r="I223" t="s">
        <v>125</v>
      </c>
      <c r="J223" s="5">
        <v>3</v>
      </c>
      <c r="K223" s="6">
        <v>98</v>
      </c>
      <c r="L223" s="6">
        <v>60</v>
      </c>
      <c r="M223" s="7">
        <v>90</v>
      </c>
      <c r="N223" s="8">
        <v>88</v>
      </c>
      <c r="O223" s="8">
        <v>128</v>
      </c>
      <c r="P223" s="8">
        <v>38</v>
      </c>
      <c r="Q223" s="4" t="s">
        <v>127</v>
      </c>
      <c r="R223" s="9">
        <v>26.927437641723358</v>
      </c>
      <c r="S223" s="4" t="s">
        <v>175</v>
      </c>
    </row>
    <row r="224" spans="1:19" x14ac:dyDescent="0.35">
      <c r="A224">
        <v>223</v>
      </c>
      <c r="B224">
        <v>40</v>
      </c>
      <c r="C224" t="s">
        <v>64</v>
      </c>
      <c r="D224" t="s">
        <v>101</v>
      </c>
      <c r="E224" s="10">
        <v>880</v>
      </c>
      <c r="F224" t="s">
        <v>69</v>
      </c>
      <c r="G224" t="s">
        <v>70</v>
      </c>
      <c r="H224" t="s">
        <v>92</v>
      </c>
      <c r="I224" t="s">
        <v>125</v>
      </c>
      <c r="J224" s="5">
        <v>3</v>
      </c>
      <c r="K224" s="6">
        <v>100</v>
      </c>
      <c r="L224" s="6">
        <v>70</v>
      </c>
      <c r="M224" s="7">
        <v>78</v>
      </c>
      <c r="N224" s="8">
        <v>82</v>
      </c>
      <c r="O224" s="8">
        <v>128</v>
      </c>
      <c r="P224" s="8">
        <v>70</v>
      </c>
      <c r="Q224" s="4" t="s">
        <v>127</v>
      </c>
      <c r="R224" s="9">
        <v>22.985397512168742</v>
      </c>
      <c r="S224" s="4" t="s">
        <v>175</v>
      </c>
    </row>
    <row r="225" spans="1:19" x14ac:dyDescent="0.35">
      <c r="A225">
        <v>224</v>
      </c>
      <c r="B225">
        <v>43</v>
      </c>
      <c r="C225" t="s">
        <v>64</v>
      </c>
      <c r="D225" t="s">
        <v>101</v>
      </c>
      <c r="E225" s="10">
        <v>500</v>
      </c>
      <c r="F225" t="s">
        <v>70</v>
      </c>
      <c r="G225" t="s">
        <v>69</v>
      </c>
      <c r="H225" t="s">
        <v>92</v>
      </c>
      <c r="I225" t="s">
        <v>125</v>
      </c>
      <c r="J225" s="5">
        <v>3</v>
      </c>
      <c r="K225" s="6">
        <v>112</v>
      </c>
      <c r="L225" s="6">
        <v>70</v>
      </c>
      <c r="M225" s="7">
        <v>86</v>
      </c>
      <c r="N225" s="8">
        <v>96</v>
      </c>
      <c r="O225" s="8">
        <v>132</v>
      </c>
      <c r="P225" s="8">
        <v>62</v>
      </c>
      <c r="Q225" s="4" t="s">
        <v>127</v>
      </c>
      <c r="R225" s="9">
        <v>24.691358024691358</v>
      </c>
      <c r="S225" s="4" t="s">
        <v>175</v>
      </c>
    </row>
    <row r="226" spans="1:19" x14ac:dyDescent="0.35">
      <c r="A226">
        <v>225</v>
      </c>
      <c r="B226">
        <v>38</v>
      </c>
      <c r="C226" t="s">
        <v>64</v>
      </c>
      <c r="D226" t="s">
        <v>90</v>
      </c>
      <c r="E226" s="10">
        <v>400</v>
      </c>
      <c r="F226" t="s">
        <v>69</v>
      </c>
      <c r="G226" t="s">
        <v>69</v>
      </c>
      <c r="H226" t="s">
        <v>92</v>
      </c>
      <c r="I226" t="s">
        <v>125</v>
      </c>
      <c r="J226" s="5">
        <v>4</v>
      </c>
      <c r="K226" s="6">
        <v>110</v>
      </c>
      <c r="L226" s="6">
        <v>78</v>
      </c>
      <c r="M226" s="7">
        <v>88</v>
      </c>
      <c r="N226" s="8">
        <v>99</v>
      </c>
      <c r="O226" s="8">
        <v>112</v>
      </c>
      <c r="P226" s="8">
        <v>35</v>
      </c>
      <c r="Q226" s="4" t="s">
        <v>126</v>
      </c>
      <c r="R226" s="9">
        <v>24.535123966942148</v>
      </c>
      <c r="S226" s="4" t="s">
        <v>174</v>
      </c>
    </row>
    <row r="227" spans="1:19" x14ac:dyDescent="0.35">
      <c r="A227">
        <v>226</v>
      </c>
      <c r="B227">
        <v>67</v>
      </c>
      <c r="C227" t="s">
        <v>64</v>
      </c>
      <c r="D227" t="s">
        <v>101</v>
      </c>
      <c r="E227" s="10">
        <v>1800</v>
      </c>
      <c r="F227" t="s">
        <v>70</v>
      </c>
      <c r="G227" t="s">
        <v>69</v>
      </c>
      <c r="H227" t="s">
        <v>103</v>
      </c>
      <c r="I227" t="s">
        <v>125</v>
      </c>
      <c r="J227" s="5">
        <v>8</v>
      </c>
      <c r="K227" s="6">
        <v>160</v>
      </c>
      <c r="L227" s="6">
        <v>105</v>
      </c>
      <c r="M227" s="7">
        <v>93</v>
      </c>
      <c r="N227" s="8">
        <v>138</v>
      </c>
      <c r="O227" s="8">
        <v>180</v>
      </c>
      <c r="P227" s="8">
        <v>38</v>
      </c>
      <c r="Q227" s="4" t="s">
        <v>126</v>
      </c>
      <c r="R227" s="9">
        <v>29.410758865975858</v>
      </c>
      <c r="S227" s="4" t="s">
        <v>174</v>
      </c>
    </row>
    <row r="228" spans="1:19" x14ac:dyDescent="0.35">
      <c r="A228">
        <v>227</v>
      </c>
      <c r="B228">
        <v>62</v>
      </c>
      <c r="C228" t="s">
        <v>64</v>
      </c>
      <c r="D228" t="s">
        <v>101</v>
      </c>
      <c r="E228" s="10">
        <v>400</v>
      </c>
      <c r="F228" t="s">
        <v>69</v>
      </c>
      <c r="G228" t="s">
        <v>69</v>
      </c>
      <c r="H228" t="s">
        <v>103</v>
      </c>
      <c r="I228" t="s">
        <v>125</v>
      </c>
      <c r="J228" s="5">
        <v>2</v>
      </c>
      <c r="K228" s="6">
        <v>120</v>
      </c>
      <c r="L228" s="6">
        <v>80</v>
      </c>
      <c r="M228" s="7">
        <v>86</v>
      </c>
      <c r="N228" s="8">
        <v>92</v>
      </c>
      <c r="O228" s="8">
        <v>120</v>
      </c>
      <c r="P228" s="8">
        <v>34</v>
      </c>
      <c r="Q228" s="4" t="s">
        <v>127</v>
      </c>
      <c r="R228" s="9">
        <v>25.762980578676178</v>
      </c>
      <c r="S228" s="4" t="s">
        <v>175</v>
      </c>
    </row>
    <row r="229" spans="1:19" x14ac:dyDescent="0.35">
      <c r="A229">
        <v>228</v>
      </c>
      <c r="B229">
        <v>53</v>
      </c>
      <c r="C229" t="s">
        <v>64</v>
      </c>
      <c r="D229" t="s">
        <v>90</v>
      </c>
      <c r="E229" s="10">
        <v>300</v>
      </c>
      <c r="F229" t="s">
        <v>69</v>
      </c>
      <c r="G229" t="s">
        <v>70</v>
      </c>
      <c r="H229" t="s">
        <v>92</v>
      </c>
      <c r="I229" t="s">
        <v>125</v>
      </c>
      <c r="J229" s="5">
        <v>3</v>
      </c>
      <c r="K229" s="6">
        <v>110</v>
      </c>
      <c r="L229" s="6">
        <v>72</v>
      </c>
      <c r="M229" s="7">
        <v>88</v>
      </c>
      <c r="N229" s="8">
        <v>88</v>
      </c>
      <c r="O229" s="8">
        <v>140</v>
      </c>
      <c r="P229" s="8">
        <v>38</v>
      </c>
      <c r="Q229" s="4" t="s">
        <v>126</v>
      </c>
      <c r="R229" s="9">
        <v>27.763429752066116</v>
      </c>
      <c r="S229" s="4" t="s">
        <v>174</v>
      </c>
    </row>
    <row r="230" spans="1:19" x14ac:dyDescent="0.35">
      <c r="A230">
        <v>229</v>
      </c>
      <c r="B230">
        <v>58</v>
      </c>
      <c r="C230" t="s">
        <v>64</v>
      </c>
      <c r="D230" t="s">
        <v>66</v>
      </c>
      <c r="E230" s="10">
        <v>480</v>
      </c>
      <c r="F230" t="s">
        <v>69</v>
      </c>
      <c r="G230" t="s">
        <v>69</v>
      </c>
      <c r="H230" t="s">
        <v>92</v>
      </c>
      <c r="I230" t="s">
        <v>125</v>
      </c>
      <c r="J230" s="5">
        <v>4</v>
      </c>
      <c r="K230" s="6">
        <v>105</v>
      </c>
      <c r="L230" s="6">
        <v>70</v>
      </c>
      <c r="M230" s="7">
        <v>90</v>
      </c>
      <c r="N230" s="8">
        <v>82</v>
      </c>
      <c r="O230" s="8">
        <v>136</v>
      </c>
      <c r="P230" s="8">
        <v>53</v>
      </c>
      <c r="Q230" s="4" t="s">
        <v>126</v>
      </c>
      <c r="R230" s="9">
        <v>27.170631566235961</v>
      </c>
      <c r="S230" s="4" t="s">
        <v>174</v>
      </c>
    </row>
    <row r="231" spans="1:19" x14ac:dyDescent="0.35">
      <c r="A231">
        <v>230</v>
      </c>
      <c r="B231">
        <v>60</v>
      </c>
      <c r="C231" t="s">
        <v>64</v>
      </c>
      <c r="D231" t="s">
        <v>66</v>
      </c>
      <c r="E231" s="10">
        <v>600</v>
      </c>
      <c r="F231" t="s">
        <v>69</v>
      </c>
      <c r="G231" t="s">
        <v>69</v>
      </c>
      <c r="H231" t="s">
        <v>92</v>
      </c>
      <c r="I231" t="s">
        <v>125</v>
      </c>
      <c r="J231" s="5">
        <v>4</v>
      </c>
      <c r="K231" s="6">
        <v>98</v>
      </c>
      <c r="L231" s="6">
        <v>72</v>
      </c>
      <c r="M231" s="7">
        <v>84</v>
      </c>
      <c r="N231" s="8">
        <v>88</v>
      </c>
      <c r="O231" s="8">
        <v>140</v>
      </c>
      <c r="P231" s="8">
        <v>50</v>
      </c>
      <c r="Q231" s="4" t="s">
        <v>127</v>
      </c>
      <c r="R231" s="9">
        <v>25.180785123966942</v>
      </c>
      <c r="S231" s="4" t="s">
        <v>175</v>
      </c>
    </row>
    <row r="232" spans="1:19" x14ac:dyDescent="0.35">
      <c r="A232">
        <v>231</v>
      </c>
      <c r="B232">
        <v>58</v>
      </c>
      <c r="C232" t="s">
        <v>64</v>
      </c>
      <c r="D232" t="s">
        <v>101</v>
      </c>
      <c r="E232" s="10">
        <v>2200</v>
      </c>
      <c r="F232" t="s">
        <v>70</v>
      </c>
      <c r="G232" t="s">
        <v>70</v>
      </c>
      <c r="H232" t="s">
        <v>92</v>
      </c>
      <c r="I232" t="s">
        <v>125</v>
      </c>
      <c r="J232" s="5">
        <v>6</v>
      </c>
      <c r="K232" s="6">
        <v>155</v>
      </c>
      <c r="L232" s="6">
        <v>98</v>
      </c>
      <c r="M232" s="7">
        <v>95</v>
      </c>
      <c r="N232" s="8">
        <v>176</v>
      </c>
      <c r="O232" s="8">
        <v>112</v>
      </c>
      <c r="P232" s="8">
        <v>36</v>
      </c>
      <c r="Q232" s="4" t="s">
        <v>127</v>
      </c>
      <c r="R232" s="9">
        <v>28.40909090909091</v>
      </c>
      <c r="S232" s="4" t="s">
        <v>175</v>
      </c>
    </row>
    <row r="233" spans="1:19" x14ac:dyDescent="0.35">
      <c r="A233">
        <v>232</v>
      </c>
      <c r="B233">
        <v>52</v>
      </c>
      <c r="C233" t="s">
        <v>64</v>
      </c>
      <c r="D233" t="s">
        <v>101</v>
      </c>
      <c r="E233" s="10">
        <v>400</v>
      </c>
      <c r="F233" t="s">
        <v>69</v>
      </c>
      <c r="G233" t="s">
        <v>70</v>
      </c>
      <c r="H233" t="s">
        <v>103</v>
      </c>
      <c r="I233" t="s">
        <v>125</v>
      </c>
      <c r="J233" s="5">
        <v>2</v>
      </c>
      <c r="K233" s="6">
        <v>108</v>
      </c>
      <c r="L233" s="6">
        <v>80</v>
      </c>
      <c r="M233" s="7">
        <v>90</v>
      </c>
      <c r="N233" s="8">
        <v>94</v>
      </c>
      <c r="O233" s="8">
        <v>120</v>
      </c>
      <c r="P233" s="8">
        <v>60</v>
      </c>
      <c r="Q233" s="4" t="s">
        <v>127</v>
      </c>
      <c r="R233" s="9">
        <v>27.717685235262305</v>
      </c>
      <c r="S233" s="4" t="s">
        <v>175</v>
      </c>
    </row>
    <row r="234" spans="1:19" x14ac:dyDescent="0.35">
      <c r="A234">
        <v>233</v>
      </c>
      <c r="B234">
        <v>38</v>
      </c>
      <c r="C234" t="s">
        <v>64</v>
      </c>
      <c r="D234" t="s">
        <v>101</v>
      </c>
      <c r="E234" s="10">
        <v>600</v>
      </c>
      <c r="F234" t="s">
        <v>69</v>
      </c>
      <c r="G234" t="s">
        <v>69</v>
      </c>
      <c r="H234" t="s">
        <v>92</v>
      </c>
      <c r="I234" t="s">
        <v>74</v>
      </c>
      <c r="J234" s="5">
        <v>4</v>
      </c>
      <c r="K234" s="6">
        <v>118</v>
      </c>
      <c r="L234" s="6">
        <v>78</v>
      </c>
      <c r="M234" s="7">
        <v>90</v>
      </c>
      <c r="N234" s="8">
        <v>96</v>
      </c>
      <c r="O234" s="8">
        <v>122</v>
      </c>
      <c r="P234" s="8">
        <v>62</v>
      </c>
      <c r="Q234" s="4" t="s">
        <v>126</v>
      </c>
      <c r="R234" s="9">
        <v>27.117768595041323</v>
      </c>
      <c r="S234" s="4" t="s">
        <v>174</v>
      </c>
    </row>
    <row r="235" spans="1:19" x14ac:dyDescent="0.35">
      <c r="A235">
        <v>234</v>
      </c>
      <c r="B235">
        <v>32</v>
      </c>
      <c r="C235" t="s">
        <v>64</v>
      </c>
      <c r="D235" t="s">
        <v>115</v>
      </c>
      <c r="E235" s="10">
        <v>400</v>
      </c>
      <c r="F235" t="s">
        <v>69</v>
      </c>
      <c r="G235" t="s">
        <v>69</v>
      </c>
      <c r="H235" t="s">
        <v>92</v>
      </c>
      <c r="I235" t="s">
        <v>125</v>
      </c>
      <c r="J235" s="5">
        <v>4</v>
      </c>
      <c r="K235" s="6">
        <v>120</v>
      </c>
      <c r="L235" s="6">
        <v>78</v>
      </c>
      <c r="M235" s="7">
        <v>91</v>
      </c>
      <c r="N235" s="8">
        <v>96</v>
      </c>
      <c r="O235" s="8">
        <v>130</v>
      </c>
      <c r="P235" s="8">
        <v>58</v>
      </c>
      <c r="Q235" s="4" t="s">
        <v>127</v>
      </c>
      <c r="R235" s="9">
        <v>28.405337561104506</v>
      </c>
      <c r="S235" s="4" t="s">
        <v>175</v>
      </c>
    </row>
    <row r="236" spans="1:19" x14ac:dyDescent="0.35">
      <c r="A236">
        <v>235</v>
      </c>
      <c r="B236">
        <v>48</v>
      </c>
      <c r="C236" t="s">
        <v>64</v>
      </c>
      <c r="D236" t="s">
        <v>66</v>
      </c>
      <c r="E236" s="10">
        <v>400</v>
      </c>
      <c r="F236" t="s">
        <v>69</v>
      </c>
      <c r="G236" t="s">
        <v>70</v>
      </c>
      <c r="H236" t="s">
        <v>73</v>
      </c>
      <c r="I236" t="s">
        <v>125</v>
      </c>
      <c r="J236" s="5">
        <v>3</v>
      </c>
      <c r="K236" s="6">
        <v>110</v>
      </c>
      <c r="L236" s="6">
        <v>76</v>
      </c>
      <c r="M236" s="7">
        <v>86</v>
      </c>
      <c r="N236" s="8">
        <v>88</v>
      </c>
      <c r="O236" s="8">
        <v>140</v>
      </c>
      <c r="P236" s="8">
        <v>60</v>
      </c>
      <c r="Q236" s="4" t="s">
        <v>126</v>
      </c>
      <c r="R236" s="9">
        <v>27.636054421768712</v>
      </c>
      <c r="S236" s="4" t="s">
        <v>174</v>
      </c>
    </row>
    <row r="237" spans="1:19" x14ac:dyDescent="0.35">
      <c r="A237">
        <v>236</v>
      </c>
      <c r="B237">
        <v>37</v>
      </c>
      <c r="C237" t="s">
        <v>64</v>
      </c>
      <c r="D237" t="s">
        <v>101</v>
      </c>
      <c r="E237" s="10">
        <v>380</v>
      </c>
      <c r="F237" t="s">
        <v>69</v>
      </c>
      <c r="G237" t="s">
        <v>69</v>
      </c>
      <c r="H237" t="s">
        <v>92</v>
      </c>
      <c r="I237" t="s">
        <v>125</v>
      </c>
      <c r="J237" s="5">
        <v>3</v>
      </c>
      <c r="K237" s="6">
        <v>112</v>
      </c>
      <c r="L237" s="6">
        <v>78</v>
      </c>
      <c r="M237" s="7">
        <v>88</v>
      </c>
      <c r="N237" s="8">
        <v>88</v>
      </c>
      <c r="O237" s="8">
        <v>140</v>
      </c>
      <c r="P237" s="8">
        <v>62</v>
      </c>
      <c r="Q237" s="4" t="s">
        <v>126</v>
      </c>
      <c r="R237" s="9">
        <v>23.120623596247853</v>
      </c>
      <c r="S237" s="4" t="s">
        <v>174</v>
      </c>
    </row>
    <row r="238" spans="1:19" x14ac:dyDescent="0.35">
      <c r="A238">
        <v>237</v>
      </c>
      <c r="B238">
        <v>36</v>
      </c>
      <c r="C238" t="s">
        <v>64</v>
      </c>
      <c r="D238" t="s">
        <v>101</v>
      </c>
      <c r="E238" s="10">
        <v>480</v>
      </c>
      <c r="F238" t="s">
        <v>70</v>
      </c>
      <c r="G238" t="s">
        <v>69</v>
      </c>
      <c r="H238" t="s">
        <v>92</v>
      </c>
      <c r="I238" t="s">
        <v>74</v>
      </c>
      <c r="J238" s="5">
        <v>4</v>
      </c>
      <c r="K238" s="6">
        <v>114</v>
      </c>
      <c r="L238" s="6">
        <v>80</v>
      </c>
      <c r="M238" s="7">
        <v>82</v>
      </c>
      <c r="N238" s="8">
        <v>90</v>
      </c>
      <c r="O238" s="8">
        <v>170</v>
      </c>
      <c r="P238" s="8">
        <v>38</v>
      </c>
      <c r="Q238" s="4" t="s">
        <v>126</v>
      </c>
      <c r="R238" s="9">
        <v>25.249337204898371</v>
      </c>
      <c r="S238" s="4" t="s">
        <v>174</v>
      </c>
    </row>
    <row r="239" spans="1:19" x14ac:dyDescent="0.35">
      <c r="A239">
        <v>238</v>
      </c>
      <c r="B239">
        <v>34</v>
      </c>
      <c r="C239" t="s">
        <v>64</v>
      </c>
      <c r="D239" t="s">
        <v>101</v>
      </c>
      <c r="E239" s="10">
        <v>350</v>
      </c>
      <c r="F239" t="s">
        <v>69</v>
      </c>
      <c r="G239" t="s">
        <v>70</v>
      </c>
      <c r="H239" t="s">
        <v>73</v>
      </c>
      <c r="I239" t="s">
        <v>125</v>
      </c>
      <c r="J239" s="5">
        <v>3</v>
      </c>
      <c r="K239" s="6">
        <v>98</v>
      </c>
      <c r="L239" s="6">
        <v>70</v>
      </c>
      <c r="M239" s="7">
        <v>90</v>
      </c>
      <c r="N239" s="8">
        <v>110</v>
      </c>
      <c r="O239" s="8">
        <v>108</v>
      </c>
      <c r="P239" s="8">
        <v>70</v>
      </c>
      <c r="Q239" s="4" t="s">
        <v>127</v>
      </c>
      <c r="R239" s="9">
        <v>26.927437641723358</v>
      </c>
      <c r="S239" s="4" t="s">
        <v>175</v>
      </c>
    </row>
    <row r="240" spans="1:19" x14ac:dyDescent="0.35">
      <c r="A240">
        <v>239</v>
      </c>
      <c r="B240">
        <v>33</v>
      </c>
      <c r="C240" t="s">
        <v>64</v>
      </c>
      <c r="D240" t="s">
        <v>101</v>
      </c>
      <c r="E240" s="10">
        <v>400</v>
      </c>
      <c r="F240" t="s">
        <v>69</v>
      </c>
      <c r="G240" t="s">
        <v>69</v>
      </c>
      <c r="H240" t="s">
        <v>92</v>
      </c>
      <c r="I240" t="s">
        <v>125</v>
      </c>
      <c r="J240" s="5">
        <v>3</v>
      </c>
      <c r="K240" s="6">
        <v>100</v>
      </c>
      <c r="L240" s="6">
        <v>68</v>
      </c>
      <c r="M240" s="7">
        <v>86</v>
      </c>
      <c r="N240" s="8">
        <v>88</v>
      </c>
      <c r="O240" s="8">
        <v>120</v>
      </c>
      <c r="P240" s="8">
        <v>65</v>
      </c>
      <c r="Q240" s="4" t="s">
        <v>126</v>
      </c>
      <c r="R240" s="9">
        <v>22.720438370810918</v>
      </c>
      <c r="S240" s="4" t="s">
        <v>174</v>
      </c>
    </row>
    <row r="241" spans="1:19" x14ac:dyDescent="0.35">
      <c r="A241">
        <v>240</v>
      </c>
      <c r="B241">
        <v>42</v>
      </c>
      <c r="C241" t="s">
        <v>64</v>
      </c>
      <c r="D241" t="s">
        <v>90</v>
      </c>
      <c r="E241" s="10">
        <v>700</v>
      </c>
      <c r="F241" t="s">
        <v>69</v>
      </c>
      <c r="G241" t="s">
        <v>69</v>
      </c>
      <c r="H241" t="s">
        <v>92</v>
      </c>
      <c r="I241" t="s">
        <v>125</v>
      </c>
      <c r="J241" s="5">
        <v>3</v>
      </c>
      <c r="K241" s="6">
        <v>108</v>
      </c>
      <c r="L241" s="6">
        <v>78</v>
      </c>
      <c r="M241" s="7">
        <v>82</v>
      </c>
      <c r="N241" s="8">
        <v>86</v>
      </c>
      <c r="O241" s="8">
        <v>140</v>
      </c>
      <c r="P241" s="8">
        <v>70</v>
      </c>
      <c r="Q241" s="4" t="s">
        <v>126</v>
      </c>
      <c r="R241" s="9">
        <v>22.340297065571789</v>
      </c>
      <c r="S241" s="4" t="s">
        <v>174</v>
      </c>
    </row>
    <row r="242" spans="1:19" x14ac:dyDescent="0.35">
      <c r="A242">
        <v>241</v>
      </c>
      <c r="B242">
        <v>48</v>
      </c>
      <c r="C242" t="s">
        <v>89</v>
      </c>
      <c r="D242" t="s">
        <v>90</v>
      </c>
      <c r="E242" s="10">
        <v>400</v>
      </c>
      <c r="F242" t="s">
        <v>69</v>
      </c>
      <c r="G242" t="s">
        <v>69</v>
      </c>
      <c r="H242" t="s">
        <v>92</v>
      </c>
      <c r="I242" t="s">
        <v>125</v>
      </c>
      <c r="J242" s="5">
        <v>3</v>
      </c>
      <c r="K242" s="6">
        <v>112</v>
      </c>
      <c r="L242" s="6">
        <v>76</v>
      </c>
      <c r="M242" s="7">
        <v>79</v>
      </c>
      <c r="N242" s="8">
        <v>89</v>
      </c>
      <c r="O242" s="8">
        <v>124</v>
      </c>
      <c r="P242" s="8">
        <v>42</v>
      </c>
      <c r="Q242" s="4" t="s">
        <v>127</v>
      </c>
      <c r="R242" s="9">
        <v>26.1286108288576</v>
      </c>
      <c r="S242" s="4" t="s">
        <v>175</v>
      </c>
    </row>
    <row r="243" spans="1:19" x14ac:dyDescent="0.35">
      <c r="A243">
        <v>242</v>
      </c>
      <c r="B243">
        <v>52</v>
      </c>
      <c r="C243" t="s">
        <v>89</v>
      </c>
      <c r="D243" t="s">
        <v>101</v>
      </c>
      <c r="E243" s="10">
        <v>800</v>
      </c>
      <c r="F243" t="s">
        <v>70</v>
      </c>
      <c r="G243" t="s">
        <v>69</v>
      </c>
      <c r="H243" t="s">
        <v>92</v>
      </c>
      <c r="I243" t="s">
        <v>125</v>
      </c>
      <c r="J243" s="5">
        <v>4</v>
      </c>
      <c r="K243" s="6">
        <v>118</v>
      </c>
      <c r="L243" s="6">
        <v>78</v>
      </c>
      <c r="M243" s="7">
        <v>93</v>
      </c>
      <c r="N243" s="8">
        <v>124</v>
      </c>
      <c r="O243" s="8">
        <v>142</v>
      </c>
      <c r="P243" s="8">
        <v>38</v>
      </c>
      <c r="Q243" s="4" t="s">
        <v>126</v>
      </c>
      <c r="R243" s="9">
        <v>28.344671201814062</v>
      </c>
      <c r="S243" s="4" t="s">
        <v>174</v>
      </c>
    </row>
    <row r="244" spans="1:19" x14ac:dyDescent="0.35">
      <c r="A244">
        <v>243</v>
      </c>
      <c r="B244">
        <v>58</v>
      </c>
      <c r="C244" t="s">
        <v>89</v>
      </c>
      <c r="D244" t="s">
        <v>115</v>
      </c>
      <c r="E244" s="10">
        <v>200</v>
      </c>
      <c r="F244" t="s">
        <v>70</v>
      </c>
      <c r="G244" t="s">
        <v>70</v>
      </c>
      <c r="H244" t="s">
        <v>103</v>
      </c>
      <c r="I244" t="s">
        <v>125</v>
      </c>
      <c r="J244" s="5">
        <v>6</v>
      </c>
      <c r="K244" s="6">
        <v>140</v>
      </c>
      <c r="L244" s="6">
        <v>93</v>
      </c>
      <c r="M244" s="7">
        <v>98</v>
      </c>
      <c r="N244" s="8">
        <v>134</v>
      </c>
      <c r="O244" s="8">
        <v>160</v>
      </c>
      <c r="P244" s="8">
        <v>40</v>
      </c>
      <c r="Q244" s="4" t="s">
        <v>127</v>
      </c>
      <c r="R244" s="9">
        <v>30.08382909680909</v>
      </c>
      <c r="S244" s="4" t="s">
        <v>175</v>
      </c>
    </row>
    <row r="245" spans="1:19" x14ac:dyDescent="0.35">
      <c r="A245">
        <v>244</v>
      </c>
      <c r="B245">
        <v>54</v>
      </c>
      <c r="C245" t="s">
        <v>89</v>
      </c>
      <c r="D245" t="s">
        <v>90</v>
      </c>
      <c r="E245" s="10">
        <v>1200</v>
      </c>
      <c r="F245" t="s">
        <v>69</v>
      </c>
      <c r="G245" t="s">
        <v>69</v>
      </c>
      <c r="H245" t="s">
        <v>92</v>
      </c>
      <c r="I245" t="s">
        <v>125</v>
      </c>
      <c r="J245" s="5">
        <v>5</v>
      </c>
      <c r="K245" s="6">
        <v>125</v>
      </c>
      <c r="L245" s="6">
        <v>88</v>
      </c>
      <c r="M245" s="7">
        <v>96</v>
      </c>
      <c r="N245" s="8">
        <v>184</v>
      </c>
      <c r="O245" s="8">
        <v>180</v>
      </c>
      <c r="P245" s="8">
        <v>42</v>
      </c>
      <c r="Q245" s="4" t="s">
        <v>126</v>
      </c>
      <c r="R245" s="9">
        <v>30.094730002393902</v>
      </c>
      <c r="S245" s="4" t="s">
        <v>174</v>
      </c>
    </row>
    <row r="246" spans="1:19" x14ac:dyDescent="0.35">
      <c r="A246">
        <v>245</v>
      </c>
      <c r="B246">
        <v>62</v>
      </c>
      <c r="C246" t="s">
        <v>89</v>
      </c>
      <c r="D246" t="s">
        <v>90</v>
      </c>
      <c r="E246" s="10">
        <v>700</v>
      </c>
      <c r="F246" t="s">
        <v>69</v>
      </c>
      <c r="G246" t="s">
        <v>69</v>
      </c>
      <c r="H246" t="s">
        <v>92</v>
      </c>
      <c r="I246" t="s">
        <v>125</v>
      </c>
      <c r="J246" s="5">
        <v>6</v>
      </c>
      <c r="K246" s="6">
        <v>160</v>
      </c>
      <c r="L246" s="6">
        <v>108</v>
      </c>
      <c r="M246" s="7">
        <v>94</v>
      </c>
      <c r="N246" s="8">
        <v>132</v>
      </c>
      <c r="O246" s="8">
        <v>120</v>
      </c>
      <c r="P246" s="8">
        <v>40</v>
      </c>
      <c r="Q246" s="4" t="s">
        <v>127</v>
      </c>
      <c r="R246" s="9">
        <v>31.231409875074366</v>
      </c>
      <c r="S246" s="4" t="s">
        <v>175</v>
      </c>
    </row>
    <row r="247" spans="1:19" x14ac:dyDescent="0.35">
      <c r="A247">
        <v>246</v>
      </c>
      <c r="B247">
        <v>67</v>
      </c>
      <c r="C247" t="s">
        <v>64</v>
      </c>
      <c r="D247" t="s">
        <v>90</v>
      </c>
      <c r="E247" s="10">
        <v>2000</v>
      </c>
      <c r="F247" t="s">
        <v>70</v>
      </c>
      <c r="G247" t="s">
        <v>70</v>
      </c>
      <c r="H247" t="s">
        <v>92</v>
      </c>
      <c r="I247" t="s">
        <v>125</v>
      </c>
      <c r="J247" s="5">
        <v>6</v>
      </c>
      <c r="K247" s="6">
        <v>160</v>
      </c>
      <c r="L247" s="6">
        <v>104</v>
      </c>
      <c r="M247" s="7">
        <v>91</v>
      </c>
      <c r="N247" s="8">
        <v>122</v>
      </c>
      <c r="O247" s="8">
        <v>178</v>
      </c>
      <c r="P247" s="8">
        <v>30</v>
      </c>
      <c r="Q247" s="4" t="s">
        <v>127</v>
      </c>
      <c r="R247" s="9">
        <v>27.717685235262305</v>
      </c>
      <c r="S247" s="4" t="s">
        <v>175</v>
      </c>
    </row>
    <row r="248" spans="1:19" x14ac:dyDescent="0.35">
      <c r="A248">
        <v>247</v>
      </c>
      <c r="B248">
        <v>52</v>
      </c>
      <c r="C248" t="s">
        <v>64</v>
      </c>
      <c r="D248" t="s">
        <v>101</v>
      </c>
      <c r="E248" s="10">
        <v>600</v>
      </c>
      <c r="F248" t="s">
        <v>69</v>
      </c>
      <c r="G248" t="s">
        <v>69</v>
      </c>
      <c r="H248" t="s">
        <v>92</v>
      </c>
      <c r="I248" t="s">
        <v>124</v>
      </c>
      <c r="J248" s="5">
        <v>3</v>
      </c>
      <c r="K248" s="6">
        <v>110</v>
      </c>
      <c r="L248" s="6">
        <v>78</v>
      </c>
      <c r="M248" s="7">
        <v>89</v>
      </c>
      <c r="N248" s="8">
        <v>97</v>
      </c>
      <c r="O248" s="8">
        <v>122</v>
      </c>
      <c r="P248" s="8">
        <v>56</v>
      </c>
      <c r="Q248" s="4" t="s">
        <v>127</v>
      </c>
      <c r="R248" s="9">
        <v>23.243801652892564</v>
      </c>
      <c r="S248" s="4" t="s">
        <v>175</v>
      </c>
    </row>
    <row r="249" spans="1:19" x14ac:dyDescent="0.35">
      <c r="A249">
        <v>248</v>
      </c>
      <c r="B249">
        <v>42</v>
      </c>
      <c r="C249" t="s">
        <v>89</v>
      </c>
      <c r="D249" t="s">
        <v>90</v>
      </c>
      <c r="E249" s="10">
        <v>500</v>
      </c>
      <c r="F249" t="s">
        <v>69</v>
      </c>
      <c r="G249" t="s">
        <v>69</v>
      </c>
      <c r="H249" t="s">
        <v>92</v>
      </c>
      <c r="I249" t="s">
        <v>125</v>
      </c>
      <c r="J249" s="5">
        <v>3</v>
      </c>
      <c r="K249" s="6">
        <v>118</v>
      </c>
      <c r="L249" s="6">
        <v>81</v>
      </c>
      <c r="M249" s="7">
        <v>94</v>
      </c>
      <c r="N249" s="8">
        <v>92</v>
      </c>
      <c r="O249" s="8">
        <v>126</v>
      </c>
      <c r="P249" s="8">
        <v>53</v>
      </c>
      <c r="Q249" s="4" t="s">
        <v>127</v>
      </c>
      <c r="R249" s="9">
        <v>25.529644871208653</v>
      </c>
      <c r="S249" s="4" t="s">
        <v>175</v>
      </c>
    </row>
    <row r="250" spans="1:19" x14ac:dyDescent="0.35">
      <c r="A250">
        <v>249</v>
      </c>
      <c r="B250">
        <v>58</v>
      </c>
      <c r="C250" t="s">
        <v>89</v>
      </c>
      <c r="D250" t="s">
        <v>66</v>
      </c>
      <c r="E250" s="10">
        <v>800</v>
      </c>
      <c r="F250" t="s">
        <v>69</v>
      </c>
      <c r="G250" t="s">
        <v>69</v>
      </c>
      <c r="H250" t="s">
        <v>92</v>
      </c>
      <c r="I250" t="s">
        <v>125</v>
      </c>
      <c r="J250" s="5">
        <v>6</v>
      </c>
      <c r="K250" s="6">
        <v>145</v>
      </c>
      <c r="L250" s="6">
        <v>96</v>
      </c>
      <c r="M250" s="7">
        <v>98</v>
      </c>
      <c r="N250" s="8">
        <v>136</v>
      </c>
      <c r="O250" s="8">
        <v>158</v>
      </c>
      <c r="P250" s="8">
        <v>53</v>
      </c>
      <c r="Q250" s="4" t="s">
        <v>126</v>
      </c>
      <c r="R250" s="9">
        <v>30.119375573921033</v>
      </c>
      <c r="S250" s="4" t="s">
        <v>174</v>
      </c>
    </row>
    <row r="251" spans="1:19" x14ac:dyDescent="0.35">
      <c r="A251">
        <v>250</v>
      </c>
      <c r="B251">
        <v>25</v>
      </c>
      <c r="C251" t="s">
        <v>89</v>
      </c>
      <c r="D251" t="s">
        <v>90</v>
      </c>
      <c r="E251" s="10">
        <v>100</v>
      </c>
      <c r="F251" t="s">
        <v>69</v>
      </c>
      <c r="G251" t="s">
        <v>69</v>
      </c>
      <c r="H251" t="s">
        <v>103</v>
      </c>
      <c r="I251" t="s">
        <v>125</v>
      </c>
      <c r="J251" s="5">
        <v>4</v>
      </c>
      <c r="K251" s="6">
        <v>126</v>
      </c>
      <c r="L251" s="6">
        <v>66</v>
      </c>
      <c r="M251" s="7">
        <v>96</v>
      </c>
      <c r="N251" s="8">
        <v>103</v>
      </c>
      <c r="O251" s="8">
        <v>96</v>
      </c>
      <c r="P251" s="8">
        <v>40</v>
      </c>
      <c r="Q251" s="4" t="s">
        <v>127</v>
      </c>
      <c r="R251" s="9">
        <v>26.709401709401707</v>
      </c>
      <c r="S251" s="4" t="s">
        <v>175</v>
      </c>
    </row>
    <row r="252" spans="1:19" x14ac:dyDescent="0.35">
      <c r="A252">
        <v>251</v>
      </c>
      <c r="B252">
        <v>30</v>
      </c>
      <c r="C252" t="s">
        <v>89</v>
      </c>
      <c r="D252" t="s">
        <v>101</v>
      </c>
      <c r="E252" s="10">
        <v>400</v>
      </c>
      <c r="F252" t="s">
        <v>69</v>
      </c>
      <c r="G252" t="s">
        <v>69</v>
      </c>
      <c r="H252" t="s">
        <v>103</v>
      </c>
      <c r="I252" t="s">
        <v>125</v>
      </c>
      <c r="J252" s="5">
        <v>3</v>
      </c>
      <c r="K252" s="6">
        <v>143</v>
      </c>
      <c r="L252" s="6">
        <v>89</v>
      </c>
      <c r="M252" s="7">
        <v>100</v>
      </c>
      <c r="N252" s="8">
        <v>178</v>
      </c>
      <c r="O252" s="8">
        <v>124</v>
      </c>
      <c r="P252" s="8">
        <v>51</v>
      </c>
      <c r="Q252" s="4" t="s">
        <v>126</v>
      </c>
      <c r="R252" s="9">
        <v>34.478096268253111</v>
      </c>
      <c r="S252" s="4" t="s">
        <v>174</v>
      </c>
    </row>
    <row r="253" spans="1:19" x14ac:dyDescent="0.35">
      <c r="A253">
        <v>252</v>
      </c>
      <c r="B253">
        <v>61</v>
      </c>
      <c r="C253" t="s">
        <v>64</v>
      </c>
      <c r="D253" t="s">
        <v>66</v>
      </c>
      <c r="E253" s="10">
        <v>300</v>
      </c>
      <c r="F253" t="s">
        <v>69</v>
      </c>
      <c r="G253" t="s">
        <v>69</v>
      </c>
      <c r="H253" t="s">
        <v>92</v>
      </c>
      <c r="I253" t="s">
        <v>125</v>
      </c>
      <c r="J253" s="5">
        <v>1</v>
      </c>
      <c r="K253" s="6">
        <v>133</v>
      </c>
      <c r="L253" s="6">
        <v>93</v>
      </c>
      <c r="M253" s="7">
        <v>88</v>
      </c>
      <c r="N253" s="8">
        <v>92</v>
      </c>
      <c r="O253" s="8">
        <v>108</v>
      </c>
      <c r="P253" s="8">
        <v>37</v>
      </c>
      <c r="Q253" s="4" t="s">
        <v>127</v>
      </c>
      <c r="R253" s="9">
        <v>27.459821944733491</v>
      </c>
      <c r="S253" s="4" t="s">
        <v>175</v>
      </c>
    </row>
    <row r="254" spans="1:19" x14ac:dyDescent="0.35">
      <c r="A254">
        <v>253</v>
      </c>
      <c r="B254">
        <v>67</v>
      </c>
      <c r="C254" t="s">
        <v>89</v>
      </c>
      <c r="D254" t="s">
        <v>66</v>
      </c>
      <c r="E254" s="10">
        <v>200</v>
      </c>
      <c r="F254" t="s">
        <v>69</v>
      </c>
      <c r="G254" t="s">
        <v>69</v>
      </c>
      <c r="H254" t="s">
        <v>73</v>
      </c>
      <c r="I254" t="s">
        <v>125</v>
      </c>
      <c r="J254" s="5">
        <v>2</v>
      </c>
      <c r="K254" s="6">
        <v>116</v>
      </c>
      <c r="L254" s="6">
        <v>58</v>
      </c>
      <c r="M254" s="7">
        <v>92</v>
      </c>
      <c r="N254" s="8">
        <v>233</v>
      </c>
      <c r="O254" s="8">
        <v>108</v>
      </c>
      <c r="P254" s="8">
        <v>52</v>
      </c>
      <c r="Q254" s="4" t="s">
        <v>127</v>
      </c>
      <c r="R254" s="9">
        <v>29.065743944636683</v>
      </c>
      <c r="S254" s="4" t="s">
        <v>175</v>
      </c>
    </row>
    <row r="255" spans="1:19" x14ac:dyDescent="0.35">
      <c r="A255">
        <v>255</v>
      </c>
      <c r="B255">
        <v>31</v>
      </c>
      <c r="C255" t="s">
        <v>89</v>
      </c>
      <c r="D255" t="s">
        <v>101</v>
      </c>
      <c r="E255" s="10">
        <v>700</v>
      </c>
      <c r="F255" t="s">
        <v>69</v>
      </c>
      <c r="G255" t="s">
        <v>69</v>
      </c>
      <c r="H255" t="s">
        <v>73</v>
      </c>
      <c r="I255" t="s">
        <v>125</v>
      </c>
      <c r="J255" s="5">
        <v>5</v>
      </c>
      <c r="K255" s="6">
        <v>109</v>
      </c>
      <c r="L255" s="6">
        <v>76</v>
      </c>
      <c r="M255" s="7">
        <v>78</v>
      </c>
      <c r="N255" s="8">
        <v>96</v>
      </c>
      <c r="O255" s="8">
        <v>143</v>
      </c>
      <c r="P255" s="8">
        <v>40</v>
      </c>
      <c r="Q255" s="4" t="s">
        <v>127</v>
      </c>
      <c r="R255" s="9">
        <v>25.344352617079892</v>
      </c>
      <c r="S255" s="4" t="s">
        <v>175</v>
      </c>
    </row>
    <row r="256" spans="1:19" x14ac:dyDescent="0.35">
      <c r="A256">
        <v>256</v>
      </c>
      <c r="B256">
        <v>61</v>
      </c>
      <c r="C256" t="s">
        <v>89</v>
      </c>
      <c r="D256" t="s">
        <v>115</v>
      </c>
      <c r="E256" s="10">
        <v>400</v>
      </c>
      <c r="F256" t="s">
        <v>69</v>
      </c>
      <c r="G256" t="s">
        <v>69</v>
      </c>
      <c r="H256" t="s">
        <v>73</v>
      </c>
      <c r="I256" t="s">
        <v>125</v>
      </c>
      <c r="J256" s="5">
        <v>3</v>
      </c>
      <c r="K256" s="6">
        <v>135</v>
      </c>
      <c r="L256" s="6">
        <v>86</v>
      </c>
      <c r="M256" s="7">
        <v>80</v>
      </c>
      <c r="N256" s="8">
        <v>101</v>
      </c>
      <c r="O256" s="8">
        <v>107</v>
      </c>
      <c r="P256" s="8">
        <v>42</v>
      </c>
      <c r="Q256" s="4" t="s">
        <v>126</v>
      </c>
      <c r="R256" s="9">
        <v>23.140495867768596</v>
      </c>
      <c r="S256" s="4" t="s">
        <v>174</v>
      </c>
    </row>
    <row r="257" spans="1:19" x14ac:dyDescent="0.35">
      <c r="A257">
        <v>257</v>
      </c>
      <c r="B257">
        <v>24</v>
      </c>
      <c r="C257" t="s">
        <v>89</v>
      </c>
      <c r="D257" t="s">
        <v>101</v>
      </c>
      <c r="E257" s="10">
        <v>100</v>
      </c>
      <c r="F257" t="s">
        <v>69</v>
      </c>
      <c r="G257" t="s">
        <v>69</v>
      </c>
      <c r="H257" t="s">
        <v>92</v>
      </c>
      <c r="I257" t="s">
        <v>125</v>
      </c>
      <c r="J257" s="5">
        <v>4</v>
      </c>
      <c r="K257" s="6">
        <v>118</v>
      </c>
      <c r="L257" s="6">
        <v>78</v>
      </c>
      <c r="M257" s="7">
        <v>76</v>
      </c>
      <c r="N257" s="8">
        <v>89</v>
      </c>
      <c r="O257" s="8">
        <v>112</v>
      </c>
      <c r="P257" s="8">
        <v>51</v>
      </c>
      <c r="Q257" s="4" t="s">
        <v>127</v>
      </c>
      <c r="R257" s="9">
        <v>24.767565919829291</v>
      </c>
      <c r="S257" s="4" t="s">
        <v>175</v>
      </c>
    </row>
    <row r="258" spans="1:19" x14ac:dyDescent="0.35">
      <c r="A258">
        <v>258</v>
      </c>
      <c r="B258">
        <v>49</v>
      </c>
      <c r="C258" t="s">
        <v>89</v>
      </c>
      <c r="D258" t="s">
        <v>90</v>
      </c>
      <c r="E258" s="10">
        <v>750</v>
      </c>
      <c r="F258" t="s">
        <v>69</v>
      </c>
      <c r="G258" t="s">
        <v>69</v>
      </c>
      <c r="H258" t="s">
        <v>92</v>
      </c>
      <c r="I258" t="s">
        <v>125</v>
      </c>
      <c r="J258" s="5">
        <v>5</v>
      </c>
      <c r="K258" s="6">
        <v>110</v>
      </c>
      <c r="L258" s="6">
        <v>77</v>
      </c>
      <c r="M258" s="7">
        <v>82</v>
      </c>
      <c r="N258" s="8">
        <v>113</v>
      </c>
      <c r="O258" s="8">
        <v>126</v>
      </c>
      <c r="P258" s="8">
        <v>50</v>
      </c>
      <c r="Q258" s="4" t="s">
        <v>127</v>
      </c>
      <c r="R258" s="9">
        <v>26.026174895895306</v>
      </c>
      <c r="S258" s="4" t="s">
        <v>175</v>
      </c>
    </row>
    <row r="259" spans="1:19" x14ac:dyDescent="0.35">
      <c r="A259">
        <v>259</v>
      </c>
      <c r="B259">
        <v>41</v>
      </c>
      <c r="C259" t="s">
        <v>64</v>
      </c>
      <c r="D259" t="s">
        <v>115</v>
      </c>
      <c r="E259" s="10">
        <v>300</v>
      </c>
      <c r="F259" t="s">
        <v>70</v>
      </c>
      <c r="G259" t="s">
        <v>70</v>
      </c>
      <c r="H259" t="s">
        <v>73</v>
      </c>
      <c r="I259" t="s">
        <v>125</v>
      </c>
      <c r="J259" s="5">
        <v>2</v>
      </c>
      <c r="K259" s="6">
        <v>116</v>
      </c>
      <c r="L259" s="6">
        <v>90</v>
      </c>
      <c r="M259" s="7">
        <v>70</v>
      </c>
      <c r="N259" s="8">
        <v>88</v>
      </c>
      <c r="O259" s="8">
        <v>72</v>
      </c>
      <c r="P259" s="8">
        <v>36</v>
      </c>
      <c r="Q259" s="4" t="s">
        <v>127</v>
      </c>
      <c r="R259" s="9">
        <v>16.60899653979239</v>
      </c>
      <c r="S259" s="4" t="s">
        <v>175</v>
      </c>
    </row>
    <row r="260" spans="1:19" x14ac:dyDescent="0.35">
      <c r="A260">
        <v>260</v>
      </c>
      <c r="B260">
        <v>31</v>
      </c>
      <c r="C260" t="s">
        <v>64</v>
      </c>
      <c r="D260" t="s">
        <v>101</v>
      </c>
      <c r="E260" s="10">
        <v>500</v>
      </c>
      <c r="F260" t="s">
        <v>70</v>
      </c>
      <c r="G260" t="s">
        <v>69</v>
      </c>
      <c r="H260" t="s">
        <v>103</v>
      </c>
      <c r="I260" t="s">
        <v>74</v>
      </c>
      <c r="J260" s="5">
        <v>4</v>
      </c>
      <c r="K260" s="6">
        <v>144</v>
      </c>
      <c r="L260" s="6">
        <v>75</v>
      </c>
      <c r="M260" s="7">
        <v>90</v>
      </c>
      <c r="N260" s="8">
        <v>98</v>
      </c>
      <c r="O260" s="8">
        <v>91</v>
      </c>
      <c r="P260" s="8">
        <v>51</v>
      </c>
      <c r="Q260" s="4" t="s">
        <v>127</v>
      </c>
      <c r="R260" s="9">
        <v>24.441802087462015</v>
      </c>
      <c r="S260" s="4" t="s">
        <v>175</v>
      </c>
    </row>
    <row r="261" spans="1:19" x14ac:dyDescent="0.35">
      <c r="A261">
        <v>262</v>
      </c>
      <c r="B261">
        <v>38</v>
      </c>
      <c r="C261" t="s">
        <v>89</v>
      </c>
      <c r="D261" t="s">
        <v>90</v>
      </c>
      <c r="E261" s="10">
        <v>250</v>
      </c>
      <c r="F261" t="s">
        <v>69</v>
      </c>
      <c r="G261" t="s">
        <v>69</v>
      </c>
      <c r="H261" t="s">
        <v>103</v>
      </c>
      <c r="I261" t="s">
        <v>125</v>
      </c>
      <c r="J261" s="5">
        <v>3</v>
      </c>
      <c r="K261" s="6">
        <v>178</v>
      </c>
      <c r="L261" s="6">
        <v>93</v>
      </c>
      <c r="M261" s="7">
        <v>95</v>
      </c>
      <c r="N261" s="8">
        <v>319</v>
      </c>
      <c r="O261" s="8">
        <v>82</v>
      </c>
      <c r="P261" s="8">
        <v>51</v>
      </c>
      <c r="Q261" s="4" t="s">
        <v>127</v>
      </c>
      <c r="R261" s="9">
        <v>21.60410477990818</v>
      </c>
      <c r="S261" s="4" t="s">
        <v>175</v>
      </c>
    </row>
    <row r="262" spans="1:19" x14ac:dyDescent="0.35">
      <c r="A262">
        <v>263</v>
      </c>
      <c r="B262">
        <v>28</v>
      </c>
      <c r="C262" t="s">
        <v>64</v>
      </c>
      <c r="D262" t="s">
        <v>101</v>
      </c>
      <c r="E262" s="10">
        <v>600</v>
      </c>
      <c r="F262" t="s">
        <v>69</v>
      </c>
      <c r="G262" t="s">
        <v>69</v>
      </c>
      <c r="H262" t="s">
        <v>92</v>
      </c>
      <c r="I262" t="s">
        <v>125</v>
      </c>
      <c r="J262" s="5">
        <v>3</v>
      </c>
      <c r="K262" s="6">
        <v>134</v>
      </c>
      <c r="L262" s="6">
        <v>81</v>
      </c>
      <c r="M262" s="7">
        <v>75</v>
      </c>
      <c r="N262" s="8">
        <v>91</v>
      </c>
      <c r="O262" s="8">
        <v>57</v>
      </c>
      <c r="P262" s="8">
        <v>34</v>
      </c>
      <c r="Q262" s="4" t="s">
        <v>126</v>
      </c>
      <c r="R262" s="9">
        <v>16.757292842242059</v>
      </c>
      <c r="S262" s="4" t="s">
        <v>174</v>
      </c>
    </row>
    <row r="263" spans="1:19" x14ac:dyDescent="0.35">
      <c r="A263">
        <v>264</v>
      </c>
      <c r="B263">
        <v>39</v>
      </c>
      <c r="C263" t="s">
        <v>64</v>
      </c>
      <c r="D263" t="s">
        <v>101</v>
      </c>
      <c r="E263" s="10">
        <v>400</v>
      </c>
      <c r="F263" t="s">
        <v>69</v>
      </c>
      <c r="G263" t="s">
        <v>70</v>
      </c>
      <c r="H263" t="s">
        <v>103</v>
      </c>
      <c r="I263" t="s">
        <v>125</v>
      </c>
      <c r="J263" s="5">
        <v>3</v>
      </c>
      <c r="K263" s="6">
        <v>137</v>
      </c>
      <c r="L263" s="6">
        <v>90</v>
      </c>
      <c r="M263" s="7">
        <v>74</v>
      </c>
      <c r="N263" s="8">
        <v>76</v>
      </c>
      <c r="O263" s="8">
        <v>53</v>
      </c>
      <c r="P263" s="8">
        <v>58</v>
      </c>
      <c r="Q263" s="4" t="s">
        <v>127</v>
      </c>
      <c r="R263" s="9">
        <v>19.591836734693878</v>
      </c>
      <c r="S263" s="4" t="s">
        <v>175</v>
      </c>
    </row>
    <row r="264" spans="1:19" x14ac:dyDescent="0.35">
      <c r="A264">
        <v>265</v>
      </c>
      <c r="B264">
        <v>39</v>
      </c>
      <c r="C264" t="s">
        <v>89</v>
      </c>
      <c r="D264" t="s">
        <v>90</v>
      </c>
      <c r="E264" s="10">
        <v>900</v>
      </c>
      <c r="F264" t="s">
        <v>69</v>
      </c>
      <c r="G264" t="s">
        <v>69</v>
      </c>
      <c r="H264" t="s">
        <v>73</v>
      </c>
      <c r="I264" t="s">
        <v>125</v>
      </c>
      <c r="J264" s="5">
        <v>5</v>
      </c>
      <c r="K264" s="6">
        <v>108</v>
      </c>
      <c r="L264" s="6">
        <v>68</v>
      </c>
      <c r="M264" s="7">
        <v>76</v>
      </c>
      <c r="N264" s="8">
        <v>106</v>
      </c>
      <c r="O264" s="8">
        <v>121</v>
      </c>
      <c r="P264" s="8">
        <v>69</v>
      </c>
      <c r="Q264" s="4" t="s">
        <v>127</v>
      </c>
      <c r="R264" s="9">
        <v>25.180785123966942</v>
      </c>
      <c r="S264" s="4" t="s">
        <v>175</v>
      </c>
    </row>
    <row r="265" spans="1:19" x14ac:dyDescent="0.35">
      <c r="A265">
        <v>266</v>
      </c>
      <c r="B265">
        <v>31</v>
      </c>
      <c r="C265" t="s">
        <v>89</v>
      </c>
      <c r="D265" t="s">
        <v>101</v>
      </c>
      <c r="E265" s="10">
        <v>400</v>
      </c>
      <c r="F265" t="s">
        <v>69</v>
      </c>
      <c r="G265" t="s">
        <v>69</v>
      </c>
      <c r="H265" t="s">
        <v>92</v>
      </c>
      <c r="I265" t="s">
        <v>125</v>
      </c>
      <c r="J265" s="5">
        <v>8</v>
      </c>
      <c r="K265" s="6">
        <v>120</v>
      </c>
      <c r="L265" s="6">
        <v>70</v>
      </c>
      <c r="M265" s="7">
        <v>79</v>
      </c>
      <c r="N265" s="8">
        <v>83</v>
      </c>
      <c r="O265" s="8">
        <v>61</v>
      </c>
      <c r="P265" s="8">
        <v>92</v>
      </c>
      <c r="Q265" s="4" t="s">
        <v>126</v>
      </c>
      <c r="R265" s="9">
        <v>23.529411764705884</v>
      </c>
      <c r="S265" s="4" t="s">
        <v>174</v>
      </c>
    </row>
    <row r="266" spans="1:19" x14ac:dyDescent="0.35">
      <c r="A266">
        <v>267</v>
      </c>
      <c r="B266">
        <v>36</v>
      </c>
      <c r="C266" t="s">
        <v>64</v>
      </c>
      <c r="D266" t="s">
        <v>101</v>
      </c>
      <c r="E266" s="10">
        <v>1800</v>
      </c>
      <c r="F266" t="s">
        <v>69</v>
      </c>
      <c r="G266" t="s">
        <v>69</v>
      </c>
      <c r="H266" t="s">
        <v>118</v>
      </c>
      <c r="I266" t="s">
        <v>125</v>
      </c>
      <c r="J266" s="5">
        <v>3</v>
      </c>
      <c r="K266" s="6">
        <v>95</v>
      </c>
      <c r="L266" s="6">
        <v>70</v>
      </c>
      <c r="M266" s="7">
        <v>89</v>
      </c>
      <c r="N266" s="8">
        <v>116</v>
      </c>
      <c r="O266" s="8">
        <v>40</v>
      </c>
      <c r="P266" s="8">
        <v>50</v>
      </c>
      <c r="Q266" s="4" t="s">
        <v>127</v>
      </c>
      <c r="R266" s="9">
        <v>21.146319909102385</v>
      </c>
      <c r="S266" s="4" t="s">
        <v>175</v>
      </c>
    </row>
    <row r="267" spans="1:19" x14ac:dyDescent="0.35">
      <c r="A267">
        <v>268</v>
      </c>
      <c r="B267">
        <v>36</v>
      </c>
      <c r="C267" t="s">
        <v>89</v>
      </c>
      <c r="D267" t="s">
        <v>101</v>
      </c>
      <c r="E267" s="10">
        <v>900</v>
      </c>
      <c r="F267" t="s">
        <v>69</v>
      </c>
      <c r="G267" t="s">
        <v>69</v>
      </c>
      <c r="H267" t="s">
        <v>73</v>
      </c>
      <c r="I267" t="s">
        <v>124</v>
      </c>
      <c r="J267" s="5">
        <v>2</v>
      </c>
      <c r="K267" s="6">
        <v>116</v>
      </c>
      <c r="L267" s="6">
        <v>80</v>
      </c>
      <c r="M267" s="7">
        <v>93</v>
      </c>
      <c r="N267" s="8">
        <v>82</v>
      </c>
      <c r="O267" s="8">
        <v>99</v>
      </c>
      <c r="P267" s="8">
        <v>53</v>
      </c>
      <c r="Q267" s="4" t="s">
        <v>126</v>
      </c>
      <c r="R267" s="9">
        <v>31.861629494765594</v>
      </c>
      <c r="S267" s="4" t="s">
        <v>174</v>
      </c>
    </row>
    <row r="268" spans="1:19" x14ac:dyDescent="0.35">
      <c r="A268">
        <v>269</v>
      </c>
      <c r="B268">
        <v>70</v>
      </c>
      <c r="C268" t="s">
        <v>89</v>
      </c>
      <c r="D268" t="s">
        <v>115</v>
      </c>
      <c r="E268" s="10">
        <v>500</v>
      </c>
      <c r="F268" t="s">
        <v>69</v>
      </c>
      <c r="G268" t="s">
        <v>69</v>
      </c>
      <c r="H268" t="s">
        <v>92</v>
      </c>
      <c r="I268" t="s">
        <v>125</v>
      </c>
      <c r="J268" s="5">
        <v>6</v>
      </c>
      <c r="K268" s="6">
        <v>120</v>
      </c>
      <c r="L268" s="6">
        <v>80</v>
      </c>
      <c r="M268" s="7">
        <v>79</v>
      </c>
      <c r="N268" s="8">
        <v>226</v>
      </c>
      <c r="O268" s="8">
        <v>69</v>
      </c>
      <c r="P268" s="8">
        <v>54</v>
      </c>
      <c r="Q268" s="4" t="s">
        <v>127</v>
      </c>
      <c r="R268" s="9">
        <v>22.862534475250399</v>
      </c>
      <c r="S268" s="4" t="s">
        <v>175</v>
      </c>
    </row>
    <row r="269" spans="1:19" x14ac:dyDescent="0.35">
      <c r="A269">
        <v>270</v>
      </c>
      <c r="B269">
        <v>36</v>
      </c>
      <c r="C269" t="s">
        <v>64</v>
      </c>
      <c r="D269" t="s">
        <v>90</v>
      </c>
      <c r="E269" s="10">
        <v>800</v>
      </c>
      <c r="F269" t="s">
        <v>69</v>
      </c>
      <c r="G269" t="s">
        <v>69</v>
      </c>
      <c r="H269" t="s">
        <v>92</v>
      </c>
      <c r="I269" t="s">
        <v>125</v>
      </c>
      <c r="J269" s="5">
        <v>3</v>
      </c>
      <c r="K269" s="6">
        <v>110</v>
      </c>
      <c r="L269" s="6">
        <v>72</v>
      </c>
      <c r="M269" s="7">
        <v>88</v>
      </c>
      <c r="N269" s="8">
        <v>78</v>
      </c>
      <c r="O269" s="8">
        <v>120</v>
      </c>
      <c r="P269" s="8">
        <v>53</v>
      </c>
      <c r="Q269" s="4" t="s">
        <v>126</v>
      </c>
      <c r="R269" s="9">
        <v>26.472107438016529</v>
      </c>
      <c r="S269" s="4" t="s">
        <v>174</v>
      </c>
    </row>
    <row r="270" spans="1:19" x14ac:dyDescent="0.35">
      <c r="A270">
        <v>271</v>
      </c>
      <c r="B270">
        <v>55</v>
      </c>
      <c r="C270" t="s">
        <v>64</v>
      </c>
      <c r="D270" t="s">
        <v>101</v>
      </c>
      <c r="E270" s="10">
        <v>300</v>
      </c>
      <c r="F270" t="s">
        <v>69</v>
      </c>
      <c r="G270" t="s">
        <v>70</v>
      </c>
      <c r="H270" t="s">
        <v>92</v>
      </c>
      <c r="I270" t="s">
        <v>125</v>
      </c>
      <c r="J270" s="5">
        <v>3</v>
      </c>
      <c r="K270" s="6">
        <v>100</v>
      </c>
      <c r="L270" s="6">
        <v>80</v>
      </c>
      <c r="M270" s="7">
        <v>81</v>
      </c>
      <c r="N270" s="8">
        <v>80</v>
      </c>
      <c r="O270" s="8">
        <v>140</v>
      </c>
      <c r="P270" s="8">
        <v>66</v>
      </c>
      <c r="Q270" s="4" t="s">
        <v>126</v>
      </c>
      <c r="R270" s="9">
        <v>23.661438615467823</v>
      </c>
      <c r="S270" s="4" t="s">
        <v>174</v>
      </c>
    </row>
    <row r="271" spans="1:19" x14ac:dyDescent="0.35">
      <c r="A271">
        <v>272</v>
      </c>
      <c r="B271">
        <v>61</v>
      </c>
      <c r="C271" t="s">
        <v>64</v>
      </c>
      <c r="D271" t="s">
        <v>66</v>
      </c>
      <c r="E271" s="10">
        <v>600</v>
      </c>
      <c r="F271" t="s">
        <v>69</v>
      </c>
      <c r="G271" t="s">
        <v>69</v>
      </c>
      <c r="H271" t="s">
        <v>92</v>
      </c>
      <c r="I271" t="s">
        <v>125</v>
      </c>
      <c r="J271" s="5">
        <v>4</v>
      </c>
      <c r="K271" s="6">
        <v>98</v>
      </c>
      <c r="L271" s="6">
        <v>72</v>
      </c>
      <c r="M271" s="7">
        <v>84</v>
      </c>
      <c r="N271" s="8">
        <v>88</v>
      </c>
      <c r="O271" s="8">
        <v>140</v>
      </c>
      <c r="P271" s="8">
        <v>50</v>
      </c>
      <c r="Q271" s="4" t="s">
        <v>127</v>
      </c>
      <c r="R271" s="9">
        <v>25.180785123966942</v>
      </c>
      <c r="S271" s="4" t="s">
        <v>175</v>
      </c>
    </row>
    <row r="272" spans="1:19" x14ac:dyDescent="0.35">
      <c r="A272">
        <v>273</v>
      </c>
      <c r="B272">
        <v>43</v>
      </c>
      <c r="C272" t="s">
        <v>64</v>
      </c>
      <c r="D272" t="s">
        <v>90</v>
      </c>
      <c r="E272" s="10">
        <v>700</v>
      </c>
      <c r="F272" t="s">
        <v>69</v>
      </c>
      <c r="G272" t="s">
        <v>70</v>
      </c>
      <c r="H272" t="s">
        <v>92</v>
      </c>
      <c r="I272" t="s">
        <v>125</v>
      </c>
      <c r="J272" s="5">
        <v>3</v>
      </c>
      <c r="K272" s="6">
        <v>108</v>
      </c>
      <c r="L272" s="6">
        <v>78</v>
      </c>
      <c r="M272" s="7">
        <v>82</v>
      </c>
      <c r="N272" s="8">
        <v>86</v>
      </c>
      <c r="O272" s="8">
        <v>140</v>
      </c>
      <c r="P272" s="8">
        <v>70</v>
      </c>
      <c r="Q272" s="4" t="s">
        <v>126</v>
      </c>
      <c r="R272" s="9">
        <v>22.340297065571789</v>
      </c>
      <c r="S272" s="4" t="s">
        <v>174</v>
      </c>
    </row>
    <row r="273" spans="1:19" x14ac:dyDescent="0.35">
      <c r="A273">
        <v>274</v>
      </c>
      <c r="B273">
        <v>24</v>
      </c>
      <c r="C273" t="s">
        <v>89</v>
      </c>
      <c r="D273" t="s">
        <v>90</v>
      </c>
      <c r="E273" s="10">
        <v>500</v>
      </c>
      <c r="F273" t="s">
        <v>69</v>
      </c>
      <c r="G273" t="s">
        <v>69</v>
      </c>
      <c r="H273" t="s">
        <v>73</v>
      </c>
      <c r="I273" t="s">
        <v>125</v>
      </c>
      <c r="J273" s="5">
        <v>2</v>
      </c>
      <c r="K273" s="6">
        <v>117</v>
      </c>
      <c r="L273" s="6">
        <v>87</v>
      </c>
      <c r="M273" s="7">
        <v>85</v>
      </c>
      <c r="N273" s="8">
        <v>92</v>
      </c>
      <c r="O273" s="8">
        <v>98</v>
      </c>
      <c r="P273" s="8">
        <v>33</v>
      </c>
      <c r="Q273" s="4" t="s">
        <v>127</v>
      </c>
      <c r="R273" s="9">
        <v>22.948115744558788</v>
      </c>
      <c r="S273" s="4" t="s">
        <v>175</v>
      </c>
    </row>
    <row r="274" spans="1:19" x14ac:dyDescent="0.35">
      <c r="A274">
        <v>275</v>
      </c>
      <c r="B274">
        <v>48</v>
      </c>
      <c r="C274" t="s">
        <v>64</v>
      </c>
      <c r="D274" t="s">
        <v>101</v>
      </c>
      <c r="E274" s="10">
        <v>700</v>
      </c>
      <c r="F274" t="s">
        <v>69</v>
      </c>
      <c r="G274" t="s">
        <v>70</v>
      </c>
      <c r="H274" t="s">
        <v>106</v>
      </c>
      <c r="I274" t="s">
        <v>74</v>
      </c>
      <c r="J274" s="5">
        <v>4</v>
      </c>
      <c r="K274" s="6">
        <v>151</v>
      </c>
      <c r="L274" s="6">
        <v>83</v>
      </c>
      <c r="M274" s="7">
        <v>99</v>
      </c>
      <c r="N274" s="8">
        <v>102</v>
      </c>
      <c r="O274" s="8">
        <v>128</v>
      </c>
      <c r="P274" s="8">
        <v>50</v>
      </c>
      <c r="Q274" s="4" t="s">
        <v>127</v>
      </c>
      <c r="R274" s="9">
        <v>25.880570635020831</v>
      </c>
      <c r="S274" s="4" t="s">
        <v>175</v>
      </c>
    </row>
    <row r="275" spans="1:19" x14ac:dyDescent="0.35">
      <c r="A275">
        <v>276</v>
      </c>
      <c r="B275">
        <v>41</v>
      </c>
      <c r="C275" t="s">
        <v>89</v>
      </c>
      <c r="D275" t="s">
        <v>115</v>
      </c>
      <c r="E275" s="10">
        <v>300</v>
      </c>
      <c r="F275" t="s">
        <v>69</v>
      </c>
      <c r="G275" t="s">
        <v>69</v>
      </c>
      <c r="H275" t="s">
        <v>92</v>
      </c>
      <c r="I275" t="s">
        <v>74</v>
      </c>
      <c r="J275" s="5">
        <v>1</v>
      </c>
      <c r="K275" s="6">
        <v>116</v>
      </c>
      <c r="L275" s="6">
        <v>80</v>
      </c>
      <c r="M275" s="7">
        <v>119</v>
      </c>
      <c r="N275" s="8">
        <v>105</v>
      </c>
      <c r="O275" s="8">
        <v>129</v>
      </c>
      <c r="P275" s="8">
        <v>40</v>
      </c>
      <c r="Q275" s="4" t="s">
        <v>127</v>
      </c>
      <c r="R275" s="9">
        <v>33.705044999820721</v>
      </c>
      <c r="S275" s="4" t="s">
        <v>175</v>
      </c>
    </row>
    <row r="276" spans="1:19" x14ac:dyDescent="0.35">
      <c r="A276">
        <v>277</v>
      </c>
      <c r="B276">
        <v>42</v>
      </c>
      <c r="C276" t="s">
        <v>89</v>
      </c>
      <c r="D276" t="s">
        <v>66</v>
      </c>
      <c r="E276" s="10">
        <v>200</v>
      </c>
      <c r="F276" t="s">
        <v>69</v>
      </c>
      <c r="G276" t="s">
        <v>69</v>
      </c>
      <c r="H276" t="s">
        <v>92</v>
      </c>
      <c r="I276" t="s">
        <v>125</v>
      </c>
      <c r="J276" s="5">
        <v>3</v>
      </c>
      <c r="K276" s="6">
        <v>131</v>
      </c>
      <c r="L276" s="6">
        <v>76</v>
      </c>
      <c r="M276" s="7">
        <v>78</v>
      </c>
      <c r="N276" s="8">
        <v>98</v>
      </c>
      <c r="O276" s="8">
        <v>58</v>
      </c>
      <c r="P276" s="8">
        <v>32</v>
      </c>
      <c r="Q276" s="4" t="s">
        <v>126</v>
      </c>
      <c r="R276" s="9">
        <v>23.147255121330193</v>
      </c>
      <c r="S276" s="4" t="s">
        <v>174</v>
      </c>
    </row>
    <row r="277" spans="1:19" x14ac:dyDescent="0.35">
      <c r="A277">
        <v>278</v>
      </c>
      <c r="B277">
        <v>46</v>
      </c>
      <c r="C277" t="s">
        <v>89</v>
      </c>
      <c r="D277" t="s">
        <v>90</v>
      </c>
      <c r="E277" s="10">
        <v>250</v>
      </c>
      <c r="F277" t="s">
        <v>69</v>
      </c>
      <c r="G277" t="s">
        <v>69</v>
      </c>
      <c r="H277" t="s">
        <v>92</v>
      </c>
      <c r="I277" t="s">
        <v>125</v>
      </c>
      <c r="J277" s="5">
        <v>8</v>
      </c>
      <c r="K277" s="6">
        <v>154</v>
      </c>
      <c r="L277" s="6">
        <v>78</v>
      </c>
      <c r="M277" s="7">
        <v>96</v>
      </c>
      <c r="N277" s="8">
        <v>161</v>
      </c>
      <c r="O277" s="8">
        <v>157</v>
      </c>
      <c r="P277" s="8">
        <v>40</v>
      </c>
      <c r="Q277" s="4" t="s">
        <v>126</v>
      </c>
      <c r="R277" s="9">
        <v>30.778701138811947</v>
      </c>
      <c r="S277" s="4" t="s">
        <v>174</v>
      </c>
    </row>
    <row r="278" spans="1:19" x14ac:dyDescent="0.35">
      <c r="A278">
        <v>279</v>
      </c>
      <c r="B278">
        <v>36</v>
      </c>
      <c r="C278" t="s">
        <v>89</v>
      </c>
      <c r="D278" t="s">
        <v>66</v>
      </c>
      <c r="E278" s="10">
        <v>500</v>
      </c>
      <c r="F278" t="s">
        <v>69</v>
      </c>
      <c r="G278" t="s">
        <v>69</v>
      </c>
      <c r="H278" t="s">
        <v>92</v>
      </c>
      <c r="I278" t="s">
        <v>125</v>
      </c>
      <c r="J278" s="5">
        <v>5</v>
      </c>
      <c r="K278" s="6">
        <v>118</v>
      </c>
      <c r="L278" s="6">
        <v>81</v>
      </c>
      <c r="M278" s="7">
        <v>102</v>
      </c>
      <c r="N278" s="8">
        <v>93</v>
      </c>
      <c r="O278" s="8">
        <v>108</v>
      </c>
      <c r="P278" s="8">
        <v>43</v>
      </c>
      <c r="Q278" s="4" t="s">
        <v>127</v>
      </c>
      <c r="R278" s="9">
        <v>32.830614548066073</v>
      </c>
      <c r="S278" s="4" t="s">
        <v>175</v>
      </c>
    </row>
    <row r="279" spans="1:19" x14ac:dyDescent="0.35">
      <c r="A279">
        <v>280</v>
      </c>
      <c r="B279">
        <v>66</v>
      </c>
      <c r="C279" t="s">
        <v>64</v>
      </c>
      <c r="D279" t="s">
        <v>90</v>
      </c>
      <c r="E279" s="10">
        <v>800</v>
      </c>
      <c r="F279" t="s">
        <v>70</v>
      </c>
      <c r="G279" t="s">
        <v>70</v>
      </c>
      <c r="H279" t="s">
        <v>103</v>
      </c>
      <c r="I279" t="s">
        <v>125</v>
      </c>
      <c r="J279" s="5">
        <v>5</v>
      </c>
      <c r="K279" s="6">
        <v>152</v>
      </c>
      <c r="L279" s="6">
        <v>86</v>
      </c>
      <c r="M279" s="7">
        <v>77</v>
      </c>
      <c r="N279" s="8">
        <v>99</v>
      </c>
      <c r="O279" s="8">
        <v>108</v>
      </c>
      <c r="P279" s="8">
        <v>44</v>
      </c>
      <c r="Q279" s="4" t="s">
        <v>127</v>
      </c>
      <c r="R279" s="9">
        <v>21.545090797168363</v>
      </c>
      <c r="S279" s="4" t="s">
        <v>175</v>
      </c>
    </row>
    <row r="280" spans="1:19" x14ac:dyDescent="0.35">
      <c r="A280">
        <v>282</v>
      </c>
      <c r="B280">
        <v>30</v>
      </c>
      <c r="C280" t="s">
        <v>89</v>
      </c>
      <c r="D280" t="s">
        <v>101</v>
      </c>
      <c r="E280" s="10">
        <v>300</v>
      </c>
      <c r="F280" t="s">
        <v>69</v>
      </c>
      <c r="G280" t="s">
        <v>69</v>
      </c>
      <c r="H280" t="s">
        <v>73</v>
      </c>
      <c r="I280" t="s">
        <v>125</v>
      </c>
      <c r="J280" s="5">
        <v>4</v>
      </c>
      <c r="K280" s="6">
        <v>127</v>
      </c>
      <c r="L280" s="6">
        <v>73</v>
      </c>
      <c r="M280" s="7">
        <v>77</v>
      </c>
      <c r="N280" s="8">
        <v>94</v>
      </c>
      <c r="O280" s="8">
        <v>83</v>
      </c>
      <c r="P280" s="8">
        <v>43</v>
      </c>
      <c r="Q280" s="4" t="s">
        <v>127</v>
      </c>
      <c r="R280" s="9">
        <v>23.529411764705884</v>
      </c>
      <c r="S280" s="4" t="s">
        <v>175</v>
      </c>
    </row>
    <row r="281" spans="1:19" x14ac:dyDescent="0.35">
      <c r="A281">
        <v>283</v>
      </c>
      <c r="B281">
        <v>33</v>
      </c>
      <c r="C281" t="s">
        <v>64</v>
      </c>
      <c r="D281" t="s">
        <v>90</v>
      </c>
      <c r="E281" s="10">
        <v>300</v>
      </c>
      <c r="F281" t="s">
        <v>69</v>
      </c>
      <c r="G281" t="s">
        <v>69</v>
      </c>
      <c r="H281" t="s">
        <v>92</v>
      </c>
      <c r="I281" t="s">
        <v>125</v>
      </c>
      <c r="J281" s="5">
        <v>6</v>
      </c>
      <c r="K281" s="6">
        <v>115</v>
      </c>
      <c r="L281" s="6">
        <v>78</v>
      </c>
      <c r="M281" s="7">
        <v>82</v>
      </c>
      <c r="N281" s="8">
        <v>213</v>
      </c>
      <c r="O281" s="8">
        <v>88</v>
      </c>
      <c r="P281" s="8">
        <v>51</v>
      </c>
      <c r="Q281" s="4" t="s">
        <v>127</v>
      </c>
      <c r="R281" s="9">
        <v>21.847008520333322</v>
      </c>
      <c r="S281" s="4" t="s">
        <v>175</v>
      </c>
    </row>
    <row r="282" spans="1:19" x14ac:dyDescent="0.35">
      <c r="A282">
        <v>284</v>
      </c>
      <c r="B282">
        <v>28</v>
      </c>
      <c r="C282" t="s">
        <v>64</v>
      </c>
      <c r="D282" t="s">
        <v>101</v>
      </c>
      <c r="E282" s="10">
        <v>650</v>
      </c>
      <c r="F282" t="s">
        <v>69</v>
      </c>
      <c r="G282" t="s">
        <v>69</v>
      </c>
      <c r="H282" t="s">
        <v>103</v>
      </c>
      <c r="I282" t="s">
        <v>124</v>
      </c>
      <c r="J282" s="5">
        <v>1</v>
      </c>
      <c r="K282" s="6">
        <v>123</v>
      </c>
      <c r="L282" s="6">
        <v>82</v>
      </c>
      <c r="M282" s="7">
        <v>69</v>
      </c>
      <c r="N282" s="8">
        <v>94</v>
      </c>
      <c r="O282" s="8">
        <v>65</v>
      </c>
      <c r="P282" s="8">
        <v>54</v>
      </c>
      <c r="Q282" s="4" t="s">
        <v>127</v>
      </c>
      <c r="R282" s="9">
        <v>16.262975778546714</v>
      </c>
      <c r="S282" s="4" t="s">
        <v>175</v>
      </c>
    </row>
    <row r="283" spans="1:19" x14ac:dyDescent="0.35">
      <c r="A283">
        <v>285</v>
      </c>
      <c r="B283">
        <v>26</v>
      </c>
      <c r="C283" t="s">
        <v>64</v>
      </c>
      <c r="D283" t="s">
        <v>90</v>
      </c>
      <c r="E283" s="10">
        <v>150</v>
      </c>
      <c r="F283" t="s">
        <v>70</v>
      </c>
      <c r="G283" t="s">
        <v>69</v>
      </c>
      <c r="H283" t="s">
        <v>103</v>
      </c>
      <c r="I283" t="s">
        <v>125</v>
      </c>
      <c r="J283" s="5">
        <v>2</v>
      </c>
      <c r="K283" s="6">
        <v>137</v>
      </c>
      <c r="L283" s="6">
        <v>67</v>
      </c>
      <c r="M283" s="7">
        <v>78</v>
      </c>
      <c r="N283" s="8">
        <v>72</v>
      </c>
      <c r="O283" s="8">
        <v>98</v>
      </c>
      <c r="P283" s="8">
        <v>55</v>
      </c>
      <c r="Q283" s="4" t="s">
        <v>126</v>
      </c>
      <c r="R283" s="9">
        <v>17.505615008587661</v>
      </c>
      <c r="S283" s="4" t="s">
        <v>174</v>
      </c>
    </row>
    <row r="284" spans="1:19" x14ac:dyDescent="0.35">
      <c r="A284">
        <v>286</v>
      </c>
      <c r="B284">
        <v>71</v>
      </c>
      <c r="C284" t="s">
        <v>64</v>
      </c>
      <c r="D284" t="s">
        <v>66</v>
      </c>
      <c r="E284" s="10">
        <v>900</v>
      </c>
      <c r="F284" t="s">
        <v>70</v>
      </c>
      <c r="G284" t="s">
        <v>69</v>
      </c>
      <c r="H284" t="s">
        <v>73</v>
      </c>
      <c r="I284" t="s">
        <v>125</v>
      </c>
      <c r="J284" s="5">
        <v>6</v>
      </c>
      <c r="K284" s="6">
        <v>137</v>
      </c>
      <c r="L284" s="6">
        <v>67</v>
      </c>
      <c r="M284" s="7">
        <v>107</v>
      </c>
      <c r="N284" s="8">
        <v>104</v>
      </c>
      <c r="O284" s="8">
        <v>96</v>
      </c>
      <c r="P284" s="8">
        <v>40</v>
      </c>
      <c r="Q284" s="4" t="s">
        <v>127</v>
      </c>
      <c r="R284" s="9">
        <v>30.668904958677686</v>
      </c>
      <c r="S284" s="4" t="s">
        <v>175</v>
      </c>
    </row>
    <row r="285" spans="1:19" x14ac:dyDescent="0.35">
      <c r="A285">
        <v>287</v>
      </c>
      <c r="B285">
        <v>26</v>
      </c>
      <c r="C285" t="s">
        <v>89</v>
      </c>
      <c r="D285" t="s">
        <v>90</v>
      </c>
      <c r="E285" s="10">
        <v>500</v>
      </c>
      <c r="F285" t="s">
        <v>69</v>
      </c>
      <c r="G285" t="s">
        <v>69</v>
      </c>
      <c r="H285" t="s">
        <v>92</v>
      </c>
      <c r="I285" t="s">
        <v>125</v>
      </c>
      <c r="J285" s="5">
        <v>2</v>
      </c>
      <c r="K285" s="6">
        <v>123</v>
      </c>
      <c r="L285" s="6">
        <v>79</v>
      </c>
      <c r="M285" s="7">
        <v>78</v>
      </c>
      <c r="N285" s="8">
        <v>95</v>
      </c>
      <c r="O285" s="8">
        <v>83</v>
      </c>
      <c r="P285" s="8">
        <v>27</v>
      </c>
      <c r="Q285" s="4" t="s">
        <v>126</v>
      </c>
      <c r="R285" s="9">
        <v>22.481329065691202</v>
      </c>
      <c r="S285" s="4" t="s">
        <v>174</v>
      </c>
    </row>
    <row r="286" spans="1:19" x14ac:dyDescent="0.35">
      <c r="A286">
        <v>288</v>
      </c>
      <c r="B286">
        <v>63</v>
      </c>
      <c r="C286" t="s">
        <v>64</v>
      </c>
      <c r="D286" t="s">
        <v>101</v>
      </c>
      <c r="E286" s="10">
        <v>400</v>
      </c>
      <c r="F286" t="s">
        <v>69</v>
      </c>
      <c r="G286" t="s">
        <v>70</v>
      </c>
      <c r="H286" t="s">
        <v>92</v>
      </c>
      <c r="I286" t="s">
        <v>125</v>
      </c>
      <c r="J286" s="5">
        <v>10</v>
      </c>
      <c r="K286" s="6">
        <v>106</v>
      </c>
      <c r="L286" s="6">
        <v>76</v>
      </c>
      <c r="M286" s="7">
        <v>97</v>
      </c>
      <c r="N286" s="8">
        <v>132</v>
      </c>
      <c r="O286" s="8">
        <v>66</v>
      </c>
      <c r="P286" s="8">
        <v>23</v>
      </c>
      <c r="Q286" s="4" t="s">
        <v>127</v>
      </c>
      <c r="R286" s="9">
        <v>22.460034350640772</v>
      </c>
      <c r="S286" s="4" t="s">
        <v>175</v>
      </c>
    </row>
    <row r="287" spans="1:19" x14ac:dyDescent="0.35">
      <c r="A287">
        <v>289</v>
      </c>
      <c r="B287">
        <v>61</v>
      </c>
      <c r="C287" t="s">
        <v>89</v>
      </c>
      <c r="D287" t="s">
        <v>66</v>
      </c>
      <c r="E287" s="10">
        <v>250</v>
      </c>
      <c r="F287" t="s">
        <v>69</v>
      </c>
      <c r="G287" t="s">
        <v>69</v>
      </c>
      <c r="H287" t="s">
        <v>92</v>
      </c>
      <c r="I287" t="s">
        <v>125</v>
      </c>
      <c r="J287" s="5">
        <v>6</v>
      </c>
      <c r="K287" s="6">
        <v>178</v>
      </c>
      <c r="L287" s="6">
        <v>107</v>
      </c>
      <c r="M287" s="7">
        <v>69</v>
      </c>
      <c r="N287" s="8">
        <v>92</v>
      </c>
      <c r="O287" s="8">
        <v>82</v>
      </c>
      <c r="P287" s="8">
        <v>51</v>
      </c>
      <c r="Q287" s="4" t="s">
        <v>126</v>
      </c>
      <c r="R287" s="9">
        <v>17.941817249775728</v>
      </c>
      <c r="S287" s="4" t="s">
        <v>174</v>
      </c>
    </row>
    <row r="288" spans="1:19" x14ac:dyDescent="0.35">
      <c r="A288">
        <v>290</v>
      </c>
      <c r="B288">
        <v>46</v>
      </c>
      <c r="C288" t="s">
        <v>89</v>
      </c>
      <c r="D288" t="s">
        <v>115</v>
      </c>
      <c r="E288" s="10">
        <v>700</v>
      </c>
      <c r="F288" t="s">
        <v>69</v>
      </c>
      <c r="G288" t="s">
        <v>69</v>
      </c>
      <c r="H288" t="s">
        <v>73</v>
      </c>
      <c r="I288" t="s">
        <v>125</v>
      </c>
      <c r="J288" s="5">
        <v>5</v>
      </c>
      <c r="K288" s="6">
        <v>123</v>
      </c>
      <c r="L288" s="6">
        <v>76</v>
      </c>
      <c r="M288" s="7">
        <v>78</v>
      </c>
      <c r="N288" s="8">
        <v>101</v>
      </c>
      <c r="O288" s="8">
        <v>44</v>
      </c>
      <c r="P288" s="8">
        <v>56</v>
      </c>
      <c r="Q288" s="4" t="s">
        <v>127</v>
      </c>
      <c r="R288" s="9">
        <v>24.508945765204302</v>
      </c>
      <c r="S288" s="4" t="s">
        <v>175</v>
      </c>
    </row>
    <row r="289" spans="1:19" x14ac:dyDescent="0.35">
      <c r="A289">
        <v>291</v>
      </c>
      <c r="B289">
        <v>32</v>
      </c>
      <c r="C289" t="s">
        <v>89</v>
      </c>
      <c r="D289" t="s">
        <v>101</v>
      </c>
      <c r="E289" s="10">
        <v>900</v>
      </c>
      <c r="F289" t="s">
        <v>69</v>
      </c>
      <c r="G289" t="s">
        <v>69</v>
      </c>
      <c r="H289" t="s">
        <v>73</v>
      </c>
      <c r="I289" t="s">
        <v>125</v>
      </c>
      <c r="J289" s="5">
        <v>2</v>
      </c>
      <c r="K289" s="6">
        <v>127</v>
      </c>
      <c r="L289" s="6">
        <v>84</v>
      </c>
      <c r="M289" s="7">
        <v>76</v>
      </c>
      <c r="N289" s="8">
        <v>108</v>
      </c>
      <c r="O289" s="8">
        <v>56</v>
      </c>
      <c r="P289" s="8">
        <v>43</v>
      </c>
      <c r="Q289" s="4" t="s">
        <v>126</v>
      </c>
      <c r="R289" s="9">
        <v>27.102040816326532</v>
      </c>
      <c r="S289" s="4" t="s">
        <v>174</v>
      </c>
    </row>
    <row r="290" spans="1:19" x14ac:dyDescent="0.35">
      <c r="A290">
        <v>292</v>
      </c>
      <c r="B290">
        <v>34</v>
      </c>
      <c r="C290" t="s">
        <v>89</v>
      </c>
      <c r="D290" t="s">
        <v>101</v>
      </c>
      <c r="E290" s="10">
        <v>800</v>
      </c>
      <c r="F290" t="s">
        <v>69</v>
      </c>
      <c r="G290" t="s">
        <v>69</v>
      </c>
      <c r="H290" t="s">
        <v>118</v>
      </c>
      <c r="I290" t="s">
        <v>74</v>
      </c>
      <c r="J290" s="5">
        <v>5</v>
      </c>
      <c r="K290" s="6">
        <v>95</v>
      </c>
      <c r="L290" s="6">
        <v>70</v>
      </c>
      <c r="M290" s="7">
        <v>76</v>
      </c>
      <c r="N290" s="8">
        <v>104</v>
      </c>
      <c r="O290" s="8">
        <v>36</v>
      </c>
      <c r="P290" s="8">
        <v>60</v>
      </c>
      <c r="Q290" s="4" t="s">
        <v>126</v>
      </c>
      <c r="R290" s="9">
        <v>29.744199881023206</v>
      </c>
      <c r="S290" s="4" t="s">
        <v>174</v>
      </c>
    </row>
    <row r="291" spans="1:19" x14ac:dyDescent="0.35">
      <c r="A291">
        <v>293</v>
      </c>
      <c r="B291">
        <v>31</v>
      </c>
      <c r="C291" t="s">
        <v>89</v>
      </c>
      <c r="D291" t="s">
        <v>90</v>
      </c>
      <c r="E291" s="10">
        <v>100</v>
      </c>
      <c r="F291" t="s">
        <v>69</v>
      </c>
      <c r="G291" t="s">
        <v>69</v>
      </c>
      <c r="H291" t="s">
        <v>92</v>
      </c>
      <c r="I291" t="s">
        <v>125</v>
      </c>
      <c r="J291" s="5">
        <v>2</v>
      </c>
      <c r="K291" s="6">
        <v>116</v>
      </c>
      <c r="L291" s="6">
        <v>70</v>
      </c>
      <c r="M291" s="7">
        <v>77</v>
      </c>
      <c r="N291" s="8">
        <v>95</v>
      </c>
      <c r="O291" s="8">
        <v>48</v>
      </c>
      <c r="P291" s="8">
        <v>35</v>
      </c>
      <c r="Q291" s="4" t="s">
        <v>126</v>
      </c>
      <c r="R291" s="9">
        <v>18.286779733945284</v>
      </c>
      <c r="S291" s="4" t="s">
        <v>174</v>
      </c>
    </row>
    <row r="292" spans="1:19" x14ac:dyDescent="0.35">
      <c r="A292">
        <v>294</v>
      </c>
      <c r="B292">
        <v>56</v>
      </c>
      <c r="C292" t="s">
        <v>64</v>
      </c>
      <c r="D292" t="s">
        <v>101</v>
      </c>
      <c r="E292" s="10">
        <v>600</v>
      </c>
      <c r="F292" t="s">
        <v>70</v>
      </c>
      <c r="G292" t="s">
        <v>69</v>
      </c>
      <c r="H292" t="s">
        <v>92</v>
      </c>
      <c r="I292" t="s">
        <v>74</v>
      </c>
      <c r="J292" s="5">
        <v>4</v>
      </c>
      <c r="K292" s="6">
        <v>120</v>
      </c>
      <c r="L292" s="6">
        <v>82</v>
      </c>
      <c r="M292" s="7">
        <v>80</v>
      </c>
      <c r="N292" s="8">
        <v>104</v>
      </c>
      <c r="O292" s="8">
        <v>162</v>
      </c>
      <c r="P292" s="8">
        <v>80</v>
      </c>
      <c r="Q292" s="4" t="s">
        <v>126</v>
      </c>
      <c r="R292" s="9">
        <v>24.343809494085704</v>
      </c>
      <c r="S292" s="4" t="s">
        <v>174</v>
      </c>
    </row>
    <row r="293" spans="1:19" x14ac:dyDescent="0.35">
      <c r="A293">
        <v>295</v>
      </c>
      <c r="B293">
        <v>44</v>
      </c>
      <c r="C293" t="s">
        <v>64</v>
      </c>
      <c r="D293" t="s">
        <v>101</v>
      </c>
      <c r="E293" s="10">
        <v>700</v>
      </c>
      <c r="F293" t="s">
        <v>69</v>
      </c>
      <c r="G293" t="s">
        <v>69</v>
      </c>
      <c r="H293" t="s">
        <v>92</v>
      </c>
      <c r="I293" t="s">
        <v>74</v>
      </c>
      <c r="J293" s="5">
        <v>4</v>
      </c>
      <c r="K293" s="6">
        <v>120</v>
      </c>
      <c r="L293" s="6">
        <v>80</v>
      </c>
      <c r="M293" s="7">
        <v>92</v>
      </c>
      <c r="N293" s="8">
        <v>92</v>
      </c>
      <c r="O293" s="8">
        <v>132</v>
      </c>
      <c r="P293" s="8">
        <v>35</v>
      </c>
      <c r="Q293" s="4" t="s">
        <v>127</v>
      </c>
      <c r="R293" s="9">
        <v>23.456790123456788</v>
      </c>
      <c r="S293" s="4" t="s">
        <v>175</v>
      </c>
    </row>
    <row r="294" spans="1:19" x14ac:dyDescent="0.35">
      <c r="A294">
        <v>296</v>
      </c>
      <c r="B294">
        <v>46</v>
      </c>
      <c r="C294" t="s">
        <v>64</v>
      </c>
      <c r="D294" t="s">
        <v>101</v>
      </c>
      <c r="E294" s="10">
        <v>800</v>
      </c>
      <c r="F294" t="s">
        <v>69</v>
      </c>
      <c r="G294" t="s">
        <v>70</v>
      </c>
      <c r="H294" t="s">
        <v>92</v>
      </c>
      <c r="I294" t="s">
        <v>125</v>
      </c>
      <c r="J294" s="5">
        <v>4</v>
      </c>
      <c r="K294" s="6">
        <v>100</v>
      </c>
      <c r="L294" s="6">
        <v>68</v>
      </c>
      <c r="M294" s="7">
        <v>88</v>
      </c>
      <c r="N294" s="8">
        <v>98</v>
      </c>
      <c r="O294" s="8">
        <v>140</v>
      </c>
      <c r="P294" s="8">
        <v>70</v>
      </c>
      <c r="Q294" s="4" t="s">
        <v>126</v>
      </c>
      <c r="R294" s="9">
        <v>26.423569824283259</v>
      </c>
      <c r="S294" s="4" t="s">
        <v>174</v>
      </c>
    </row>
    <row r="295" spans="1:19" x14ac:dyDescent="0.35">
      <c r="A295">
        <v>297</v>
      </c>
      <c r="B295">
        <v>59</v>
      </c>
      <c r="C295" t="s">
        <v>64</v>
      </c>
      <c r="D295" t="s">
        <v>101</v>
      </c>
      <c r="E295" s="10">
        <v>2200</v>
      </c>
      <c r="F295" t="s">
        <v>70</v>
      </c>
      <c r="G295" t="s">
        <v>69</v>
      </c>
      <c r="H295" t="s">
        <v>92</v>
      </c>
      <c r="I295" t="s">
        <v>125</v>
      </c>
      <c r="J295" s="5">
        <v>6</v>
      </c>
      <c r="K295" s="6">
        <v>155</v>
      </c>
      <c r="L295" s="6">
        <v>98</v>
      </c>
      <c r="M295" s="7">
        <v>95</v>
      </c>
      <c r="N295" s="8">
        <v>176</v>
      </c>
      <c r="O295" s="8">
        <v>112</v>
      </c>
      <c r="P295" s="8">
        <v>36</v>
      </c>
      <c r="Q295" s="4" t="s">
        <v>126</v>
      </c>
      <c r="R295" s="9">
        <v>28.40909090909091</v>
      </c>
      <c r="S295" s="4" t="s">
        <v>174</v>
      </c>
    </row>
    <row r="296" spans="1:19" x14ac:dyDescent="0.35">
      <c r="A296">
        <v>298</v>
      </c>
      <c r="B296">
        <v>49</v>
      </c>
      <c r="C296" t="s">
        <v>89</v>
      </c>
      <c r="D296" t="s">
        <v>90</v>
      </c>
      <c r="E296" s="10">
        <v>400</v>
      </c>
      <c r="F296" t="s">
        <v>69</v>
      </c>
      <c r="G296" t="s">
        <v>69</v>
      </c>
      <c r="H296" t="s">
        <v>92</v>
      </c>
      <c r="I296" t="s">
        <v>125</v>
      </c>
      <c r="J296" s="5">
        <v>3</v>
      </c>
      <c r="K296" s="6">
        <v>112</v>
      </c>
      <c r="L296" s="6">
        <v>76</v>
      </c>
      <c r="M296" s="7">
        <v>79</v>
      </c>
      <c r="N296" s="8">
        <v>89</v>
      </c>
      <c r="O296" s="8">
        <v>124</v>
      </c>
      <c r="P296" s="8">
        <v>42</v>
      </c>
      <c r="Q296" s="4" t="s">
        <v>127</v>
      </c>
      <c r="R296" s="9">
        <v>26.1286108288576</v>
      </c>
      <c r="S296" s="4" t="s">
        <v>175</v>
      </c>
    </row>
    <row r="297" spans="1:19" x14ac:dyDescent="0.35">
      <c r="A297">
        <v>299</v>
      </c>
      <c r="B297">
        <v>20</v>
      </c>
      <c r="C297" t="s">
        <v>64</v>
      </c>
      <c r="D297" t="s">
        <v>66</v>
      </c>
      <c r="E297" s="10">
        <v>100</v>
      </c>
      <c r="F297" t="s">
        <v>69</v>
      </c>
      <c r="G297" t="s">
        <v>69</v>
      </c>
      <c r="H297" t="s">
        <v>73</v>
      </c>
      <c r="I297" t="s">
        <v>124</v>
      </c>
      <c r="J297" s="5">
        <v>7</v>
      </c>
      <c r="K297" s="6">
        <v>133</v>
      </c>
      <c r="L297" s="6">
        <v>83</v>
      </c>
      <c r="M297" s="7">
        <v>90</v>
      </c>
      <c r="N297" s="8">
        <v>97</v>
      </c>
      <c r="O297" s="8">
        <v>100</v>
      </c>
      <c r="P297" s="8">
        <v>36</v>
      </c>
      <c r="Q297" s="4" t="s">
        <v>127</v>
      </c>
      <c r="R297" s="9">
        <v>24.337479718766904</v>
      </c>
      <c r="S297" s="4" t="s">
        <v>175</v>
      </c>
    </row>
    <row r="298" spans="1:19" x14ac:dyDescent="0.35">
      <c r="A298">
        <v>300</v>
      </c>
      <c r="B298">
        <v>64</v>
      </c>
      <c r="C298" t="s">
        <v>64</v>
      </c>
      <c r="D298" t="s">
        <v>101</v>
      </c>
      <c r="E298" s="10">
        <v>600</v>
      </c>
      <c r="F298" t="s">
        <v>69</v>
      </c>
      <c r="G298" t="s">
        <v>70</v>
      </c>
      <c r="H298" t="s">
        <v>73</v>
      </c>
      <c r="I298" t="s">
        <v>125</v>
      </c>
      <c r="J298" s="5">
        <v>3</v>
      </c>
      <c r="K298" s="6">
        <v>120</v>
      </c>
      <c r="L298" s="6">
        <v>78</v>
      </c>
      <c r="M298" s="7">
        <v>107</v>
      </c>
      <c r="N298" s="8">
        <v>87</v>
      </c>
      <c r="O298" s="8">
        <v>130</v>
      </c>
      <c r="P298" s="8">
        <v>53</v>
      </c>
      <c r="Q298" s="4" t="s">
        <v>127</v>
      </c>
      <c r="R298" s="9">
        <v>28.734672057202044</v>
      </c>
      <c r="S298" s="4" t="s">
        <v>175</v>
      </c>
    </row>
    <row r="299" spans="1:19" x14ac:dyDescent="0.35">
      <c r="A299">
        <v>301</v>
      </c>
      <c r="B299">
        <v>26</v>
      </c>
      <c r="C299" t="s">
        <v>89</v>
      </c>
      <c r="D299" t="s">
        <v>115</v>
      </c>
      <c r="E299" s="10">
        <v>300</v>
      </c>
      <c r="F299" t="s">
        <v>69</v>
      </c>
      <c r="G299" t="s">
        <v>69</v>
      </c>
      <c r="H299" t="s">
        <v>92</v>
      </c>
      <c r="I299" t="s">
        <v>125</v>
      </c>
      <c r="J299" s="5">
        <v>1</v>
      </c>
      <c r="K299" s="6">
        <v>95</v>
      </c>
      <c r="L299" s="6">
        <v>56</v>
      </c>
      <c r="M299" s="7">
        <v>103</v>
      </c>
      <c r="N299" s="8">
        <v>98</v>
      </c>
      <c r="O299" s="8">
        <v>133</v>
      </c>
      <c r="P299" s="8">
        <v>54</v>
      </c>
      <c r="Q299" s="4" t="s">
        <v>127</v>
      </c>
      <c r="R299" s="9">
        <v>22.213678499722331</v>
      </c>
      <c r="S299" s="4" t="s">
        <v>175</v>
      </c>
    </row>
    <row r="300" spans="1:19" x14ac:dyDescent="0.35">
      <c r="A300">
        <v>302</v>
      </c>
      <c r="B300">
        <v>71</v>
      </c>
      <c r="C300" t="s">
        <v>89</v>
      </c>
      <c r="D300" t="s">
        <v>90</v>
      </c>
      <c r="E300" s="10">
        <v>300</v>
      </c>
      <c r="F300" t="s">
        <v>69</v>
      </c>
      <c r="G300" t="s">
        <v>69</v>
      </c>
      <c r="H300" t="s">
        <v>92</v>
      </c>
      <c r="I300" t="s">
        <v>125</v>
      </c>
      <c r="J300" s="5">
        <v>4</v>
      </c>
      <c r="K300" s="6">
        <v>172</v>
      </c>
      <c r="L300" s="6">
        <v>82</v>
      </c>
      <c r="M300" s="7">
        <v>104</v>
      </c>
      <c r="N300" s="8">
        <v>96</v>
      </c>
      <c r="O300" s="8">
        <v>199</v>
      </c>
      <c r="P300" s="8">
        <v>43</v>
      </c>
      <c r="Q300" s="4" t="s">
        <v>127</v>
      </c>
      <c r="R300" s="9">
        <v>23.624447492760247</v>
      </c>
      <c r="S300" s="4" t="s">
        <v>175</v>
      </c>
    </row>
    <row r="301" spans="1:19" x14ac:dyDescent="0.35">
      <c r="A301">
        <v>303</v>
      </c>
      <c r="B301">
        <v>41</v>
      </c>
      <c r="C301" t="s">
        <v>89</v>
      </c>
      <c r="D301" t="s">
        <v>66</v>
      </c>
      <c r="E301" s="10">
        <v>300</v>
      </c>
      <c r="F301" t="s">
        <v>69</v>
      </c>
      <c r="G301" t="s">
        <v>69</v>
      </c>
      <c r="H301" t="s">
        <v>92</v>
      </c>
      <c r="I301" t="s">
        <v>125</v>
      </c>
      <c r="J301" s="5">
        <v>4</v>
      </c>
      <c r="K301" s="6">
        <v>134</v>
      </c>
      <c r="L301" s="6">
        <v>87</v>
      </c>
      <c r="M301" s="7">
        <v>88</v>
      </c>
      <c r="N301" s="8">
        <v>126</v>
      </c>
      <c r="O301" s="8">
        <v>132</v>
      </c>
      <c r="P301" s="8">
        <v>53</v>
      </c>
      <c r="Q301" s="4" t="s">
        <v>127</v>
      </c>
      <c r="R301" s="9">
        <v>28.06642386982525</v>
      </c>
      <c r="S301" s="4" t="s">
        <v>175</v>
      </c>
    </row>
    <row r="302" spans="1:19" x14ac:dyDescent="0.35">
      <c r="A302">
        <v>304</v>
      </c>
      <c r="B302">
        <v>33</v>
      </c>
      <c r="C302" t="s">
        <v>64</v>
      </c>
      <c r="D302" t="s">
        <v>90</v>
      </c>
      <c r="E302" s="10">
        <v>400</v>
      </c>
      <c r="F302" t="s">
        <v>69</v>
      </c>
      <c r="G302" t="s">
        <v>69</v>
      </c>
      <c r="H302" t="s">
        <v>92</v>
      </c>
      <c r="I302" t="s">
        <v>125</v>
      </c>
      <c r="J302" s="5">
        <v>4</v>
      </c>
      <c r="K302" s="6">
        <v>143</v>
      </c>
      <c r="L302" s="6">
        <v>83</v>
      </c>
      <c r="M302" s="7">
        <v>84</v>
      </c>
      <c r="N302" s="8">
        <v>99</v>
      </c>
      <c r="O302" s="8">
        <v>116</v>
      </c>
      <c r="P302" s="8">
        <v>33</v>
      </c>
      <c r="Q302" s="4" t="s">
        <v>126</v>
      </c>
      <c r="R302" s="9">
        <v>26.332888752094664</v>
      </c>
      <c r="S302" s="4" t="s">
        <v>174</v>
      </c>
    </row>
    <row r="303" spans="1:19" x14ac:dyDescent="0.35">
      <c r="A303">
        <v>305</v>
      </c>
      <c r="B303">
        <v>56</v>
      </c>
      <c r="C303" t="s">
        <v>89</v>
      </c>
      <c r="D303" t="s">
        <v>66</v>
      </c>
      <c r="E303" s="10">
        <v>700</v>
      </c>
      <c r="F303" t="s">
        <v>69</v>
      </c>
      <c r="G303" t="s">
        <v>69</v>
      </c>
      <c r="H303" t="s">
        <v>103</v>
      </c>
      <c r="I303" t="s">
        <v>74</v>
      </c>
      <c r="J303" s="5">
        <v>4</v>
      </c>
      <c r="K303" s="6">
        <v>139</v>
      </c>
      <c r="L303" s="6">
        <v>86</v>
      </c>
      <c r="M303" s="7">
        <v>99</v>
      </c>
      <c r="N303" s="8">
        <v>75</v>
      </c>
      <c r="O303" s="8">
        <v>107</v>
      </c>
      <c r="P303" s="8">
        <v>53</v>
      </c>
      <c r="Q303" s="4" t="s">
        <v>126</v>
      </c>
      <c r="R303" s="9">
        <v>30.486685032139579</v>
      </c>
      <c r="S303" s="4" t="s">
        <v>174</v>
      </c>
    </row>
    <row r="304" spans="1:19" x14ac:dyDescent="0.35">
      <c r="A304">
        <v>306</v>
      </c>
      <c r="B304">
        <v>35</v>
      </c>
      <c r="C304" t="s">
        <v>89</v>
      </c>
      <c r="D304" t="s">
        <v>115</v>
      </c>
      <c r="E304" s="10">
        <v>200</v>
      </c>
      <c r="F304" t="s">
        <v>69</v>
      </c>
      <c r="G304" t="s">
        <v>69</v>
      </c>
      <c r="H304" t="s">
        <v>92</v>
      </c>
      <c r="I304" t="s">
        <v>125</v>
      </c>
      <c r="J304" s="5">
        <v>4</v>
      </c>
      <c r="K304" s="6">
        <v>121</v>
      </c>
      <c r="L304" s="6">
        <v>73</v>
      </c>
      <c r="M304" s="7">
        <v>76</v>
      </c>
      <c r="N304" s="8">
        <v>85</v>
      </c>
      <c r="O304" s="8">
        <v>75</v>
      </c>
      <c r="P304" s="8">
        <v>55</v>
      </c>
      <c r="Q304" s="4" t="s">
        <v>126</v>
      </c>
      <c r="R304" s="9">
        <v>19.100091827364558</v>
      </c>
      <c r="S304" s="4" t="s">
        <v>174</v>
      </c>
    </row>
    <row r="305" spans="1:19" x14ac:dyDescent="0.35">
      <c r="A305">
        <v>307</v>
      </c>
      <c r="B305">
        <v>31</v>
      </c>
      <c r="C305" t="s">
        <v>89</v>
      </c>
      <c r="D305" t="s">
        <v>115</v>
      </c>
      <c r="E305" s="10">
        <v>800</v>
      </c>
      <c r="F305" t="s">
        <v>69</v>
      </c>
      <c r="G305" t="s">
        <v>69</v>
      </c>
      <c r="H305" t="s">
        <v>73</v>
      </c>
      <c r="I305" t="s">
        <v>125</v>
      </c>
      <c r="J305" s="5">
        <v>6</v>
      </c>
      <c r="K305" s="6">
        <v>105</v>
      </c>
      <c r="L305" s="6">
        <v>70</v>
      </c>
      <c r="M305" s="7">
        <v>76</v>
      </c>
      <c r="N305" s="8">
        <v>129</v>
      </c>
      <c r="O305" s="8">
        <v>119</v>
      </c>
      <c r="P305" s="8">
        <v>54</v>
      </c>
      <c r="Q305" s="4" t="s">
        <v>127</v>
      </c>
      <c r="R305" s="9">
        <v>31.553659148768332</v>
      </c>
      <c r="S305" s="4" t="s">
        <v>175</v>
      </c>
    </row>
    <row r="306" spans="1:19" x14ac:dyDescent="0.35">
      <c r="A306">
        <v>308</v>
      </c>
      <c r="B306">
        <v>51</v>
      </c>
      <c r="C306" t="s">
        <v>89</v>
      </c>
      <c r="D306" t="s">
        <v>66</v>
      </c>
      <c r="E306" s="10">
        <v>300</v>
      </c>
      <c r="F306" t="s">
        <v>69</v>
      </c>
      <c r="G306" t="s">
        <v>69</v>
      </c>
      <c r="H306" t="s">
        <v>92</v>
      </c>
      <c r="I306" t="s">
        <v>125</v>
      </c>
      <c r="J306" s="5">
        <v>5</v>
      </c>
      <c r="K306" s="6">
        <v>122</v>
      </c>
      <c r="L306" s="6">
        <v>80</v>
      </c>
      <c r="M306" s="7">
        <v>90</v>
      </c>
      <c r="N306" s="8">
        <v>252</v>
      </c>
      <c r="O306" s="8">
        <v>92</v>
      </c>
      <c r="P306" s="8">
        <v>54</v>
      </c>
      <c r="Q306" s="4" t="s">
        <v>126</v>
      </c>
      <c r="R306" s="9">
        <v>26.365603028664147</v>
      </c>
      <c r="S306" s="4" t="s">
        <v>174</v>
      </c>
    </row>
    <row r="307" spans="1:19" x14ac:dyDescent="0.35">
      <c r="A307">
        <v>309</v>
      </c>
      <c r="B307">
        <v>38</v>
      </c>
      <c r="C307" t="s">
        <v>89</v>
      </c>
      <c r="D307" t="s">
        <v>66</v>
      </c>
      <c r="E307" s="10">
        <v>450</v>
      </c>
      <c r="F307" t="s">
        <v>69</v>
      </c>
      <c r="G307" t="s">
        <v>69</v>
      </c>
      <c r="H307" t="s">
        <v>92</v>
      </c>
      <c r="I307" t="s">
        <v>125</v>
      </c>
      <c r="J307" s="5">
        <v>8</v>
      </c>
      <c r="K307" s="6">
        <v>110</v>
      </c>
      <c r="L307" s="6">
        <v>62</v>
      </c>
      <c r="M307" s="7">
        <v>97</v>
      </c>
      <c r="N307" s="8">
        <v>111</v>
      </c>
      <c r="O307" s="8">
        <v>119</v>
      </c>
      <c r="P307" s="8">
        <v>51</v>
      </c>
      <c r="Q307" s="4" t="s">
        <v>127</v>
      </c>
      <c r="R307" s="9">
        <v>27.732299776136855</v>
      </c>
      <c r="S307" s="4" t="s">
        <v>175</v>
      </c>
    </row>
    <row r="308" spans="1:19" x14ac:dyDescent="0.35">
      <c r="A308">
        <v>310</v>
      </c>
      <c r="B308">
        <v>37</v>
      </c>
      <c r="C308" t="s">
        <v>89</v>
      </c>
      <c r="D308" t="s">
        <v>115</v>
      </c>
      <c r="E308" s="10">
        <v>300</v>
      </c>
      <c r="F308" t="s">
        <v>69</v>
      </c>
      <c r="G308" t="s">
        <v>69</v>
      </c>
      <c r="H308" t="s">
        <v>103</v>
      </c>
      <c r="I308" t="s">
        <v>125</v>
      </c>
      <c r="J308" s="5">
        <v>4</v>
      </c>
      <c r="K308" s="6">
        <v>147</v>
      </c>
      <c r="L308" s="6">
        <v>84</v>
      </c>
      <c r="M308" s="7">
        <v>87</v>
      </c>
      <c r="N308" s="8">
        <v>125</v>
      </c>
      <c r="O308" s="8">
        <v>137</v>
      </c>
      <c r="P308" s="8">
        <v>53</v>
      </c>
      <c r="Q308" s="4" t="s">
        <v>126</v>
      </c>
      <c r="R308" s="9">
        <v>23.183673469387756</v>
      </c>
      <c r="S308" s="4" t="s">
        <v>174</v>
      </c>
    </row>
    <row r="309" spans="1:19" x14ac:dyDescent="0.35">
      <c r="A309">
        <v>311</v>
      </c>
      <c r="B309">
        <v>35</v>
      </c>
      <c r="C309" t="s">
        <v>89</v>
      </c>
      <c r="D309" t="s">
        <v>115</v>
      </c>
      <c r="E309" s="10">
        <v>700</v>
      </c>
      <c r="F309" t="s">
        <v>69</v>
      </c>
      <c r="G309" t="s">
        <v>69</v>
      </c>
      <c r="H309" t="s">
        <v>92</v>
      </c>
      <c r="I309" t="s">
        <v>74</v>
      </c>
      <c r="J309" s="5">
        <v>4</v>
      </c>
      <c r="K309" s="6">
        <v>94</v>
      </c>
      <c r="L309" s="6">
        <v>59</v>
      </c>
      <c r="M309" s="7">
        <v>69</v>
      </c>
      <c r="N309" s="8">
        <v>89</v>
      </c>
      <c r="O309" s="8">
        <v>69</v>
      </c>
      <c r="P309" s="8">
        <v>75</v>
      </c>
      <c r="Q309" s="4" t="s">
        <v>126</v>
      </c>
      <c r="R309" s="9">
        <v>17.514631124781069</v>
      </c>
      <c r="S309" s="4" t="s">
        <v>174</v>
      </c>
    </row>
    <row r="310" spans="1:19" x14ac:dyDescent="0.35">
      <c r="A310">
        <v>312</v>
      </c>
      <c r="B310">
        <v>33</v>
      </c>
      <c r="C310" t="s">
        <v>89</v>
      </c>
      <c r="D310" t="s">
        <v>101</v>
      </c>
      <c r="E310" s="10">
        <v>300</v>
      </c>
      <c r="F310" t="s">
        <v>69</v>
      </c>
      <c r="G310" t="s">
        <v>69</v>
      </c>
      <c r="H310" t="s">
        <v>92</v>
      </c>
      <c r="I310" t="s">
        <v>74</v>
      </c>
      <c r="J310" s="5">
        <v>1</v>
      </c>
      <c r="K310" s="6">
        <v>117</v>
      </c>
      <c r="L310" s="6">
        <v>84</v>
      </c>
      <c r="M310" s="7">
        <v>78</v>
      </c>
      <c r="N310" s="8">
        <v>97</v>
      </c>
      <c r="O310" s="8">
        <v>61</v>
      </c>
      <c r="P310" s="8">
        <v>39</v>
      </c>
      <c r="Q310" s="4" t="s">
        <v>127</v>
      </c>
      <c r="R310" s="9">
        <v>22.64086462471699</v>
      </c>
      <c r="S310" s="4" t="s">
        <v>175</v>
      </c>
    </row>
    <row r="311" spans="1:19" x14ac:dyDescent="0.35">
      <c r="A311">
        <v>313</v>
      </c>
      <c r="B311">
        <v>49</v>
      </c>
      <c r="C311" t="s">
        <v>64</v>
      </c>
      <c r="D311" t="s">
        <v>101</v>
      </c>
      <c r="E311" s="10">
        <v>300</v>
      </c>
      <c r="F311" t="s">
        <v>69</v>
      </c>
      <c r="G311" t="s">
        <v>69</v>
      </c>
      <c r="H311" t="s">
        <v>92</v>
      </c>
      <c r="I311" t="s">
        <v>125</v>
      </c>
      <c r="J311" s="5">
        <v>4</v>
      </c>
      <c r="K311" s="6">
        <v>120</v>
      </c>
      <c r="L311" s="6">
        <v>86</v>
      </c>
      <c r="M311" s="7">
        <v>92</v>
      </c>
      <c r="N311" s="8">
        <v>80</v>
      </c>
      <c r="O311" s="8">
        <v>118</v>
      </c>
      <c r="P311" s="8">
        <v>31</v>
      </c>
      <c r="Q311" s="4" t="s">
        <v>126</v>
      </c>
      <c r="R311" s="9">
        <v>25.762980578676178</v>
      </c>
      <c r="S311" s="4" t="s">
        <v>174</v>
      </c>
    </row>
    <row r="312" spans="1:19" x14ac:dyDescent="0.35">
      <c r="A312">
        <v>314</v>
      </c>
      <c r="B312">
        <v>51</v>
      </c>
      <c r="C312" t="s">
        <v>89</v>
      </c>
      <c r="D312" t="s">
        <v>66</v>
      </c>
      <c r="E312" s="10">
        <v>230</v>
      </c>
      <c r="F312" t="s">
        <v>69</v>
      </c>
      <c r="G312" t="s">
        <v>69</v>
      </c>
      <c r="H312" t="s">
        <v>92</v>
      </c>
      <c r="I312" t="s">
        <v>125</v>
      </c>
      <c r="J312" s="5">
        <v>6</v>
      </c>
      <c r="K312" s="6">
        <v>147</v>
      </c>
      <c r="L312" s="6">
        <v>79</v>
      </c>
      <c r="M312" s="7">
        <v>88</v>
      </c>
      <c r="N312" s="8">
        <v>175</v>
      </c>
      <c r="O312" s="8">
        <v>312</v>
      </c>
      <c r="P312" s="8">
        <v>40</v>
      </c>
      <c r="Q312" s="4" t="s">
        <v>126</v>
      </c>
      <c r="R312" s="9">
        <v>18.666666666666668</v>
      </c>
      <c r="S312" s="4" t="s">
        <v>174</v>
      </c>
    </row>
    <row r="313" spans="1:19" x14ac:dyDescent="0.35">
      <c r="A313">
        <v>315</v>
      </c>
      <c r="B313">
        <v>23</v>
      </c>
      <c r="C313" t="s">
        <v>89</v>
      </c>
      <c r="D313" t="s">
        <v>66</v>
      </c>
      <c r="E313" s="10">
        <v>200</v>
      </c>
      <c r="F313" t="s">
        <v>69</v>
      </c>
      <c r="G313" t="s">
        <v>69</v>
      </c>
      <c r="H313" t="s">
        <v>73</v>
      </c>
      <c r="I313" t="s">
        <v>125</v>
      </c>
      <c r="J313" s="5">
        <v>4</v>
      </c>
      <c r="K313" s="6">
        <v>106</v>
      </c>
      <c r="L313" s="6">
        <v>59</v>
      </c>
      <c r="M313" s="7">
        <v>95</v>
      </c>
      <c r="N313" s="8">
        <v>91</v>
      </c>
      <c r="O313" s="8">
        <v>54</v>
      </c>
      <c r="P313" s="8">
        <v>92</v>
      </c>
      <c r="Q313" s="4" t="s">
        <v>126</v>
      </c>
      <c r="R313" s="9">
        <v>26.446280991735541</v>
      </c>
      <c r="S313" s="4" t="s">
        <v>174</v>
      </c>
    </row>
    <row r="314" spans="1:19" x14ac:dyDescent="0.35">
      <c r="A314">
        <v>316</v>
      </c>
      <c r="B314">
        <v>26</v>
      </c>
      <c r="C314" t="s">
        <v>89</v>
      </c>
      <c r="D314" t="s">
        <v>101</v>
      </c>
      <c r="E314" s="10">
        <v>700</v>
      </c>
      <c r="F314" t="s">
        <v>69</v>
      </c>
      <c r="G314" t="s">
        <v>69</v>
      </c>
      <c r="H314" t="s">
        <v>73</v>
      </c>
      <c r="I314" t="s">
        <v>125</v>
      </c>
      <c r="J314" s="5">
        <v>2</v>
      </c>
      <c r="K314" s="6">
        <v>97</v>
      </c>
      <c r="L314" s="6">
        <v>58</v>
      </c>
      <c r="M314" s="7">
        <v>76</v>
      </c>
      <c r="N314" s="8">
        <v>88</v>
      </c>
      <c r="O314" s="8">
        <v>55</v>
      </c>
      <c r="P314" s="8">
        <v>44</v>
      </c>
      <c r="Q314" s="4" t="s">
        <v>127</v>
      </c>
      <c r="R314" s="9">
        <v>20.446742023841672</v>
      </c>
      <c r="S314" s="4" t="s">
        <v>175</v>
      </c>
    </row>
    <row r="315" spans="1:19" x14ac:dyDescent="0.35">
      <c r="A315">
        <v>317</v>
      </c>
      <c r="B315">
        <v>61</v>
      </c>
      <c r="C315" t="s">
        <v>64</v>
      </c>
      <c r="D315" t="s">
        <v>66</v>
      </c>
      <c r="E315" s="10">
        <v>600</v>
      </c>
      <c r="F315" t="s">
        <v>70</v>
      </c>
      <c r="G315" t="s">
        <v>70</v>
      </c>
      <c r="H315" t="s">
        <v>92</v>
      </c>
      <c r="I315" t="s">
        <v>125</v>
      </c>
      <c r="J315" s="5">
        <v>2</v>
      </c>
      <c r="K315" s="6">
        <v>142</v>
      </c>
      <c r="L315" s="6">
        <v>102</v>
      </c>
      <c r="M315" s="7">
        <v>60</v>
      </c>
      <c r="N315" s="8">
        <v>97</v>
      </c>
      <c r="O315" s="8">
        <v>172</v>
      </c>
      <c r="P315" s="8">
        <v>43</v>
      </c>
      <c r="Q315" s="4" t="s">
        <v>126</v>
      </c>
      <c r="R315" s="9">
        <v>20.983987603305785</v>
      </c>
      <c r="S315" s="4" t="s">
        <v>174</v>
      </c>
    </row>
    <row r="316" spans="1:19" x14ac:dyDescent="0.35">
      <c r="A316">
        <v>318</v>
      </c>
      <c r="B316">
        <v>21</v>
      </c>
      <c r="C316" t="s">
        <v>89</v>
      </c>
      <c r="D316" t="s">
        <v>90</v>
      </c>
      <c r="E316" s="10">
        <v>200</v>
      </c>
      <c r="F316" t="s">
        <v>69</v>
      </c>
      <c r="G316" t="s">
        <v>69</v>
      </c>
      <c r="H316" t="s">
        <v>92</v>
      </c>
      <c r="I316" t="s">
        <v>125</v>
      </c>
      <c r="J316" s="5">
        <v>1</v>
      </c>
      <c r="K316" s="6">
        <v>101</v>
      </c>
      <c r="L316" s="6">
        <v>72</v>
      </c>
      <c r="M316" s="7">
        <v>97</v>
      </c>
      <c r="N316" s="8">
        <v>94</v>
      </c>
      <c r="O316" s="8">
        <v>40</v>
      </c>
      <c r="P316" s="8">
        <v>53</v>
      </c>
      <c r="Q316" s="4" t="s">
        <v>127</v>
      </c>
      <c r="R316" s="9">
        <v>25.847768218818715</v>
      </c>
      <c r="S316" s="4" t="s">
        <v>175</v>
      </c>
    </row>
    <row r="317" spans="1:19" x14ac:dyDescent="0.35">
      <c r="A317">
        <v>319</v>
      </c>
      <c r="B317">
        <v>67</v>
      </c>
      <c r="C317" t="s">
        <v>64</v>
      </c>
      <c r="D317" t="s">
        <v>90</v>
      </c>
      <c r="E317" s="10">
        <v>1800</v>
      </c>
      <c r="F317" t="s">
        <v>69</v>
      </c>
      <c r="G317" t="s">
        <v>69</v>
      </c>
      <c r="H317" t="s">
        <v>92</v>
      </c>
      <c r="I317" t="s">
        <v>125</v>
      </c>
      <c r="J317" s="5">
        <v>3</v>
      </c>
      <c r="K317" s="6">
        <v>120</v>
      </c>
      <c r="L317" s="6">
        <v>80</v>
      </c>
      <c r="M317" s="7">
        <v>91</v>
      </c>
      <c r="N317" s="8">
        <v>90</v>
      </c>
      <c r="O317" s="8">
        <v>120</v>
      </c>
      <c r="P317" s="8">
        <v>58</v>
      </c>
      <c r="Q317" s="4" t="s">
        <v>126</v>
      </c>
      <c r="R317" s="9">
        <v>26.296566837107374</v>
      </c>
      <c r="S317" s="4" t="s">
        <v>174</v>
      </c>
    </row>
    <row r="318" spans="1:19" x14ac:dyDescent="0.35">
      <c r="A318">
        <v>320</v>
      </c>
      <c r="B318">
        <v>47</v>
      </c>
      <c r="C318" t="s">
        <v>64</v>
      </c>
      <c r="D318" t="s">
        <v>90</v>
      </c>
      <c r="E318" s="10">
        <v>800</v>
      </c>
      <c r="F318" t="s">
        <v>69</v>
      </c>
      <c r="G318" t="s">
        <v>69</v>
      </c>
      <c r="H318" t="s">
        <v>92</v>
      </c>
      <c r="I318" t="s">
        <v>125</v>
      </c>
      <c r="J318" s="5">
        <v>3</v>
      </c>
      <c r="K318" s="6">
        <v>100</v>
      </c>
      <c r="L318" s="6">
        <v>72</v>
      </c>
      <c r="M318" s="7">
        <v>92</v>
      </c>
      <c r="N318" s="8">
        <v>92</v>
      </c>
      <c r="O318" s="8">
        <v>140</v>
      </c>
      <c r="P318" s="8">
        <v>38</v>
      </c>
      <c r="Q318" s="4" t="s">
        <v>127</v>
      </c>
      <c r="R318" s="9">
        <v>27.358845456721728</v>
      </c>
      <c r="S318" s="4" t="s">
        <v>175</v>
      </c>
    </row>
    <row r="319" spans="1:19" x14ac:dyDescent="0.35">
      <c r="A319">
        <v>321</v>
      </c>
      <c r="B319">
        <v>33</v>
      </c>
      <c r="C319" t="s">
        <v>64</v>
      </c>
      <c r="D319" t="s">
        <v>101</v>
      </c>
      <c r="E319" s="10">
        <v>700</v>
      </c>
      <c r="F319" t="s">
        <v>69</v>
      </c>
      <c r="G319" t="s">
        <v>69</v>
      </c>
      <c r="H319" t="s">
        <v>92</v>
      </c>
      <c r="I319" t="s">
        <v>125</v>
      </c>
      <c r="J319" s="5">
        <v>3</v>
      </c>
      <c r="K319" s="6">
        <v>98</v>
      </c>
      <c r="L319" s="6">
        <v>60</v>
      </c>
      <c r="M319" s="7">
        <v>90</v>
      </c>
      <c r="N319" s="8">
        <v>88</v>
      </c>
      <c r="O319" s="8">
        <v>128</v>
      </c>
      <c r="P319" s="8">
        <v>38</v>
      </c>
      <c r="Q319" s="4" t="s">
        <v>126</v>
      </c>
      <c r="R319" s="9">
        <v>26.927437641723358</v>
      </c>
      <c r="S319" s="4" t="s">
        <v>174</v>
      </c>
    </row>
    <row r="320" spans="1:19" x14ac:dyDescent="0.35">
      <c r="A320">
        <v>322</v>
      </c>
      <c r="B320">
        <v>53</v>
      </c>
      <c r="C320" t="s">
        <v>64</v>
      </c>
      <c r="D320" t="s">
        <v>101</v>
      </c>
      <c r="E320" s="10">
        <v>400</v>
      </c>
      <c r="F320" t="s">
        <v>69</v>
      </c>
      <c r="G320" t="s">
        <v>70</v>
      </c>
      <c r="H320" t="s">
        <v>103</v>
      </c>
      <c r="I320" t="s">
        <v>125</v>
      </c>
      <c r="J320" s="5">
        <v>2</v>
      </c>
      <c r="K320" s="6">
        <v>108</v>
      </c>
      <c r="L320" s="6">
        <v>80</v>
      </c>
      <c r="M320" s="7">
        <v>90</v>
      </c>
      <c r="N320" s="8">
        <v>94</v>
      </c>
      <c r="O320" s="8">
        <v>120</v>
      </c>
      <c r="P320" s="8">
        <v>60</v>
      </c>
      <c r="Q320" s="4" t="s">
        <v>126</v>
      </c>
      <c r="R320" s="9">
        <v>27.717685235262305</v>
      </c>
      <c r="S320" s="4" t="s">
        <v>174</v>
      </c>
    </row>
    <row r="321" spans="1:19" x14ac:dyDescent="0.35">
      <c r="A321">
        <v>323</v>
      </c>
      <c r="B321">
        <v>53</v>
      </c>
      <c r="C321" t="s">
        <v>89</v>
      </c>
      <c r="D321" t="s">
        <v>101</v>
      </c>
      <c r="E321" s="10">
        <v>800</v>
      </c>
      <c r="F321" t="s">
        <v>70</v>
      </c>
      <c r="G321" t="s">
        <v>69</v>
      </c>
      <c r="H321" t="s">
        <v>92</v>
      </c>
      <c r="I321" t="s">
        <v>125</v>
      </c>
      <c r="J321" s="5">
        <v>4</v>
      </c>
      <c r="K321" s="6">
        <v>118</v>
      </c>
      <c r="L321" s="6">
        <v>78</v>
      </c>
      <c r="M321" s="7">
        <v>93</v>
      </c>
      <c r="N321" s="8">
        <v>124</v>
      </c>
      <c r="O321" s="8">
        <v>142</v>
      </c>
      <c r="P321" s="8">
        <v>38</v>
      </c>
      <c r="Q321" s="4" t="s">
        <v>127</v>
      </c>
      <c r="R321" s="9">
        <v>28.344671201814062</v>
      </c>
      <c r="S321" s="4" t="s">
        <v>175</v>
      </c>
    </row>
    <row r="322" spans="1:19" x14ac:dyDescent="0.35">
      <c r="A322">
        <v>324</v>
      </c>
      <c r="B322">
        <v>61</v>
      </c>
      <c r="C322" t="s">
        <v>89</v>
      </c>
      <c r="D322" t="s">
        <v>115</v>
      </c>
      <c r="E322" s="10">
        <v>200</v>
      </c>
      <c r="F322" t="s">
        <v>69</v>
      </c>
      <c r="G322" t="s">
        <v>69</v>
      </c>
      <c r="H322" t="s">
        <v>73</v>
      </c>
      <c r="I322" t="s">
        <v>125</v>
      </c>
      <c r="J322" s="5">
        <v>4</v>
      </c>
      <c r="K322" s="6">
        <v>136</v>
      </c>
      <c r="L322" s="6">
        <v>76</v>
      </c>
      <c r="M322" s="7">
        <v>95</v>
      </c>
      <c r="N322" s="8">
        <v>105</v>
      </c>
      <c r="O322" s="8">
        <v>110</v>
      </c>
      <c r="P322" s="8">
        <v>50</v>
      </c>
      <c r="Q322" s="4" t="s">
        <v>127</v>
      </c>
      <c r="R322" s="9">
        <v>32.421874999999993</v>
      </c>
      <c r="S322" s="4" t="s">
        <v>175</v>
      </c>
    </row>
    <row r="323" spans="1:19" x14ac:dyDescent="0.35">
      <c r="A323">
        <v>325</v>
      </c>
      <c r="B323">
        <v>40</v>
      </c>
      <c r="C323" t="s">
        <v>89</v>
      </c>
      <c r="D323" t="s">
        <v>90</v>
      </c>
      <c r="E323" s="10">
        <v>800</v>
      </c>
      <c r="F323" t="s">
        <v>69</v>
      </c>
      <c r="G323" t="s">
        <v>69</v>
      </c>
      <c r="H323" t="s">
        <v>73</v>
      </c>
      <c r="I323" t="s">
        <v>125</v>
      </c>
      <c r="J323" s="5">
        <v>7</v>
      </c>
      <c r="K323" s="6">
        <v>140</v>
      </c>
      <c r="L323" s="6">
        <v>93</v>
      </c>
      <c r="M323" s="7">
        <v>107</v>
      </c>
      <c r="N323" s="8">
        <v>114</v>
      </c>
      <c r="O323" s="8">
        <v>109</v>
      </c>
      <c r="P323" s="8">
        <v>51</v>
      </c>
      <c r="Q323" s="4" t="s">
        <v>127</v>
      </c>
      <c r="R323" s="9">
        <v>36.250470230156289</v>
      </c>
      <c r="S323" s="4" t="s">
        <v>175</v>
      </c>
    </row>
    <row r="324" spans="1:19" x14ac:dyDescent="0.35">
      <c r="A324">
        <v>326</v>
      </c>
      <c r="B324">
        <v>51</v>
      </c>
      <c r="C324" t="s">
        <v>89</v>
      </c>
      <c r="D324" t="s">
        <v>115</v>
      </c>
      <c r="E324" s="10">
        <v>380</v>
      </c>
      <c r="F324" t="s">
        <v>69</v>
      </c>
      <c r="G324" t="s">
        <v>69</v>
      </c>
      <c r="H324" t="s">
        <v>92</v>
      </c>
      <c r="I324" t="s">
        <v>74</v>
      </c>
      <c r="J324" s="5">
        <v>1</v>
      </c>
      <c r="K324" s="6">
        <v>178</v>
      </c>
      <c r="L324" s="6">
        <v>103</v>
      </c>
      <c r="M324" s="7">
        <v>104</v>
      </c>
      <c r="N324" s="8">
        <v>184</v>
      </c>
      <c r="O324" s="8">
        <v>256</v>
      </c>
      <c r="P324" s="8">
        <v>33</v>
      </c>
      <c r="Q324" s="4" t="s">
        <v>127</v>
      </c>
      <c r="R324" s="9">
        <v>26.037493991347535</v>
      </c>
      <c r="S324" s="4" t="s">
        <v>175</v>
      </c>
    </row>
    <row r="325" spans="1:19" x14ac:dyDescent="0.35">
      <c r="A325">
        <v>327</v>
      </c>
      <c r="B325">
        <v>23</v>
      </c>
      <c r="C325" t="s">
        <v>64</v>
      </c>
      <c r="D325" t="s">
        <v>90</v>
      </c>
      <c r="E325" s="10">
        <v>650</v>
      </c>
      <c r="F325" t="s">
        <v>69</v>
      </c>
      <c r="G325" t="s">
        <v>69</v>
      </c>
      <c r="H325" t="s">
        <v>103</v>
      </c>
      <c r="I325" t="s">
        <v>124</v>
      </c>
      <c r="J325" s="5">
        <v>2</v>
      </c>
      <c r="K325" s="6">
        <v>137</v>
      </c>
      <c r="L325" s="6">
        <v>81</v>
      </c>
      <c r="M325" s="7">
        <v>72</v>
      </c>
      <c r="N325" s="8">
        <v>83</v>
      </c>
      <c r="O325" s="8">
        <v>60</v>
      </c>
      <c r="P325" s="8">
        <v>41</v>
      </c>
      <c r="Q325" s="4" t="s">
        <v>126</v>
      </c>
      <c r="R325" s="9">
        <v>16.372080590731397</v>
      </c>
      <c r="S325" s="4" t="s">
        <v>174</v>
      </c>
    </row>
    <row r="326" spans="1:19" x14ac:dyDescent="0.35">
      <c r="A326">
        <v>328</v>
      </c>
      <c r="B326">
        <v>25</v>
      </c>
      <c r="C326" t="s">
        <v>89</v>
      </c>
      <c r="D326" t="s">
        <v>90</v>
      </c>
      <c r="E326" s="10">
        <v>300</v>
      </c>
      <c r="F326" t="s">
        <v>69</v>
      </c>
      <c r="G326" t="s">
        <v>69</v>
      </c>
      <c r="H326" t="s">
        <v>73</v>
      </c>
      <c r="I326" t="s">
        <v>125</v>
      </c>
      <c r="J326" s="5">
        <v>6</v>
      </c>
      <c r="K326" s="6">
        <v>128</v>
      </c>
      <c r="L326" s="6">
        <v>87</v>
      </c>
      <c r="M326" s="7">
        <v>101</v>
      </c>
      <c r="N326" s="8">
        <v>104</v>
      </c>
      <c r="O326" s="8">
        <v>126</v>
      </c>
      <c r="P326" s="8">
        <v>51</v>
      </c>
      <c r="Q326" s="4" t="s">
        <v>126</v>
      </c>
      <c r="R326" s="9">
        <v>35.566499093738251</v>
      </c>
      <c r="S326" s="4" t="s">
        <v>174</v>
      </c>
    </row>
    <row r="327" spans="1:19" x14ac:dyDescent="0.35">
      <c r="A327">
        <v>329</v>
      </c>
      <c r="B327">
        <v>21</v>
      </c>
      <c r="C327" t="s">
        <v>64</v>
      </c>
      <c r="D327" t="s">
        <v>101</v>
      </c>
      <c r="E327" s="10">
        <v>200</v>
      </c>
      <c r="F327" t="s">
        <v>69</v>
      </c>
      <c r="G327" t="s">
        <v>69</v>
      </c>
      <c r="H327" t="s">
        <v>92</v>
      </c>
      <c r="I327" t="s">
        <v>125</v>
      </c>
      <c r="J327" s="5">
        <v>4</v>
      </c>
      <c r="K327" s="6">
        <v>105</v>
      </c>
      <c r="L327" s="6">
        <v>63</v>
      </c>
      <c r="M327" s="7">
        <v>79</v>
      </c>
      <c r="N327" s="8">
        <v>99</v>
      </c>
      <c r="O327" s="8">
        <v>106</v>
      </c>
      <c r="P327" s="8">
        <v>40</v>
      </c>
      <c r="Q327" s="4" t="s">
        <v>126</v>
      </c>
      <c r="R327" s="9">
        <v>20.576131687242793</v>
      </c>
      <c r="S327" s="4" t="s">
        <v>174</v>
      </c>
    </row>
    <row r="328" spans="1:19" x14ac:dyDescent="0.35">
      <c r="A328">
        <v>330</v>
      </c>
      <c r="B328">
        <v>38</v>
      </c>
      <c r="C328" t="s">
        <v>89</v>
      </c>
      <c r="D328" t="s">
        <v>101</v>
      </c>
      <c r="E328" s="10">
        <v>500</v>
      </c>
      <c r="F328" t="s">
        <v>69</v>
      </c>
      <c r="G328" t="s">
        <v>69</v>
      </c>
      <c r="H328" t="s">
        <v>73</v>
      </c>
      <c r="I328" t="s">
        <v>125</v>
      </c>
      <c r="J328" s="5">
        <v>4</v>
      </c>
      <c r="K328" s="6">
        <v>125</v>
      </c>
      <c r="L328" s="6">
        <v>80</v>
      </c>
      <c r="M328" s="7">
        <v>86</v>
      </c>
      <c r="N328" s="8">
        <v>99</v>
      </c>
      <c r="O328" s="8">
        <v>99</v>
      </c>
      <c r="P328" s="8">
        <v>42</v>
      </c>
      <c r="Q328" s="4" t="s">
        <v>126</v>
      </c>
      <c r="R328" s="9">
        <v>24.535123966942148</v>
      </c>
      <c r="S328" s="4" t="s">
        <v>174</v>
      </c>
    </row>
    <row r="329" spans="1:19" x14ac:dyDescent="0.35">
      <c r="A329">
        <v>331</v>
      </c>
      <c r="B329">
        <v>41</v>
      </c>
      <c r="C329" t="s">
        <v>89</v>
      </c>
      <c r="D329" t="s">
        <v>115</v>
      </c>
      <c r="E329" s="10">
        <v>300</v>
      </c>
      <c r="F329" t="s">
        <v>69</v>
      </c>
      <c r="G329" t="s">
        <v>69</v>
      </c>
      <c r="H329" t="s">
        <v>73</v>
      </c>
      <c r="I329" t="s">
        <v>125</v>
      </c>
      <c r="J329" s="5">
        <v>5</v>
      </c>
      <c r="K329" s="6">
        <v>120</v>
      </c>
      <c r="L329" s="6">
        <v>69</v>
      </c>
      <c r="M329" s="7">
        <v>77</v>
      </c>
      <c r="N329" s="8">
        <v>86</v>
      </c>
      <c r="O329" s="8">
        <v>114</v>
      </c>
      <c r="P329" s="8">
        <v>52</v>
      </c>
      <c r="Q329" s="4" t="s">
        <v>127</v>
      </c>
      <c r="R329" s="9">
        <v>24.167162403331353</v>
      </c>
      <c r="S329" s="4" t="s">
        <v>175</v>
      </c>
    </row>
    <row r="330" spans="1:19" x14ac:dyDescent="0.35">
      <c r="A330">
        <v>332</v>
      </c>
      <c r="B330">
        <v>46</v>
      </c>
      <c r="C330" t="s">
        <v>64</v>
      </c>
      <c r="D330" t="s">
        <v>90</v>
      </c>
      <c r="E330" s="10">
        <v>600</v>
      </c>
      <c r="F330" t="s">
        <v>70</v>
      </c>
      <c r="G330" t="s">
        <v>69</v>
      </c>
      <c r="H330" t="s">
        <v>73</v>
      </c>
      <c r="I330" t="s">
        <v>124</v>
      </c>
      <c r="J330" s="5">
        <v>4</v>
      </c>
      <c r="K330" s="6">
        <v>126</v>
      </c>
      <c r="L330" s="6">
        <v>81</v>
      </c>
      <c r="M330" s="7">
        <v>73</v>
      </c>
      <c r="N330" s="8">
        <v>235</v>
      </c>
      <c r="O330" s="8">
        <v>97</v>
      </c>
      <c r="P330" s="8">
        <v>44</v>
      </c>
      <c r="Q330" s="4" t="s">
        <v>127</v>
      </c>
      <c r="R330" s="9">
        <v>20.571428571428573</v>
      </c>
      <c r="S330" s="4" t="s">
        <v>175</v>
      </c>
    </row>
    <row r="331" spans="1:19" x14ac:dyDescent="0.35">
      <c r="A331">
        <v>333</v>
      </c>
      <c r="B331">
        <v>31</v>
      </c>
      <c r="C331" t="s">
        <v>89</v>
      </c>
      <c r="D331" t="s">
        <v>101</v>
      </c>
      <c r="E331" s="10">
        <v>700</v>
      </c>
      <c r="F331" t="s">
        <v>69</v>
      </c>
      <c r="G331" t="s">
        <v>69</v>
      </c>
      <c r="H331" t="s">
        <v>73</v>
      </c>
      <c r="I331" t="s">
        <v>125</v>
      </c>
      <c r="J331" s="5">
        <v>4</v>
      </c>
      <c r="K331" s="6">
        <v>157</v>
      </c>
      <c r="L331" s="6">
        <v>82</v>
      </c>
      <c r="M331" s="7">
        <v>89</v>
      </c>
      <c r="N331" s="8">
        <v>86</v>
      </c>
      <c r="O331" s="8">
        <v>44</v>
      </c>
      <c r="P331" s="8">
        <v>40</v>
      </c>
      <c r="Q331" s="4" t="s">
        <v>127</v>
      </c>
      <c r="R331" s="9">
        <v>26.448979591836736</v>
      </c>
      <c r="S331" s="4" t="s">
        <v>175</v>
      </c>
    </row>
    <row r="332" spans="1:19" x14ac:dyDescent="0.35">
      <c r="A332">
        <v>334</v>
      </c>
      <c r="B332">
        <v>30</v>
      </c>
      <c r="C332" t="s">
        <v>64</v>
      </c>
      <c r="D332" t="s">
        <v>101</v>
      </c>
      <c r="E332" s="10">
        <v>1400</v>
      </c>
      <c r="F332" t="s">
        <v>69</v>
      </c>
      <c r="G332" t="s">
        <v>70</v>
      </c>
      <c r="H332" t="s">
        <v>103</v>
      </c>
      <c r="I332" t="s">
        <v>74</v>
      </c>
      <c r="J332" s="5">
        <v>6</v>
      </c>
      <c r="K332" s="6">
        <v>122</v>
      </c>
      <c r="L332" s="6">
        <v>84</v>
      </c>
      <c r="M332" s="7">
        <v>87</v>
      </c>
      <c r="N332" s="8">
        <v>71</v>
      </c>
      <c r="O332" s="8">
        <v>144</v>
      </c>
      <c r="P332" s="8">
        <v>51</v>
      </c>
      <c r="Q332" s="4" t="s">
        <v>127</v>
      </c>
      <c r="R332" s="9">
        <v>23.98687034465345</v>
      </c>
      <c r="S332" s="4" t="s">
        <v>175</v>
      </c>
    </row>
    <row r="333" spans="1:19" x14ac:dyDescent="0.35">
      <c r="A333">
        <v>335</v>
      </c>
      <c r="B333">
        <v>61</v>
      </c>
      <c r="C333" t="s">
        <v>89</v>
      </c>
      <c r="D333" t="s">
        <v>90</v>
      </c>
      <c r="E333" s="10">
        <v>600</v>
      </c>
      <c r="F333" t="s">
        <v>69</v>
      </c>
      <c r="G333" t="s">
        <v>69</v>
      </c>
      <c r="H333" t="s">
        <v>92</v>
      </c>
      <c r="I333" t="s">
        <v>125</v>
      </c>
      <c r="J333" s="5">
        <v>10</v>
      </c>
      <c r="K333" s="6">
        <v>148</v>
      </c>
      <c r="L333" s="6">
        <v>90</v>
      </c>
      <c r="M333" s="7">
        <v>110</v>
      </c>
      <c r="N333" s="8">
        <v>196</v>
      </c>
      <c r="O333" s="8">
        <v>139</v>
      </c>
      <c r="P333" s="8">
        <v>41</v>
      </c>
      <c r="Q333" s="4" t="s">
        <v>127</v>
      </c>
      <c r="R333" s="9">
        <v>37.113546444452233</v>
      </c>
      <c r="S333" s="4" t="s">
        <v>175</v>
      </c>
    </row>
    <row r="334" spans="1:19" x14ac:dyDescent="0.35">
      <c r="A334">
        <v>336</v>
      </c>
      <c r="B334">
        <v>31</v>
      </c>
      <c r="C334" t="s">
        <v>89</v>
      </c>
      <c r="D334" t="s">
        <v>90</v>
      </c>
      <c r="E334" s="10">
        <v>700</v>
      </c>
      <c r="F334" t="s">
        <v>69</v>
      </c>
      <c r="G334" t="s">
        <v>69</v>
      </c>
      <c r="H334" t="s">
        <v>92</v>
      </c>
      <c r="I334" t="s">
        <v>125</v>
      </c>
      <c r="J334" s="5">
        <v>4</v>
      </c>
      <c r="K334" s="6">
        <v>118</v>
      </c>
      <c r="L334" s="6">
        <v>65</v>
      </c>
      <c r="M334" s="7">
        <v>76</v>
      </c>
      <c r="N334" s="8">
        <v>89</v>
      </c>
      <c r="O334" s="8">
        <v>51</v>
      </c>
      <c r="P334" s="8">
        <v>56</v>
      </c>
      <c r="Q334" s="4" t="s">
        <v>127</v>
      </c>
      <c r="R334" s="9">
        <v>18.730489073881373</v>
      </c>
      <c r="S334" s="4" t="s">
        <v>175</v>
      </c>
    </row>
    <row r="335" spans="1:19" x14ac:dyDescent="0.35">
      <c r="A335">
        <v>337</v>
      </c>
      <c r="B335">
        <v>34</v>
      </c>
      <c r="C335" t="s">
        <v>89</v>
      </c>
      <c r="D335" t="s">
        <v>90</v>
      </c>
      <c r="E335" s="10">
        <v>500</v>
      </c>
      <c r="F335" t="s">
        <v>69</v>
      </c>
      <c r="G335" t="s">
        <v>69</v>
      </c>
      <c r="H335" t="s">
        <v>92</v>
      </c>
      <c r="I335" t="s">
        <v>125</v>
      </c>
      <c r="J335" s="5">
        <v>2</v>
      </c>
      <c r="K335" s="6">
        <v>124</v>
      </c>
      <c r="L335" s="6">
        <v>82</v>
      </c>
      <c r="M335" s="7">
        <v>99</v>
      </c>
      <c r="N335" s="8">
        <v>89</v>
      </c>
      <c r="O335" s="8">
        <v>42</v>
      </c>
      <c r="P335" s="8">
        <v>38</v>
      </c>
      <c r="Q335" s="4" t="s">
        <v>126</v>
      </c>
      <c r="R335" s="9">
        <v>26.1286108288576</v>
      </c>
      <c r="S335" s="4" t="s">
        <v>174</v>
      </c>
    </row>
    <row r="336" spans="1:19" x14ac:dyDescent="0.35">
      <c r="A336">
        <v>338</v>
      </c>
      <c r="B336">
        <v>65</v>
      </c>
      <c r="C336" t="s">
        <v>89</v>
      </c>
      <c r="D336" t="s">
        <v>66</v>
      </c>
      <c r="E336" s="10">
        <v>700</v>
      </c>
      <c r="F336" t="s">
        <v>69</v>
      </c>
      <c r="G336" t="s">
        <v>69</v>
      </c>
      <c r="H336" t="s">
        <v>73</v>
      </c>
      <c r="I336" t="s">
        <v>125</v>
      </c>
      <c r="J336" s="5">
        <v>7</v>
      </c>
      <c r="K336" s="6">
        <v>180</v>
      </c>
      <c r="L336" s="6">
        <v>120</v>
      </c>
      <c r="M336" s="7">
        <v>114</v>
      </c>
      <c r="N336" s="8">
        <v>78</v>
      </c>
      <c r="O336" s="8">
        <v>107</v>
      </c>
      <c r="P336" s="8">
        <v>22</v>
      </c>
      <c r="Q336" s="4" t="s">
        <v>127</v>
      </c>
      <c r="R336" s="9">
        <v>35.492157923201731</v>
      </c>
      <c r="S336" s="4" t="s">
        <v>175</v>
      </c>
    </row>
    <row r="337" spans="1:19" x14ac:dyDescent="0.35">
      <c r="A337">
        <v>339</v>
      </c>
      <c r="B337">
        <v>29</v>
      </c>
      <c r="C337" t="s">
        <v>89</v>
      </c>
      <c r="D337" t="s">
        <v>115</v>
      </c>
      <c r="E337" s="10">
        <v>750</v>
      </c>
      <c r="F337" t="s">
        <v>69</v>
      </c>
      <c r="G337" t="s">
        <v>69</v>
      </c>
      <c r="H337" t="s">
        <v>92</v>
      </c>
      <c r="I337" t="s">
        <v>125</v>
      </c>
      <c r="J337" s="5">
        <v>4</v>
      </c>
      <c r="K337" s="6">
        <v>127</v>
      </c>
      <c r="L337" s="6">
        <v>76</v>
      </c>
      <c r="M337" s="7">
        <v>76</v>
      </c>
      <c r="N337" s="8">
        <v>94</v>
      </c>
      <c r="O337" s="8">
        <v>104</v>
      </c>
      <c r="P337" s="8">
        <v>42</v>
      </c>
      <c r="Q337" s="4" t="s">
        <v>126</v>
      </c>
      <c r="R337" s="9">
        <v>24.524346347059055</v>
      </c>
      <c r="S337" s="4" t="s">
        <v>174</v>
      </c>
    </row>
    <row r="338" spans="1:19" x14ac:dyDescent="0.35">
      <c r="A338">
        <v>340</v>
      </c>
      <c r="B338">
        <v>51</v>
      </c>
      <c r="C338" t="s">
        <v>89</v>
      </c>
      <c r="D338" t="s">
        <v>115</v>
      </c>
      <c r="E338" s="10">
        <v>100</v>
      </c>
      <c r="F338" t="s">
        <v>69</v>
      </c>
      <c r="G338" t="s">
        <v>69</v>
      </c>
      <c r="H338" t="s">
        <v>73</v>
      </c>
      <c r="I338" t="s">
        <v>125</v>
      </c>
      <c r="J338" s="5">
        <v>4</v>
      </c>
      <c r="K338" s="6">
        <v>155</v>
      </c>
      <c r="L338" s="6">
        <v>99</v>
      </c>
      <c r="M338" s="7">
        <v>98</v>
      </c>
      <c r="N338" s="8">
        <v>97</v>
      </c>
      <c r="O338" s="8">
        <v>181</v>
      </c>
      <c r="P338" s="8">
        <v>66</v>
      </c>
      <c r="Q338" s="4" t="s">
        <v>127</v>
      </c>
      <c r="R338" s="9">
        <v>28.604764951635367</v>
      </c>
      <c r="S338" s="4" t="s">
        <v>175</v>
      </c>
    </row>
    <row r="339" spans="1:19" x14ac:dyDescent="0.35">
      <c r="A339">
        <v>342</v>
      </c>
      <c r="B339">
        <v>30</v>
      </c>
      <c r="C339" t="s">
        <v>89</v>
      </c>
      <c r="D339" t="s">
        <v>66</v>
      </c>
      <c r="E339" s="10">
        <v>600</v>
      </c>
      <c r="F339" t="s">
        <v>69</v>
      </c>
      <c r="G339" t="s">
        <v>69</v>
      </c>
      <c r="H339" t="s">
        <v>92</v>
      </c>
      <c r="I339" t="s">
        <v>125</v>
      </c>
      <c r="J339" s="5">
        <v>4</v>
      </c>
      <c r="K339" s="6">
        <v>130</v>
      </c>
      <c r="L339" s="6">
        <v>83</v>
      </c>
      <c r="M339" s="7">
        <v>100</v>
      </c>
      <c r="N339" s="8">
        <v>116</v>
      </c>
      <c r="O339" s="8">
        <v>78</v>
      </c>
      <c r="P339" s="8">
        <v>54</v>
      </c>
      <c r="Q339" s="4" t="s">
        <v>127</v>
      </c>
      <c r="R339" s="9">
        <v>30.693877551020407</v>
      </c>
      <c r="S339" s="4" t="s">
        <v>175</v>
      </c>
    </row>
    <row r="340" spans="1:19" x14ac:dyDescent="0.35">
      <c r="A340">
        <v>343</v>
      </c>
      <c r="B340">
        <v>31</v>
      </c>
      <c r="C340" t="s">
        <v>89</v>
      </c>
      <c r="D340" t="s">
        <v>90</v>
      </c>
      <c r="E340" s="10">
        <v>250</v>
      </c>
      <c r="F340" t="s">
        <v>69</v>
      </c>
      <c r="G340" t="s">
        <v>69</v>
      </c>
      <c r="H340" t="s">
        <v>73</v>
      </c>
      <c r="I340" t="s">
        <v>125</v>
      </c>
      <c r="J340" s="5">
        <v>1</v>
      </c>
      <c r="K340" s="6">
        <v>121</v>
      </c>
      <c r="L340" s="6">
        <v>73</v>
      </c>
      <c r="M340" s="7">
        <v>93</v>
      </c>
      <c r="N340" s="8">
        <v>94</v>
      </c>
      <c r="O340" s="8">
        <v>54</v>
      </c>
      <c r="P340" s="8">
        <v>63</v>
      </c>
      <c r="Q340" s="4" t="s">
        <v>127</v>
      </c>
      <c r="R340" s="9">
        <v>25.076193048107708</v>
      </c>
      <c r="S340" s="4" t="s">
        <v>175</v>
      </c>
    </row>
    <row r="341" spans="1:19" x14ac:dyDescent="0.35">
      <c r="A341">
        <v>344</v>
      </c>
      <c r="B341">
        <v>53</v>
      </c>
      <c r="C341" t="s">
        <v>64</v>
      </c>
      <c r="D341" t="s">
        <v>101</v>
      </c>
      <c r="E341" s="10">
        <v>300</v>
      </c>
      <c r="F341" t="s">
        <v>69</v>
      </c>
      <c r="G341" t="s">
        <v>69</v>
      </c>
      <c r="H341" t="s">
        <v>103</v>
      </c>
      <c r="I341" t="s">
        <v>125</v>
      </c>
      <c r="J341" s="5">
        <v>4</v>
      </c>
      <c r="K341" s="6">
        <v>110</v>
      </c>
      <c r="L341" s="6">
        <v>72</v>
      </c>
      <c r="M341" s="7">
        <v>90</v>
      </c>
      <c r="N341" s="8">
        <v>87</v>
      </c>
      <c r="O341" s="8">
        <v>140</v>
      </c>
      <c r="P341" s="8">
        <v>80</v>
      </c>
      <c r="Q341" s="4" t="s">
        <v>127</v>
      </c>
      <c r="R341" s="9">
        <v>25.661152034778407</v>
      </c>
      <c r="S341" s="4" t="s">
        <v>175</v>
      </c>
    </row>
    <row r="342" spans="1:19" x14ac:dyDescent="0.35">
      <c r="A342">
        <v>345</v>
      </c>
      <c r="B342">
        <v>49</v>
      </c>
      <c r="C342" t="s">
        <v>64</v>
      </c>
      <c r="D342" t="s">
        <v>101</v>
      </c>
      <c r="E342" s="10">
        <v>1200</v>
      </c>
      <c r="F342" t="s">
        <v>70</v>
      </c>
      <c r="G342" t="s">
        <v>69</v>
      </c>
      <c r="H342" t="s">
        <v>92</v>
      </c>
      <c r="I342" t="s">
        <v>125</v>
      </c>
      <c r="J342" s="5">
        <v>4</v>
      </c>
      <c r="K342" s="6">
        <v>110</v>
      </c>
      <c r="L342" s="6">
        <v>75</v>
      </c>
      <c r="M342" s="7">
        <v>90</v>
      </c>
      <c r="N342" s="8">
        <v>88</v>
      </c>
      <c r="O342" s="8">
        <v>120</v>
      </c>
      <c r="P342" s="8">
        <v>62</v>
      </c>
      <c r="Q342" s="4" t="s">
        <v>127</v>
      </c>
      <c r="R342" s="9">
        <v>27.08415906989034</v>
      </c>
      <c r="S342" s="4" t="s">
        <v>175</v>
      </c>
    </row>
    <row r="343" spans="1:19" x14ac:dyDescent="0.35">
      <c r="A343">
        <v>346</v>
      </c>
      <c r="B343">
        <v>41</v>
      </c>
      <c r="C343" t="s">
        <v>64</v>
      </c>
      <c r="D343" t="s">
        <v>101</v>
      </c>
      <c r="E343" s="10">
        <v>880</v>
      </c>
      <c r="F343" t="s">
        <v>69</v>
      </c>
      <c r="G343" t="s">
        <v>69</v>
      </c>
      <c r="H343" t="s">
        <v>92</v>
      </c>
      <c r="I343" t="s">
        <v>125</v>
      </c>
      <c r="J343" s="5">
        <v>3</v>
      </c>
      <c r="K343" s="6">
        <v>100</v>
      </c>
      <c r="L343" s="6">
        <v>70</v>
      </c>
      <c r="M343" s="7">
        <v>78</v>
      </c>
      <c r="N343" s="8">
        <v>82</v>
      </c>
      <c r="O343" s="8">
        <v>128</v>
      </c>
      <c r="P343" s="8">
        <v>70</v>
      </c>
      <c r="Q343" s="4" t="s">
        <v>127</v>
      </c>
      <c r="R343" s="9">
        <v>22.985397512168742</v>
      </c>
      <c r="S343" s="4" t="s">
        <v>175</v>
      </c>
    </row>
    <row r="344" spans="1:19" x14ac:dyDescent="0.35">
      <c r="A344">
        <v>347</v>
      </c>
      <c r="B344">
        <v>39</v>
      </c>
      <c r="C344" t="s">
        <v>64</v>
      </c>
      <c r="D344" t="s">
        <v>101</v>
      </c>
      <c r="E344" s="10">
        <v>600</v>
      </c>
      <c r="F344" t="s">
        <v>69</v>
      </c>
      <c r="G344" t="s">
        <v>70</v>
      </c>
      <c r="H344" t="s">
        <v>92</v>
      </c>
      <c r="I344" t="s">
        <v>74</v>
      </c>
      <c r="J344" s="5">
        <v>4</v>
      </c>
      <c r="K344" s="6">
        <v>118</v>
      </c>
      <c r="L344" s="6">
        <v>78</v>
      </c>
      <c r="M344" s="7">
        <v>90</v>
      </c>
      <c r="N344" s="8">
        <v>96</v>
      </c>
      <c r="O344" s="8">
        <v>122</v>
      </c>
      <c r="P344" s="8">
        <v>62</v>
      </c>
      <c r="Q344" s="4" t="s">
        <v>127</v>
      </c>
      <c r="R344" s="9">
        <v>27.117768595041323</v>
      </c>
      <c r="S344" s="4" t="s">
        <v>175</v>
      </c>
    </row>
    <row r="345" spans="1:19" x14ac:dyDescent="0.35">
      <c r="A345">
        <v>348</v>
      </c>
      <c r="B345">
        <v>59</v>
      </c>
      <c r="C345" t="s">
        <v>89</v>
      </c>
      <c r="D345" t="s">
        <v>115</v>
      </c>
      <c r="E345" s="10">
        <v>200</v>
      </c>
      <c r="F345" t="s">
        <v>70</v>
      </c>
      <c r="G345" t="s">
        <v>69</v>
      </c>
      <c r="H345" t="s">
        <v>103</v>
      </c>
      <c r="I345" t="s">
        <v>125</v>
      </c>
      <c r="J345" s="5">
        <v>6</v>
      </c>
      <c r="K345" s="6">
        <v>140</v>
      </c>
      <c r="L345" s="6">
        <v>93</v>
      </c>
      <c r="M345" s="7">
        <v>98</v>
      </c>
      <c r="N345" s="8">
        <v>134</v>
      </c>
      <c r="O345" s="8">
        <v>160</v>
      </c>
      <c r="P345" s="8">
        <v>40</v>
      </c>
      <c r="Q345" s="4" t="s">
        <v>127</v>
      </c>
      <c r="R345" s="9">
        <v>30.08382909680909</v>
      </c>
      <c r="S345" s="4" t="s">
        <v>175</v>
      </c>
    </row>
    <row r="346" spans="1:19" x14ac:dyDescent="0.35">
      <c r="A346">
        <v>349</v>
      </c>
      <c r="B346">
        <v>21</v>
      </c>
      <c r="C346" t="s">
        <v>64</v>
      </c>
      <c r="D346" t="s">
        <v>90</v>
      </c>
      <c r="E346" s="10">
        <v>300</v>
      </c>
      <c r="F346" t="s">
        <v>69</v>
      </c>
      <c r="G346" t="s">
        <v>69</v>
      </c>
      <c r="H346" t="s">
        <v>73</v>
      </c>
      <c r="I346" t="s">
        <v>125</v>
      </c>
      <c r="J346" s="5">
        <v>3</v>
      </c>
      <c r="K346" s="6">
        <v>116</v>
      </c>
      <c r="L346" s="6">
        <v>69</v>
      </c>
      <c r="M346" s="7">
        <v>82</v>
      </c>
      <c r="N346" s="8">
        <v>94</v>
      </c>
      <c r="O346" s="8">
        <v>88</v>
      </c>
      <c r="P346" s="8">
        <v>54</v>
      </c>
      <c r="Q346" s="4" t="s">
        <v>127</v>
      </c>
      <c r="R346" s="9">
        <v>15.548945375878855</v>
      </c>
      <c r="S346" s="4" t="s">
        <v>175</v>
      </c>
    </row>
    <row r="347" spans="1:19" x14ac:dyDescent="0.35">
      <c r="A347">
        <v>350</v>
      </c>
      <c r="B347">
        <v>24</v>
      </c>
      <c r="C347" t="s">
        <v>89</v>
      </c>
      <c r="D347" t="s">
        <v>90</v>
      </c>
      <c r="E347" s="10">
        <v>200</v>
      </c>
      <c r="F347" t="s">
        <v>69</v>
      </c>
      <c r="G347" t="s">
        <v>69</v>
      </c>
      <c r="H347" t="s">
        <v>73</v>
      </c>
      <c r="I347" t="s">
        <v>125</v>
      </c>
      <c r="J347" s="5">
        <v>3</v>
      </c>
      <c r="K347" s="6">
        <v>120</v>
      </c>
      <c r="L347" s="6">
        <v>76</v>
      </c>
      <c r="M347" s="7">
        <v>78</v>
      </c>
      <c r="N347" s="8">
        <v>99</v>
      </c>
      <c r="O347" s="8">
        <v>119</v>
      </c>
      <c r="P347" s="8">
        <v>51</v>
      </c>
      <c r="Q347" s="4" t="s">
        <v>127</v>
      </c>
      <c r="R347" s="9">
        <v>23.683171790710933</v>
      </c>
      <c r="S347" s="4" t="s">
        <v>175</v>
      </c>
    </row>
    <row r="348" spans="1:19" x14ac:dyDescent="0.35">
      <c r="A348">
        <v>351</v>
      </c>
      <c r="B348">
        <v>33</v>
      </c>
      <c r="C348" t="s">
        <v>89</v>
      </c>
      <c r="D348" t="s">
        <v>101</v>
      </c>
      <c r="E348" s="10">
        <v>600</v>
      </c>
      <c r="F348" t="s">
        <v>69</v>
      </c>
      <c r="G348" t="s">
        <v>69</v>
      </c>
      <c r="H348" t="s">
        <v>92</v>
      </c>
      <c r="I348" t="s">
        <v>125</v>
      </c>
      <c r="J348" s="5">
        <v>1</v>
      </c>
      <c r="K348" s="6">
        <v>142</v>
      </c>
      <c r="L348" s="6">
        <v>81</v>
      </c>
      <c r="M348" s="7">
        <v>120</v>
      </c>
      <c r="N348" s="8">
        <v>83</v>
      </c>
      <c r="O348" s="8">
        <v>102</v>
      </c>
      <c r="P348" s="8">
        <v>53</v>
      </c>
      <c r="Q348" s="4" t="s">
        <v>127</v>
      </c>
      <c r="R348" s="9">
        <v>39.669421487603309</v>
      </c>
      <c r="S348" s="4" t="s">
        <v>175</v>
      </c>
    </row>
    <row r="349" spans="1:19" x14ac:dyDescent="0.35">
      <c r="A349">
        <v>352</v>
      </c>
      <c r="B349">
        <v>23</v>
      </c>
      <c r="C349" t="s">
        <v>89</v>
      </c>
      <c r="D349" t="s">
        <v>90</v>
      </c>
      <c r="E349" s="10">
        <v>300</v>
      </c>
      <c r="F349" t="s">
        <v>69</v>
      </c>
      <c r="G349" t="s">
        <v>69</v>
      </c>
      <c r="H349" t="s">
        <v>106</v>
      </c>
      <c r="I349" t="s">
        <v>125</v>
      </c>
      <c r="J349" s="5">
        <v>4</v>
      </c>
      <c r="K349" s="6">
        <v>131</v>
      </c>
      <c r="L349" s="6">
        <v>85</v>
      </c>
      <c r="M349" s="7">
        <v>76</v>
      </c>
      <c r="N349" s="8">
        <v>87</v>
      </c>
      <c r="O349" s="8">
        <v>190</v>
      </c>
      <c r="P349" s="8">
        <v>53</v>
      </c>
      <c r="Q349" s="4" t="s">
        <v>126</v>
      </c>
      <c r="R349" s="9">
        <v>32.323232323232325</v>
      </c>
      <c r="S349" s="4" t="s">
        <v>174</v>
      </c>
    </row>
    <row r="350" spans="1:19" x14ac:dyDescent="0.35">
      <c r="A350">
        <v>353</v>
      </c>
      <c r="B350">
        <v>23</v>
      </c>
      <c r="C350" t="s">
        <v>89</v>
      </c>
      <c r="D350" t="s">
        <v>66</v>
      </c>
      <c r="E350" s="10">
        <v>800</v>
      </c>
      <c r="F350" t="s">
        <v>69</v>
      </c>
      <c r="G350" t="s">
        <v>69</v>
      </c>
      <c r="H350" t="s">
        <v>92</v>
      </c>
      <c r="I350" t="s">
        <v>125</v>
      </c>
      <c r="J350" s="5">
        <v>7</v>
      </c>
      <c r="K350" s="6">
        <v>120</v>
      </c>
      <c r="L350" s="6">
        <v>85</v>
      </c>
      <c r="M350" s="7">
        <v>99</v>
      </c>
      <c r="N350" s="8">
        <v>109</v>
      </c>
      <c r="O350" s="8">
        <v>134</v>
      </c>
      <c r="P350" s="8">
        <v>52</v>
      </c>
      <c r="Q350" s="4" t="s">
        <v>127</v>
      </c>
      <c r="R350" s="9">
        <v>33.464034613304491</v>
      </c>
      <c r="S350" s="4" t="s">
        <v>175</v>
      </c>
    </row>
    <row r="351" spans="1:19" x14ac:dyDescent="0.35">
      <c r="A351">
        <v>354</v>
      </c>
      <c r="B351">
        <v>37</v>
      </c>
      <c r="C351" t="s">
        <v>89</v>
      </c>
      <c r="D351" t="s">
        <v>90</v>
      </c>
      <c r="E351" s="10">
        <v>800</v>
      </c>
      <c r="F351" t="s">
        <v>69</v>
      </c>
      <c r="G351" t="s">
        <v>69</v>
      </c>
      <c r="H351" t="s">
        <v>103</v>
      </c>
      <c r="I351" t="s">
        <v>125</v>
      </c>
      <c r="J351" s="5">
        <v>2</v>
      </c>
      <c r="K351" s="6">
        <v>110</v>
      </c>
      <c r="L351" s="6">
        <v>75</v>
      </c>
      <c r="M351" s="7">
        <v>102</v>
      </c>
      <c r="N351" s="8">
        <v>105</v>
      </c>
      <c r="O351" s="8">
        <v>143</v>
      </c>
      <c r="P351" s="8">
        <v>34</v>
      </c>
      <c r="Q351" s="4" t="s">
        <v>127</v>
      </c>
      <c r="R351" s="9">
        <v>38.974765490817809</v>
      </c>
      <c r="S351" s="4" t="s">
        <v>175</v>
      </c>
    </row>
    <row r="352" spans="1:19" x14ac:dyDescent="0.35">
      <c r="A352">
        <v>355</v>
      </c>
      <c r="B352">
        <v>48</v>
      </c>
      <c r="C352" t="s">
        <v>64</v>
      </c>
      <c r="D352" t="s">
        <v>66</v>
      </c>
      <c r="E352" s="10">
        <v>300</v>
      </c>
      <c r="F352" t="s">
        <v>70</v>
      </c>
      <c r="G352" t="s">
        <v>69</v>
      </c>
      <c r="H352" t="s">
        <v>73</v>
      </c>
      <c r="I352" t="s">
        <v>125</v>
      </c>
      <c r="J352" s="5">
        <v>4</v>
      </c>
      <c r="K352" s="6">
        <v>100</v>
      </c>
      <c r="L352" s="6">
        <v>66</v>
      </c>
      <c r="M352" s="7">
        <v>83</v>
      </c>
      <c r="N352" s="8">
        <v>97</v>
      </c>
      <c r="O352" s="8">
        <v>85</v>
      </c>
      <c r="P352" s="8">
        <v>51</v>
      </c>
      <c r="Q352" s="4" t="s">
        <v>127</v>
      </c>
      <c r="R352" s="9">
        <v>24.489795918367346</v>
      </c>
      <c r="S352" s="4" t="s">
        <v>175</v>
      </c>
    </row>
    <row r="353" spans="1:19" x14ac:dyDescent="0.35">
      <c r="A353">
        <v>356</v>
      </c>
      <c r="B353">
        <v>33</v>
      </c>
      <c r="C353" t="s">
        <v>64</v>
      </c>
      <c r="D353" t="s">
        <v>101</v>
      </c>
      <c r="E353" s="10">
        <v>1000</v>
      </c>
      <c r="F353" t="s">
        <v>69</v>
      </c>
      <c r="G353" t="s">
        <v>70</v>
      </c>
      <c r="H353" t="s">
        <v>92</v>
      </c>
      <c r="I353" t="s">
        <v>125</v>
      </c>
      <c r="J353" s="5">
        <v>8</v>
      </c>
      <c r="K353" s="6">
        <v>122</v>
      </c>
      <c r="L353" s="6">
        <v>78</v>
      </c>
      <c r="M353" s="7">
        <v>93</v>
      </c>
      <c r="N353" s="8">
        <v>109</v>
      </c>
      <c r="O353" s="8">
        <v>84</v>
      </c>
      <c r="P353" s="8">
        <v>66</v>
      </c>
      <c r="Q353" s="4" t="s">
        <v>127</v>
      </c>
      <c r="R353" s="9">
        <v>27.763429752066116</v>
      </c>
      <c r="S353" s="4" t="s">
        <v>175</v>
      </c>
    </row>
    <row r="354" spans="1:19" x14ac:dyDescent="0.35">
      <c r="A354">
        <v>357</v>
      </c>
      <c r="B354">
        <v>38</v>
      </c>
      <c r="C354" t="s">
        <v>89</v>
      </c>
      <c r="D354" t="s">
        <v>90</v>
      </c>
      <c r="E354" s="10">
        <v>450</v>
      </c>
      <c r="F354" t="s">
        <v>69</v>
      </c>
      <c r="G354" t="s">
        <v>69</v>
      </c>
      <c r="H354" t="s">
        <v>92</v>
      </c>
      <c r="I354" t="s">
        <v>125</v>
      </c>
      <c r="J354" s="5">
        <v>1</v>
      </c>
      <c r="K354" s="6">
        <v>146</v>
      </c>
      <c r="L354" s="6">
        <v>75</v>
      </c>
      <c r="M354" s="7">
        <v>100</v>
      </c>
      <c r="N354" s="8">
        <v>95</v>
      </c>
      <c r="O354" s="8">
        <v>56</v>
      </c>
      <c r="P354" s="8">
        <v>38</v>
      </c>
      <c r="Q354" s="4" t="s">
        <v>127</v>
      </c>
      <c r="R354" s="9">
        <v>30.449826989619382</v>
      </c>
      <c r="S354" s="4" t="s">
        <v>175</v>
      </c>
    </row>
    <row r="355" spans="1:19" x14ac:dyDescent="0.35">
      <c r="A355">
        <v>358</v>
      </c>
      <c r="B355">
        <v>51</v>
      </c>
      <c r="C355" t="s">
        <v>89</v>
      </c>
      <c r="D355" t="s">
        <v>90</v>
      </c>
      <c r="E355" s="10">
        <v>800</v>
      </c>
      <c r="F355" t="s">
        <v>69</v>
      </c>
      <c r="G355" t="s">
        <v>69</v>
      </c>
      <c r="H355" t="s">
        <v>73</v>
      </c>
      <c r="I355" t="s">
        <v>125</v>
      </c>
      <c r="J355" s="5">
        <v>1</v>
      </c>
      <c r="K355" s="6">
        <v>159</v>
      </c>
      <c r="L355" s="6">
        <v>89</v>
      </c>
      <c r="M355" s="7">
        <v>76</v>
      </c>
      <c r="N355" s="8">
        <v>96</v>
      </c>
      <c r="O355" s="8">
        <v>93</v>
      </c>
      <c r="P355" s="8">
        <v>51</v>
      </c>
      <c r="Q355" s="4" t="s">
        <v>127</v>
      </c>
      <c r="R355" s="9">
        <v>16.135393882892899</v>
      </c>
      <c r="S355" s="4" t="s">
        <v>175</v>
      </c>
    </row>
    <row r="356" spans="1:19" x14ac:dyDescent="0.35">
      <c r="A356">
        <v>359</v>
      </c>
      <c r="B356">
        <v>31</v>
      </c>
      <c r="C356" t="s">
        <v>64</v>
      </c>
      <c r="D356" t="s">
        <v>101</v>
      </c>
      <c r="E356" s="10">
        <v>350</v>
      </c>
      <c r="F356" t="s">
        <v>70</v>
      </c>
      <c r="G356" t="s">
        <v>69</v>
      </c>
      <c r="H356" t="s">
        <v>92</v>
      </c>
      <c r="I356" t="s">
        <v>125</v>
      </c>
      <c r="J356" s="5">
        <v>7</v>
      </c>
      <c r="K356" s="6">
        <v>140</v>
      </c>
      <c r="L356" s="6">
        <v>94</v>
      </c>
      <c r="M356" s="7">
        <v>92</v>
      </c>
      <c r="N356" s="8">
        <v>66</v>
      </c>
      <c r="O356" s="8">
        <v>210</v>
      </c>
      <c r="P356" s="8">
        <v>41</v>
      </c>
      <c r="Q356" s="4" t="s">
        <v>126</v>
      </c>
      <c r="R356" s="9">
        <v>25.978679566424791</v>
      </c>
      <c r="S356" s="4" t="s">
        <v>174</v>
      </c>
    </row>
    <row r="357" spans="1:19" x14ac:dyDescent="0.35">
      <c r="A357">
        <v>360</v>
      </c>
      <c r="B357">
        <v>26</v>
      </c>
      <c r="C357" t="s">
        <v>89</v>
      </c>
      <c r="D357" t="s">
        <v>66</v>
      </c>
      <c r="E357" s="10">
        <v>200</v>
      </c>
      <c r="F357" t="s">
        <v>69</v>
      </c>
      <c r="G357" t="s">
        <v>69</v>
      </c>
      <c r="H357" t="s">
        <v>103</v>
      </c>
      <c r="I357" t="s">
        <v>125</v>
      </c>
      <c r="J357" s="5">
        <v>5</v>
      </c>
      <c r="K357" s="6">
        <v>118</v>
      </c>
      <c r="L357" s="6">
        <v>60</v>
      </c>
      <c r="M357" s="7">
        <v>76</v>
      </c>
      <c r="N357" s="8">
        <v>96</v>
      </c>
      <c r="O357" s="8">
        <v>70</v>
      </c>
      <c r="P357" s="8">
        <v>52</v>
      </c>
      <c r="Q357" s="4" t="s">
        <v>126</v>
      </c>
      <c r="R357" s="9">
        <v>20.312499999999996</v>
      </c>
      <c r="S357" s="4" t="s">
        <v>174</v>
      </c>
    </row>
    <row r="358" spans="1:19" x14ac:dyDescent="0.35">
      <c r="A358">
        <v>361</v>
      </c>
      <c r="B358">
        <v>35</v>
      </c>
      <c r="C358" t="s">
        <v>64</v>
      </c>
      <c r="D358" t="s">
        <v>66</v>
      </c>
      <c r="E358" s="10">
        <v>500</v>
      </c>
      <c r="F358" t="s">
        <v>70</v>
      </c>
      <c r="G358" t="s">
        <v>70</v>
      </c>
      <c r="H358" t="s">
        <v>73</v>
      </c>
      <c r="I358" t="s">
        <v>125</v>
      </c>
      <c r="J358" s="5">
        <v>3</v>
      </c>
      <c r="K358" s="6">
        <v>103</v>
      </c>
      <c r="L358" s="6">
        <v>75</v>
      </c>
      <c r="M358" s="7">
        <v>102</v>
      </c>
      <c r="N358" s="8">
        <v>78</v>
      </c>
      <c r="O358" s="8">
        <v>85</v>
      </c>
      <c r="P358" s="8">
        <v>27</v>
      </c>
      <c r="Q358" s="4" t="s">
        <v>126</v>
      </c>
      <c r="R358" s="9">
        <v>30.836530531750871</v>
      </c>
      <c r="S358" s="4" t="s">
        <v>174</v>
      </c>
    </row>
    <row r="359" spans="1:19" x14ac:dyDescent="0.35">
      <c r="A359">
        <v>362</v>
      </c>
      <c r="B359">
        <v>41</v>
      </c>
      <c r="C359" t="s">
        <v>89</v>
      </c>
      <c r="D359" t="s">
        <v>90</v>
      </c>
      <c r="E359" s="10">
        <v>300</v>
      </c>
      <c r="F359" t="s">
        <v>69</v>
      </c>
      <c r="G359" t="s">
        <v>69</v>
      </c>
      <c r="H359" t="s">
        <v>92</v>
      </c>
      <c r="I359" t="s">
        <v>125</v>
      </c>
      <c r="J359" s="5">
        <v>8</v>
      </c>
      <c r="K359" s="6">
        <v>142</v>
      </c>
      <c r="L359" s="6">
        <v>87</v>
      </c>
      <c r="M359" s="7">
        <v>103</v>
      </c>
      <c r="N359" s="8">
        <v>131</v>
      </c>
      <c r="O359" s="8">
        <v>201</v>
      </c>
      <c r="P359" s="8">
        <v>22</v>
      </c>
      <c r="Q359" s="4" t="s">
        <v>127</v>
      </c>
      <c r="R359" s="9">
        <v>25.909456951787405</v>
      </c>
      <c r="S359" s="4" t="s">
        <v>175</v>
      </c>
    </row>
    <row r="360" spans="1:19" x14ac:dyDescent="0.35">
      <c r="A360">
        <v>363</v>
      </c>
      <c r="B360">
        <v>41</v>
      </c>
      <c r="C360" t="s">
        <v>89</v>
      </c>
      <c r="D360" t="s">
        <v>115</v>
      </c>
      <c r="E360" s="10">
        <v>700</v>
      </c>
      <c r="F360" t="s">
        <v>69</v>
      </c>
      <c r="G360" t="s">
        <v>69</v>
      </c>
      <c r="H360" t="s">
        <v>92</v>
      </c>
      <c r="I360" t="s">
        <v>125</v>
      </c>
      <c r="J360" s="5">
        <v>4</v>
      </c>
      <c r="K360" s="6">
        <v>144</v>
      </c>
      <c r="L360" s="6">
        <v>74</v>
      </c>
      <c r="M360" s="7">
        <v>66</v>
      </c>
      <c r="N360" s="8">
        <v>111</v>
      </c>
      <c r="O360" s="8">
        <v>35</v>
      </c>
      <c r="P360" s="8">
        <v>73</v>
      </c>
      <c r="Q360" s="4" t="s">
        <v>127</v>
      </c>
      <c r="R360" s="9">
        <v>16.649323621227886</v>
      </c>
      <c r="S360" s="4" t="s">
        <v>175</v>
      </c>
    </row>
    <row r="361" spans="1:19" x14ac:dyDescent="0.35">
      <c r="A361">
        <v>364</v>
      </c>
      <c r="B361">
        <v>31</v>
      </c>
      <c r="C361" t="s">
        <v>64</v>
      </c>
      <c r="D361" t="s">
        <v>101</v>
      </c>
      <c r="E361" s="10">
        <v>500</v>
      </c>
      <c r="F361" t="s">
        <v>69</v>
      </c>
      <c r="G361" t="s">
        <v>69</v>
      </c>
      <c r="H361" t="s">
        <v>92</v>
      </c>
      <c r="I361" t="s">
        <v>74</v>
      </c>
      <c r="J361" s="5">
        <v>2</v>
      </c>
      <c r="K361" s="6">
        <v>116</v>
      </c>
      <c r="L361" s="6">
        <v>70</v>
      </c>
      <c r="M361" s="7">
        <v>66</v>
      </c>
      <c r="N361" s="8">
        <v>95</v>
      </c>
      <c r="O361" s="8">
        <v>62</v>
      </c>
      <c r="P361" s="8">
        <v>53</v>
      </c>
      <c r="Q361" s="4" t="s">
        <v>127</v>
      </c>
      <c r="R361" s="9">
        <v>15.548945375878855</v>
      </c>
      <c r="S361" s="4" t="s">
        <v>175</v>
      </c>
    </row>
    <row r="362" spans="1:19" x14ac:dyDescent="0.35">
      <c r="A362">
        <v>365</v>
      </c>
      <c r="B362">
        <v>25</v>
      </c>
      <c r="C362" t="s">
        <v>89</v>
      </c>
      <c r="D362" t="s">
        <v>66</v>
      </c>
      <c r="E362" s="10">
        <v>900</v>
      </c>
      <c r="F362" t="s">
        <v>69</v>
      </c>
      <c r="G362" t="s">
        <v>69</v>
      </c>
      <c r="H362" t="s">
        <v>73</v>
      </c>
      <c r="I362" t="s">
        <v>125</v>
      </c>
      <c r="J362" s="5">
        <v>4</v>
      </c>
      <c r="K362" s="6">
        <v>117</v>
      </c>
      <c r="L362" s="6">
        <v>89</v>
      </c>
      <c r="M362" s="7">
        <v>97</v>
      </c>
      <c r="N362" s="8">
        <v>84</v>
      </c>
      <c r="O362" s="8">
        <v>48</v>
      </c>
      <c r="P362" s="8">
        <v>72</v>
      </c>
      <c r="Q362" s="4" t="s">
        <v>127</v>
      </c>
      <c r="R362" s="9">
        <v>22.758306781975424</v>
      </c>
      <c r="S362" s="4" t="s">
        <v>175</v>
      </c>
    </row>
    <row r="363" spans="1:19" x14ac:dyDescent="0.35">
      <c r="A363">
        <v>366</v>
      </c>
      <c r="B363">
        <v>50</v>
      </c>
      <c r="C363" t="s">
        <v>89</v>
      </c>
      <c r="D363" t="s">
        <v>101</v>
      </c>
      <c r="E363" s="10">
        <v>400</v>
      </c>
      <c r="F363" t="s">
        <v>69</v>
      </c>
      <c r="G363" t="s">
        <v>69</v>
      </c>
      <c r="H363" t="s">
        <v>92</v>
      </c>
      <c r="I363" t="s">
        <v>125</v>
      </c>
      <c r="J363" s="5">
        <v>3</v>
      </c>
      <c r="K363" s="6">
        <v>103</v>
      </c>
      <c r="L363" s="6">
        <v>55</v>
      </c>
      <c r="M363" s="7">
        <v>96</v>
      </c>
      <c r="N363" s="8">
        <v>115</v>
      </c>
      <c r="O363" s="8">
        <v>52</v>
      </c>
      <c r="P363" s="8">
        <v>50</v>
      </c>
      <c r="Q363" s="4" t="s">
        <v>126</v>
      </c>
      <c r="R363" s="9">
        <v>29.64951156330951</v>
      </c>
      <c r="S363" s="4" t="s">
        <v>174</v>
      </c>
    </row>
    <row r="364" spans="1:19" x14ac:dyDescent="0.35">
      <c r="A364">
        <v>367</v>
      </c>
      <c r="B364">
        <v>61</v>
      </c>
      <c r="C364" t="s">
        <v>89</v>
      </c>
      <c r="D364" t="s">
        <v>66</v>
      </c>
      <c r="E364" s="10">
        <v>400</v>
      </c>
      <c r="F364" t="s">
        <v>69</v>
      </c>
      <c r="G364" t="s">
        <v>69</v>
      </c>
      <c r="H364" t="s">
        <v>73</v>
      </c>
      <c r="I364" t="s">
        <v>125</v>
      </c>
      <c r="J364" s="5">
        <v>4</v>
      </c>
      <c r="K364" s="6">
        <v>120</v>
      </c>
      <c r="L364" s="6">
        <v>85</v>
      </c>
      <c r="M364" s="7">
        <v>111</v>
      </c>
      <c r="N364" s="8">
        <v>246</v>
      </c>
      <c r="O364" s="8">
        <v>70</v>
      </c>
      <c r="P364" s="8">
        <v>40</v>
      </c>
      <c r="Q364" s="4" t="s">
        <v>127</v>
      </c>
      <c r="R364" s="9">
        <v>26.078971533516992</v>
      </c>
      <c r="S364" s="4" t="s">
        <v>175</v>
      </c>
    </row>
    <row r="365" spans="1:19" x14ac:dyDescent="0.35">
      <c r="A365">
        <v>368</v>
      </c>
      <c r="B365">
        <v>30</v>
      </c>
      <c r="C365" t="s">
        <v>64</v>
      </c>
      <c r="D365" t="s">
        <v>101</v>
      </c>
      <c r="E365" s="10">
        <v>150</v>
      </c>
      <c r="F365" t="s">
        <v>69</v>
      </c>
      <c r="G365" t="s">
        <v>69</v>
      </c>
      <c r="H365" t="s">
        <v>92</v>
      </c>
      <c r="I365" t="s">
        <v>74</v>
      </c>
      <c r="J365" s="5">
        <v>1</v>
      </c>
      <c r="K365" s="6">
        <v>120</v>
      </c>
      <c r="L365" s="6">
        <v>67</v>
      </c>
      <c r="M365" s="7">
        <v>68</v>
      </c>
      <c r="N365" s="8">
        <v>90</v>
      </c>
      <c r="O365" s="8">
        <v>43</v>
      </c>
      <c r="P365" s="8">
        <v>44</v>
      </c>
      <c r="Q365" s="4" t="s">
        <v>126</v>
      </c>
      <c r="R365" s="9">
        <v>16.141528925619834</v>
      </c>
      <c r="S365" s="4" t="s">
        <v>174</v>
      </c>
    </row>
    <row r="366" spans="1:19" x14ac:dyDescent="0.35">
      <c r="A366">
        <v>369</v>
      </c>
      <c r="B366">
        <v>71</v>
      </c>
      <c r="C366" t="s">
        <v>64</v>
      </c>
      <c r="D366" t="s">
        <v>66</v>
      </c>
      <c r="E366" s="10">
        <v>700</v>
      </c>
      <c r="F366" t="s">
        <v>70</v>
      </c>
      <c r="G366" t="s">
        <v>70</v>
      </c>
      <c r="H366" t="s">
        <v>103</v>
      </c>
      <c r="I366" t="s">
        <v>125</v>
      </c>
      <c r="J366" s="5">
        <v>10</v>
      </c>
      <c r="K366" s="6">
        <v>145</v>
      </c>
      <c r="L366" s="6">
        <v>91</v>
      </c>
      <c r="M366" s="7">
        <v>106</v>
      </c>
      <c r="N366" s="8">
        <v>108</v>
      </c>
      <c r="O366" s="8">
        <v>170</v>
      </c>
      <c r="P366" s="8">
        <v>38</v>
      </c>
      <c r="Q366" s="4" t="s">
        <v>127</v>
      </c>
      <c r="R366" s="9">
        <v>30.421849648458629</v>
      </c>
      <c r="S366" s="4" t="s">
        <v>175</v>
      </c>
    </row>
    <row r="367" spans="1:19" x14ac:dyDescent="0.35">
      <c r="A367">
        <v>370</v>
      </c>
      <c r="B367">
        <v>52</v>
      </c>
      <c r="C367" t="s">
        <v>64</v>
      </c>
      <c r="D367" t="s">
        <v>90</v>
      </c>
      <c r="E367" s="10">
        <v>800</v>
      </c>
      <c r="F367" t="s">
        <v>69</v>
      </c>
      <c r="G367" t="s">
        <v>69</v>
      </c>
      <c r="H367" t="s">
        <v>103</v>
      </c>
      <c r="I367" t="s">
        <v>125</v>
      </c>
      <c r="J367" s="5">
        <v>4</v>
      </c>
      <c r="K367" s="6">
        <v>107</v>
      </c>
      <c r="L367" s="6">
        <v>78</v>
      </c>
      <c r="M367" s="7">
        <v>90</v>
      </c>
      <c r="N367" s="8">
        <v>88</v>
      </c>
      <c r="O367" s="8">
        <v>122</v>
      </c>
      <c r="P367" s="8">
        <v>50</v>
      </c>
      <c r="Q367" s="4" t="s">
        <v>127</v>
      </c>
      <c r="R367" s="9">
        <v>27.763429752066116</v>
      </c>
      <c r="S367" s="4" t="s">
        <v>175</v>
      </c>
    </row>
    <row r="368" spans="1:19" x14ac:dyDescent="0.35">
      <c r="A368">
        <v>371</v>
      </c>
      <c r="B368">
        <v>44</v>
      </c>
      <c r="C368" t="s">
        <v>64</v>
      </c>
      <c r="D368" t="s">
        <v>101</v>
      </c>
      <c r="E368" s="10">
        <v>500</v>
      </c>
      <c r="F368" t="s">
        <v>70</v>
      </c>
      <c r="G368" t="s">
        <v>70</v>
      </c>
      <c r="H368" t="s">
        <v>92</v>
      </c>
      <c r="I368" t="s">
        <v>125</v>
      </c>
      <c r="J368" s="5">
        <v>3</v>
      </c>
      <c r="K368" s="6">
        <v>112</v>
      </c>
      <c r="L368" s="6">
        <v>70</v>
      </c>
      <c r="M368" s="7">
        <v>86</v>
      </c>
      <c r="N368" s="8">
        <v>97</v>
      </c>
      <c r="O368" s="8">
        <v>132</v>
      </c>
      <c r="P368" s="8">
        <v>62</v>
      </c>
      <c r="Q368" s="4" t="s">
        <v>126</v>
      </c>
      <c r="R368" s="9">
        <v>24.691358024691358</v>
      </c>
      <c r="S368" s="4" t="s">
        <v>174</v>
      </c>
    </row>
    <row r="369" spans="1:19" x14ac:dyDescent="0.35">
      <c r="A369">
        <v>372</v>
      </c>
      <c r="B369">
        <v>33</v>
      </c>
      <c r="C369" t="s">
        <v>64</v>
      </c>
      <c r="D369" t="s">
        <v>115</v>
      </c>
      <c r="E369" s="10">
        <v>400</v>
      </c>
      <c r="F369" t="s">
        <v>69</v>
      </c>
      <c r="G369" t="s">
        <v>69</v>
      </c>
      <c r="H369" t="s">
        <v>92</v>
      </c>
      <c r="I369" t="s">
        <v>125</v>
      </c>
      <c r="J369" s="5">
        <v>4</v>
      </c>
      <c r="K369" s="6">
        <v>120</v>
      </c>
      <c r="L369" s="6">
        <v>78</v>
      </c>
      <c r="M369" s="7">
        <v>91</v>
      </c>
      <c r="N369" s="8">
        <v>97</v>
      </c>
      <c r="O369" s="8">
        <v>130</v>
      </c>
      <c r="P369" s="8">
        <v>58</v>
      </c>
      <c r="Q369" s="4" t="s">
        <v>126</v>
      </c>
      <c r="R369" s="9">
        <v>28.405337561104506</v>
      </c>
      <c r="S369" s="4" t="s">
        <v>174</v>
      </c>
    </row>
    <row r="370" spans="1:19" x14ac:dyDescent="0.35">
      <c r="A370">
        <v>373</v>
      </c>
      <c r="B370">
        <v>55</v>
      </c>
      <c r="C370" t="s">
        <v>89</v>
      </c>
      <c r="D370" t="s">
        <v>90</v>
      </c>
      <c r="E370" s="10">
        <v>1200</v>
      </c>
      <c r="F370" t="s">
        <v>69</v>
      </c>
      <c r="G370" t="s">
        <v>69</v>
      </c>
      <c r="H370" t="s">
        <v>92</v>
      </c>
      <c r="I370" t="s">
        <v>125</v>
      </c>
      <c r="J370" s="5">
        <v>5</v>
      </c>
      <c r="K370" s="6">
        <v>125</v>
      </c>
      <c r="L370" s="6">
        <v>88</v>
      </c>
      <c r="M370" s="7">
        <v>96</v>
      </c>
      <c r="N370" s="8">
        <v>184</v>
      </c>
      <c r="O370" s="8">
        <v>180</v>
      </c>
      <c r="P370" s="8">
        <v>42</v>
      </c>
      <c r="Q370" s="4" t="s">
        <v>127</v>
      </c>
      <c r="R370" s="9">
        <v>30.094730002393902</v>
      </c>
      <c r="S370" s="4" t="s">
        <v>175</v>
      </c>
    </row>
    <row r="371" spans="1:19" x14ac:dyDescent="0.35">
      <c r="A371">
        <v>374</v>
      </c>
      <c r="B371">
        <v>51</v>
      </c>
      <c r="C371" t="s">
        <v>89</v>
      </c>
      <c r="D371" t="s">
        <v>115</v>
      </c>
      <c r="E371" s="10">
        <v>200</v>
      </c>
      <c r="F371" t="s">
        <v>69</v>
      </c>
      <c r="G371" t="s">
        <v>69</v>
      </c>
      <c r="H371" t="s">
        <v>73</v>
      </c>
      <c r="I371" t="s">
        <v>125</v>
      </c>
      <c r="J371" s="5">
        <v>2</v>
      </c>
      <c r="K371" s="6">
        <v>148</v>
      </c>
      <c r="L371" s="6">
        <v>77</v>
      </c>
      <c r="M371" s="7">
        <v>115</v>
      </c>
      <c r="N371" s="8">
        <v>103</v>
      </c>
      <c r="O371" s="8">
        <v>192</v>
      </c>
      <c r="P371" s="8">
        <v>31</v>
      </c>
      <c r="Q371" s="4" t="s">
        <v>126</v>
      </c>
      <c r="R371" s="9">
        <v>40.458259894247711</v>
      </c>
      <c r="S371" s="4" t="s">
        <v>174</v>
      </c>
    </row>
    <row r="372" spans="1:19" x14ac:dyDescent="0.35">
      <c r="A372">
        <v>375</v>
      </c>
      <c r="B372">
        <v>22</v>
      </c>
      <c r="C372" t="s">
        <v>64</v>
      </c>
      <c r="D372" t="s">
        <v>101</v>
      </c>
      <c r="E372" s="10">
        <v>100</v>
      </c>
      <c r="F372" t="s">
        <v>69</v>
      </c>
      <c r="G372" t="s">
        <v>69</v>
      </c>
      <c r="H372" t="s">
        <v>103</v>
      </c>
      <c r="I372" t="s">
        <v>74</v>
      </c>
      <c r="J372" s="5">
        <v>3</v>
      </c>
      <c r="K372" s="6">
        <v>110</v>
      </c>
      <c r="L372" s="6">
        <v>56</v>
      </c>
      <c r="M372" s="7">
        <v>64</v>
      </c>
      <c r="N372" s="8">
        <v>96</v>
      </c>
      <c r="O372" s="8">
        <v>108</v>
      </c>
      <c r="P372" s="8">
        <v>53</v>
      </c>
      <c r="Q372" s="4" t="s">
        <v>126</v>
      </c>
      <c r="R372" s="9">
        <v>18.424036281179141</v>
      </c>
      <c r="S372" s="4" t="s">
        <v>174</v>
      </c>
    </row>
    <row r="373" spans="1:19" x14ac:dyDescent="0.35">
      <c r="A373">
        <v>376</v>
      </c>
      <c r="B373">
        <v>53</v>
      </c>
      <c r="C373" t="s">
        <v>89</v>
      </c>
      <c r="D373" t="s">
        <v>115</v>
      </c>
      <c r="E373" s="10">
        <v>300</v>
      </c>
      <c r="F373" t="s">
        <v>69</v>
      </c>
      <c r="G373" t="s">
        <v>69</v>
      </c>
      <c r="H373" t="s">
        <v>103</v>
      </c>
      <c r="I373" t="s">
        <v>125</v>
      </c>
      <c r="J373" s="5">
        <v>2</v>
      </c>
      <c r="K373" s="6">
        <v>135</v>
      </c>
      <c r="L373" s="6">
        <v>86</v>
      </c>
      <c r="M373" s="7">
        <v>107</v>
      </c>
      <c r="N373" s="8">
        <v>103</v>
      </c>
      <c r="O373" s="8">
        <v>111</v>
      </c>
      <c r="P373" s="8">
        <v>60</v>
      </c>
      <c r="Q373" s="4" t="s">
        <v>127</v>
      </c>
      <c r="R373" s="9">
        <v>31.161373901474043</v>
      </c>
      <c r="S373" s="4" t="s">
        <v>175</v>
      </c>
    </row>
    <row r="374" spans="1:19" x14ac:dyDescent="0.35">
      <c r="A374">
        <v>377</v>
      </c>
      <c r="B374">
        <v>55</v>
      </c>
      <c r="C374" t="s">
        <v>89</v>
      </c>
      <c r="D374" t="s">
        <v>115</v>
      </c>
      <c r="E374" s="10">
        <v>200</v>
      </c>
      <c r="F374" t="s">
        <v>69</v>
      </c>
      <c r="G374" t="s">
        <v>69</v>
      </c>
      <c r="H374" t="s">
        <v>92</v>
      </c>
      <c r="I374" t="s">
        <v>125</v>
      </c>
      <c r="J374" s="5">
        <v>10</v>
      </c>
      <c r="K374" s="6">
        <v>148</v>
      </c>
      <c r="L374" s="6">
        <v>95</v>
      </c>
      <c r="M374" s="7">
        <v>79</v>
      </c>
      <c r="N374" s="8">
        <v>98</v>
      </c>
      <c r="O374" s="8">
        <v>125</v>
      </c>
      <c r="P374" s="8">
        <v>51</v>
      </c>
      <c r="Q374" s="4" t="s">
        <v>126</v>
      </c>
      <c r="R374" s="9">
        <v>25.864512471655331</v>
      </c>
      <c r="S374" s="4" t="s">
        <v>174</v>
      </c>
    </row>
    <row r="375" spans="1:19" x14ac:dyDescent="0.35">
      <c r="A375">
        <v>378</v>
      </c>
      <c r="B375">
        <v>61</v>
      </c>
      <c r="C375" t="s">
        <v>89</v>
      </c>
      <c r="D375" t="s">
        <v>66</v>
      </c>
      <c r="E375" s="10">
        <v>400</v>
      </c>
      <c r="F375" t="s">
        <v>69</v>
      </c>
      <c r="G375" t="s">
        <v>69</v>
      </c>
      <c r="H375" t="s">
        <v>92</v>
      </c>
      <c r="I375" t="s">
        <v>125</v>
      </c>
      <c r="J375" s="5">
        <v>4</v>
      </c>
      <c r="K375" s="6">
        <v>133</v>
      </c>
      <c r="L375" s="6">
        <v>83</v>
      </c>
      <c r="M375" s="7">
        <v>90</v>
      </c>
      <c r="N375" s="8">
        <v>161</v>
      </c>
      <c r="O375" s="8">
        <v>104</v>
      </c>
      <c r="P375" s="8">
        <v>61</v>
      </c>
      <c r="Q375" s="4" t="s">
        <v>127</v>
      </c>
      <c r="R375" s="9">
        <v>27.70083102493075</v>
      </c>
      <c r="S375" s="4" t="s">
        <v>175</v>
      </c>
    </row>
    <row r="376" spans="1:19" x14ac:dyDescent="0.35">
      <c r="A376">
        <v>379</v>
      </c>
      <c r="B376">
        <v>24</v>
      </c>
      <c r="C376" t="s">
        <v>64</v>
      </c>
      <c r="D376" t="s">
        <v>101</v>
      </c>
      <c r="E376" s="10">
        <v>100</v>
      </c>
      <c r="F376" t="s">
        <v>69</v>
      </c>
      <c r="G376" t="s">
        <v>70</v>
      </c>
      <c r="H376" t="s">
        <v>92</v>
      </c>
      <c r="I376" t="s">
        <v>125</v>
      </c>
      <c r="J376" s="5">
        <v>4</v>
      </c>
      <c r="K376" s="6">
        <v>111</v>
      </c>
      <c r="L376" s="6">
        <v>69</v>
      </c>
      <c r="M376" s="7">
        <v>80</v>
      </c>
      <c r="N376" s="8">
        <v>95</v>
      </c>
      <c r="O376" s="8">
        <v>97</v>
      </c>
      <c r="P376" s="8">
        <v>40</v>
      </c>
      <c r="Q376" s="4" t="s">
        <v>126</v>
      </c>
      <c r="R376" s="9">
        <v>19.031141868512112</v>
      </c>
      <c r="S376" s="4" t="s">
        <v>174</v>
      </c>
    </row>
    <row r="377" spans="1:19" x14ac:dyDescent="0.35">
      <c r="A377">
        <v>380</v>
      </c>
      <c r="B377">
        <v>23</v>
      </c>
      <c r="C377" t="s">
        <v>89</v>
      </c>
      <c r="D377" t="s">
        <v>90</v>
      </c>
      <c r="E377" s="10">
        <v>400</v>
      </c>
      <c r="F377" t="s">
        <v>69</v>
      </c>
      <c r="G377" t="s">
        <v>69</v>
      </c>
      <c r="H377" t="s">
        <v>73</v>
      </c>
      <c r="I377" t="s">
        <v>124</v>
      </c>
      <c r="J377" s="5">
        <v>2</v>
      </c>
      <c r="K377" s="6">
        <v>122</v>
      </c>
      <c r="L377" s="6">
        <v>66</v>
      </c>
      <c r="M377" s="7">
        <v>77</v>
      </c>
      <c r="N377" s="8">
        <v>97</v>
      </c>
      <c r="O377" s="8">
        <v>55</v>
      </c>
      <c r="P377" s="8">
        <v>63</v>
      </c>
      <c r="Q377" s="4" t="s">
        <v>126</v>
      </c>
      <c r="R377" s="9">
        <v>25.351541373715524</v>
      </c>
      <c r="S377" s="4" t="s">
        <v>174</v>
      </c>
    </row>
    <row r="378" spans="1:19" x14ac:dyDescent="0.35">
      <c r="A378">
        <v>381</v>
      </c>
      <c r="B378">
        <v>29</v>
      </c>
      <c r="C378" t="s">
        <v>64</v>
      </c>
      <c r="D378" t="s">
        <v>101</v>
      </c>
      <c r="E378" s="10">
        <v>350</v>
      </c>
      <c r="F378" t="s">
        <v>69</v>
      </c>
      <c r="G378" t="s">
        <v>69</v>
      </c>
      <c r="H378" t="s">
        <v>92</v>
      </c>
      <c r="I378" t="s">
        <v>125</v>
      </c>
      <c r="J378" s="5">
        <v>4</v>
      </c>
      <c r="K378" s="6">
        <v>119</v>
      </c>
      <c r="L378" s="6">
        <v>81</v>
      </c>
      <c r="M378" s="7">
        <v>80</v>
      </c>
      <c r="N378" s="8">
        <v>270</v>
      </c>
      <c r="O378" s="8">
        <v>63</v>
      </c>
      <c r="P378" s="8">
        <v>63</v>
      </c>
      <c r="Q378" s="4" t="s">
        <v>127</v>
      </c>
      <c r="R378" s="9">
        <v>20.902385858042937</v>
      </c>
      <c r="S378" s="4" t="s">
        <v>175</v>
      </c>
    </row>
    <row r="379" spans="1:19" x14ac:dyDescent="0.35">
      <c r="A379">
        <v>382</v>
      </c>
      <c r="B379">
        <v>39</v>
      </c>
      <c r="C379" t="s">
        <v>89</v>
      </c>
      <c r="D379" t="s">
        <v>115</v>
      </c>
      <c r="E379" s="10">
        <v>450</v>
      </c>
      <c r="F379" t="s">
        <v>69</v>
      </c>
      <c r="G379" t="s">
        <v>69</v>
      </c>
      <c r="H379" t="s">
        <v>92</v>
      </c>
      <c r="I379" t="s">
        <v>125</v>
      </c>
      <c r="J379" s="5">
        <v>6</v>
      </c>
      <c r="K379" s="6">
        <v>144</v>
      </c>
      <c r="L379" s="6">
        <v>79</v>
      </c>
      <c r="M379" s="7">
        <v>76</v>
      </c>
      <c r="N379" s="8">
        <v>128</v>
      </c>
      <c r="O379" s="8">
        <v>175</v>
      </c>
      <c r="P379" s="8">
        <v>38</v>
      </c>
      <c r="Q379" s="4" t="s">
        <v>126</v>
      </c>
      <c r="R379" s="9">
        <v>22.145328719723185</v>
      </c>
      <c r="S379" s="4" t="s">
        <v>174</v>
      </c>
    </row>
    <row r="380" spans="1:19" x14ac:dyDescent="0.35">
      <c r="A380">
        <v>383</v>
      </c>
      <c r="B380">
        <v>79</v>
      </c>
      <c r="C380" t="s">
        <v>89</v>
      </c>
      <c r="D380" t="s">
        <v>90</v>
      </c>
      <c r="E380" s="10">
        <v>400</v>
      </c>
      <c r="F380" t="s">
        <v>69</v>
      </c>
      <c r="G380" t="s">
        <v>69</v>
      </c>
      <c r="H380" t="s">
        <v>92</v>
      </c>
      <c r="I380" t="s">
        <v>125</v>
      </c>
      <c r="J380" s="5">
        <v>8</v>
      </c>
      <c r="K380" s="6">
        <v>170</v>
      </c>
      <c r="L380" s="6">
        <v>82</v>
      </c>
      <c r="M380" s="7">
        <v>90</v>
      </c>
      <c r="N380" s="8">
        <v>154</v>
      </c>
      <c r="O380" s="8">
        <v>120</v>
      </c>
      <c r="P380" s="8">
        <v>39</v>
      </c>
      <c r="Q380" s="4" t="s">
        <v>127</v>
      </c>
      <c r="R380" s="9">
        <v>26.122448979591837</v>
      </c>
      <c r="S380" s="4" t="s">
        <v>175</v>
      </c>
    </row>
    <row r="381" spans="1:19" x14ac:dyDescent="0.35">
      <c r="A381">
        <v>384</v>
      </c>
      <c r="B381">
        <v>19</v>
      </c>
      <c r="C381" t="s">
        <v>89</v>
      </c>
      <c r="D381" t="s">
        <v>90</v>
      </c>
      <c r="E381" s="10">
        <v>300</v>
      </c>
      <c r="F381" t="s">
        <v>69</v>
      </c>
      <c r="G381" t="s">
        <v>69</v>
      </c>
      <c r="H381" t="s">
        <v>92</v>
      </c>
      <c r="I381" t="s">
        <v>125</v>
      </c>
      <c r="J381" s="5">
        <v>4</v>
      </c>
      <c r="K381" s="6">
        <v>106</v>
      </c>
      <c r="L381" s="6">
        <v>53</v>
      </c>
      <c r="M381" s="7">
        <v>100</v>
      </c>
      <c r="N381" s="8">
        <v>88</v>
      </c>
      <c r="O381" s="8">
        <v>132</v>
      </c>
      <c r="P381" s="8">
        <v>37</v>
      </c>
      <c r="Q381" s="4" t="s">
        <v>126</v>
      </c>
      <c r="R381" s="9">
        <v>25.14860539551897</v>
      </c>
      <c r="S381" s="4" t="s">
        <v>174</v>
      </c>
    </row>
    <row r="382" spans="1:19" x14ac:dyDescent="0.35">
      <c r="A382">
        <v>385</v>
      </c>
      <c r="B382">
        <v>32</v>
      </c>
      <c r="C382" t="s">
        <v>89</v>
      </c>
      <c r="D382" t="s">
        <v>66</v>
      </c>
      <c r="E382" s="10">
        <v>100</v>
      </c>
      <c r="F382" t="s">
        <v>69</v>
      </c>
      <c r="G382" t="s">
        <v>69</v>
      </c>
      <c r="H382" t="s">
        <v>73</v>
      </c>
      <c r="I382" t="s">
        <v>125</v>
      </c>
      <c r="J382" s="5">
        <v>1</v>
      </c>
      <c r="K382" s="6">
        <v>87</v>
      </c>
      <c r="L382" s="6">
        <v>59</v>
      </c>
      <c r="M382" s="7">
        <v>72</v>
      </c>
      <c r="N382" s="8">
        <v>98</v>
      </c>
      <c r="O382" s="8">
        <v>68</v>
      </c>
      <c r="P382" s="8">
        <v>40</v>
      </c>
      <c r="Q382" s="4" t="s">
        <v>126</v>
      </c>
      <c r="R382" s="9">
        <v>15.822158933586486</v>
      </c>
      <c r="S382" s="4" t="s">
        <v>174</v>
      </c>
    </row>
    <row r="383" spans="1:19" x14ac:dyDescent="0.35">
      <c r="A383">
        <v>386</v>
      </c>
      <c r="B383">
        <v>49</v>
      </c>
      <c r="C383" t="s">
        <v>89</v>
      </c>
      <c r="D383" t="s">
        <v>66</v>
      </c>
      <c r="E383" s="10">
        <v>700</v>
      </c>
      <c r="F383" t="s">
        <v>69</v>
      </c>
      <c r="G383" t="s">
        <v>69</v>
      </c>
      <c r="H383" t="s">
        <v>73</v>
      </c>
      <c r="I383" t="s">
        <v>125</v>
      </c>
      <c r="J383" s="5">
        <v>5</v>
      </c>
      <c r="K383" s="6">
        <v>142</v>
      </c>
      <c r="L383" s="6">
        <v>67</v>
      </c>
      <c r="M383" s="7">
        <v>99</v>
      </c>
      <c r="N383" s="8">
        <v>158</v>
      </c>
      <c r="O383" s="8">
        <v>48</v>
      </c>
      <c r="P383" s="8">
        <v>22</v>
      </c>
      <c r="Q383" s="4" t="s">
        <v>127</v>
      </c>
      <c r="R383" s="9">
        <v>23.661438615467823</v>
      </c>
      <c r="S383" s="4" t="s">
        <v>175</v>
      </c>
    </row>
    <row r="384" spans="1:19" x14ac:dyDescent="0.35">
      <c r="A384">
        <v>387</v>
      </c>
      <c r="B384">
        <v>37</v>
      </c>
      <c r="C384" t="s">
        <v>89</v>
      </c>
      <c r="D384" t="s">
        <v>90</v>
      </c>
      <c r="E384" s="10">
        <v>400</v>
      </c>
      <c r="F384" t="s">
        <v>69</v>
      </c>
      <c r="G384" t="s">
        <v>69</v>
      </c>
      <c r="H384" t="s">
        <v>92</v>
      </c>
      <c r="I384" t="s">
        <v>125</v>
      </c>
      <c r="J384" s="5">
        <v>2</v>
      </c>
      <c r="K384" s="6">
        <v>142</v>
      </c>
      <c r="L384" s="6">
        <v>75</v>
      </c>
      <c r="M384" s="7">
        <v>98</v>
      </c>
      <c r="N384" s="8">
        <v>144</v>
      </c>
      <c r="O384" s="8">
        <v>86</v>
      </c>
      <c r="P384" s="8">
        <v>27</v>
      </c>
      <c r="Q384" s="4" t="s">
        <v>127</v>
      </c>
      <c r="R384" s="9">
        <v>31.645569620253159</v>
      </c>
      <c r="S384" s="4" t="s">
        <v>175</v>
      </c>
    </row>
    <row r="385" spans="1:19" x14ac:dyDescent="0.35">
      <c r="A385">
        <v>388</v>
      </c>
      <c r="B385">
        <v>59</v>
      </c>
      <c r="C385" t="s">
        <v>89</v>
      </c>
      <c r="D385" t="s">
        <v>90</v>
      </c>
      <c r="E385" s="10">
        <v>200</v>
      </c>
      <c r="F385" t="s">
        <v>69</v>
      </c>
      <c r="G385" t="s">
        <v>69</v>
      </c>
      <c r="H385" t="s">
        <v>92</v>
      </c>
      <c r="I385" t="s">
        <v>125</v>
      </c>
      <c r="J385" s="5">
        <v>7</v>
      </c>
      <c r="K385" s="6">
        <v>127</v>
      </c>
      <c r="L385" s="6">
        <v>71</v>
      </c>
      <c r="M385" s="7">
        <v>90</v>
      </c>
      <c r="N385" s="8">
        <v>90</v>
      </c>
      <c r="O385" s="8">
        <v>41</v>
      </c>
      <c r="P385" s="8">
        <v>50</v>
      </c>
      <c r="Q385" s="4" t="s">
        <v>127</v>
      </c>
      <c r="R385" s="9">
        <v>27.548209366391188</v>
      </c>
      <c r="S385" s="4" t="s">
        <v>175</v>
      </c>
    </row>
    <row r="386" spans="1:19" x14ac:dyDescent="0.35">
      <c r="A386">
        <v>389</v>
      </c>
      <c r="B386">
        <v>29</v>
      </c>
      <c r="C386" t="s">
        <v>89</v>
      </c>
      <c r="D386" t="s">
        <v>115</v>
      </c>
      <c r="E386" s="10">
        <v>700</v>
      </c>
      <c r="F386" t="s">
        <v>69</v>
      </c>
      <c r="G386" t="s">
        <v>69</v>
      </c>
      <c r="H386" t="s">
        <v>73</v>
      </c>
      <c r="I386" t="s">
        <v>125</v>
      </c>
      <c r="J386" s="5">
        <v>1</v>
      </c>
      <c r="K386" s="6">
        <v>120</v>
      </c>
      <c r="L386" s="6">
        <v>75</v>
      </c>
      <c r="M386" s="7">
        <v>71</v>
      </c>
      <c r="N386" s="8">
        <v>129</v>
      </c>
      <c r="O386" s="8">
        <v>53</v>
      </c>
      <c r="P386" s="8">
        <v>55</v>
      </c>
      <c r="Q386" s="4" t="s">
        <v>127</v>
      </c>
      <c r="R386" s="9">
        <v>16.824226886716868</v>
      </c>
      <c r="S386" s="4" t="s">
        <v>175</v>
      </c>
    </row>
    <row r="387" spans="1:19" x14ac:dyDescent="0.35">
      <c r="A387">
        <v>390</v>
      </c>
      <c r="B387">
        <v>24</v>
      </c>
      <c r="C387" t="s">
        <v>89</v>
      </c>
      <c r="D387" t="s">
        <v>101</v>
      </c>
      <c r="E387" s="10">
        <v>800</v>
      </c>
      <c r="F387" t="s">
        <v>69</v>
      </c>
      <c r="G387" t="s">
        <v>69</v>
      </c>
      <c r="H387" t="s">
        <v>92</v>
      </c>
      <c r="I387" t="s">
        <v>125</v>
      </c>
      <c r="J387" s="5">
        <v>3</v>
      </c>
      <c r="K387" s="6">
        <v>90</v>
      </c>
      <c r="L387" s="6">
        <v>65</v>
      </c>
      <c r="M387" s="7">
        <v>113</v>
      </c>
      <c r="N387" s="8">
        <v>97</v>
      </c>
      <c r="O387" s="8">
        <v>41</v>
      </c>
      <c r="P387" s="8">
        <v>38</v>
      </c>
      <c r="Q387" s="4" t="s">
        <v>127</v>
      </c>
      <c r="R387" s="9">
        <v>30.043262297708697</v>
      </c>
      <c r="S387" s="4" t="s">
        <v>175</v>
      </c>
    </row>
    <row r="388" spans="1:19" x14ac:dyDescent="0.35">
      <c r="A388">
        <v>391</v>
      </c>
      <c r="B388">
        <v>39</v>
      </c>
      <c r="C388" t="s">
        <v>64</v>
      </c>
      <c r="D388" t="s">
        <v>66</v>
      </c>
      <c r="E388" s="10">
        <v>450</v>
      </c>
      <c r="F388" t="s">
        <v>70</v>
      </c>
      <c r="G388" t="s">
        <v>70</v>
      </c>
      <c r="H388" t="s">
        <v>92</v>
      </c>
      <c r="I388" t="s">
        <v>124</v>
      </c>
      <c r="J388" s="5">
        <v>3</v>
      </c>
      <c r="K388" s="6">
        <v>125</v>
      </c>
      <c r="L388" s="6">
        <v>81</v>
      </c>
      <c r="M388" s="7">
        <v>68</v>
      </c>
      <c r="N388" s="8">
        <v>73</v>
      </c>
      <c r="O388" s="8">
        <v>70</v>
      </c>
      <c r="P388" s="8">
        <v>43</v>
      </c>
      <c r="Q388" s="4" t="s">
        <v>127</v>
      </c>
      <c r="R388" s="9">
        <v>16.653061224489797</v>
      </c>
      <c r="S388" s="4" t="s">
        <v>175</v>
      </c>
    </row>
    <row r="389" spans="1:19" x14ac:dyDescent="0.35">
      <c r="A389">
        <v>392</v>
      </c>
      <c r="B389">
        <v>34</v>
      </c>
      <c r="C389" t="s">
        <v>89</v>
      </c>
      <c r="D389" t="s">
        <v>66</v>
      </c>
      <c r="E389" s="10">
        <v>100</v>
      </c>
      <c r="F389" t="s">
        <v>69</v>
      </c>
      <c r="G389" t="s">
        <v>69</v>
      </c>
      <c r="H389" t="s">
        <v>92</v>
      </c>
      <c r="I389" t="s">
        <v>125</v>
      </c>
      <c r="J389" s="5">
        <v>4</v>
      </c>
      <c r="K389" s="6">
        <v>104</v>
      </c>
      <c r="L389" s="6">
        <v>67</v>
      </c>
      <c r="M389" s="7">
        <v>80</v>
      </c>
      <c r="N389" s="8">
        <v>97</v>
      </c>
      <c r="O389" s="8">
        <v>83</v>
      </c>
      <c r="P389" s="8">
        <v>39</v>
      </c>
      <c r="Q389" s="4" t="s">
        <v>127</v>
      </c>
      <c r="R389" s="9">
        <v>24.801587301587304</v>
      </c>
      <c r="S389" s="4" t="s">
        <v>175</v>
      </c>
    </row>
    <row r="390" spans="1:19" x14ac:dyDescent="0.35">
      <c r="A390">
        <v>393</v>
      </c>
      <c r="B390">
        <v>39</v>
      </c>
      <c r="C390" t="s">
        <v>89</v>
      </c>
      <c r="D390" t="s">
        <v>101</v>
      </c>
      <c r="E390" s="10">
        <v>800</v>
      </c>
      <c r="F390" t="s">
        <v>69</v>
      </c>
      <c r="G390" t="s">
        <v>69</v>
      </c>
      <c r="H390" t="s">
        <v>92</v>
      </c>
      <c r="I390" t="s">
        <v>125</v>
      </c>
      <c r="J390" s="5">
        <v>1</v>
      </c>
      <c r="K390" s="6">
        <v>120</v>
      </c>
      <c r="L390" s="6">
        <v>85</v>
      </c>
      <c r="M390" s="7">
        <v>113</v>
      </c>
      <c r="N390" s="8">
        <v>152</v>
      </c>
      <c r="O390" s="8">
        <v>65</v>
      </c>
      <c r="P390" s="8">
        <v>55</v>
      </c>
      <c r="Q390" s="4" t="s">
        <v>127</v>
      </c>
      <c r="R390" s="9">
        <v>27.548209366391188</v>
      </c>
      <c r="S390" s="4" t="s">
        <v>175</v>
      </c>
    </row>
    <row r="391" spans="1:19" x14ac:dyDescent="0.35">
      <c r="A391">
        <v>394</v>
      </c>
      <c r="B391">
        <v>42</v>
      </c>
      <c r="C391" t="s">
        <v>64</v>
      </c>
      <c r="D391" t="s">
        <v>101</v>
      </c>
      <c r="E391" s="10">
        <v>600</v>
      </c>
      <c r="F391" t="s">
        <v>69</v>
      </c>
      <c r="G391" t="s">
        <v>69</v>
      </c>
      <c r="H391" t="s">
        <v>103</v>
      </c>
      <c r="I391" t="s">
        <v>125</v>
      </c>
      <c r="J391" s="5">
        <v>3</v>
      </c>
      <c r="K391" s="6">
        <v>100</v>
      </c>
      <c r="L391" s="6">
        <v>72</v>
      </c>
      <c r="M391" s="7">
        <v>90</v>
      </c>
      <c r="N391" s="8">
        <v>96</v>
      </c>
      <c r="O391" s="8">
        <v>173</v>
      </c>
      <c r="P391" s="8">
        <v>55</v>
      </c>
      <c r="Q391" s="4" t="s">
        <v>127</v>
      </c>
      <c r="R391" s="9">
        <v>22.460034350640772</v>
      </c>
      <c r="S391" s="4" t="s">
        <v>175</v>
      </c>
    </row>
    <row r="392" spans="1:19" x14ac:dyDescent="0.35">
      <c r="A392">
        <v>395</v>
      </c>
      <c r="B392">
        <v>64</v>
      </c>
      <c r="C392" t="s">
        <v>64</v>
      </c>
      <c r="D392" t="s">
        <v>90</v>
      </c>
      <c r="E392" s="10">
        <v>2800</v>
      </c>
      <c r="F392" t="s">
        <v>69</v>
      </c>
      <c r="G392" t="s">
        <v>70</v>
      </c>
      <c r="H392" t="s">
        <v>103</v>
      </c>
      <c r="I392" t="s">
        <v>125</v>
      </c>
      <c r="J392" s="5">
        <v>8</v>
      </c>
      <c r="K392" s="6">
        <v>158</v>
      </c>
      <c r="L392" s="6">
        <v>96</v>
      </c>
      <c r="M392" s="7">
        <v>98</v>
      </c>
      <c r="N392" s="8">
        <v>148</v>
      </c>
      <c r="O392" s="8">
        <v>178</v>
      </c>
      <c r="P392" s="8">
        <v>36</v>
      </c>
      <c r="Q392" s="4" t="s">
        <v>127</v>
      </c>
      <c r="R392" s="9">
        <v>32.449972958355872</v>
      </c>
      <c r="S392" s="4" t="s">
        <v>175</v>
      </c>
    </row>
    <row r="393" spans="1:19" x14ac:dyDescent="0.35">
      <c r="A393">
        <v>396</v>
      </c>
      <c r="B393">
        <v>66</v>
      </c>
      <c r="C393" t="s">
        <v>64</v>
      </c>
      <c r="D393" t="s">
        <v>101</v>
      </c>
      <c r="E393" s="10">
        <v>1800</v>
      </c>
      <c r="F393" t="s">
        <v>70</v>
      </c>
      <c r="G393" t="s">
        <v>70</v>
      </c>
      <c r="H393" t="s">
        <v>103</v>
      </c>
      <c r="I393" t="s">
        <v>125</v>
      </c>
      <c r="J393" s="5">
        <v>8</v>
      </c>
      <c r="K393" s="6">
        <v>160</v>
      </c>
      <c r="L393" s="6">
        <v>105</v>
      </c>
      <c r="M393" s="7">
        <v>93</v>
      </c>
      <c r="N393" s="8">
        <v>138</v>
      </c>
      <c r="O393" s="8">
        <v>180</v>
      </c>
      <c r="P393" s="8">
        <v>38</v>
      </c>
      <c r="Q393" s="4" t="s">
        <v>127</v>
      </c>
      <c r="R393" s="9">
        <v>29.410758865975858</v>
      </c>
      <c r="S393" s="4" t="s">
        <v>175</v>
      </c>
    </row>
    <row r="394" spans="1:19" x14ac:dyDescent="0.35">
      <c r="A394">
        <v>397</v>
      </c>
      <c r="B394">
        <v>36</v>
      </c>
      <c r="C394" t="s">
        <v>64</v>
      </c>
      <c r="D394" t="s">
        <v>101</v>
      </c>
      <c r="E394" s="10">
        <v>380</v>
      </c>
      <c r="F394" t="s">
        <v>69</v>
      </c>
      <c r="G394" t="s">
        <v>70</v>
      </c>
      <c r="H394" t="s">
        <v>92</v>
      </c>
      <c r="I394" t="s">
        <v>125</v>
      </c>
      <c r="J394" s="5">
        <v>3</v>
      </c>
      <c r="K394" s="6">
        <v>112</v>
      </c>
      <c r="L394" s="6">
        <v>78</v>
      </c>
      <c r="M394" s="7">
        <v>88</v>
      </c>
      <c r="N394" s="8">
        <v>88</v>
      </c>
      <c r="O394" s="8">
        <v>140</v>
      </c>
      <c r="P394" s="8">
        <v>62</v>
      </c>
      <c r="Q394" s="4" t="s">
        <v>126</v>
      </c>
      <c r="R394" s="9">
        <v>23.120623596247853</v>
      </c>
      <c r="S394" s="4" t="s">
        <v>174</v>
      </c>
    </row>
    <row r="395" spans="1:19" x14ac:dyDescent="0.35">
      <c r="A395">
        <v>398</v>
      </c>
      <c r="B395">
        <v>65</v>
      </c>
      <c r="C395" t="s">
        <v>64</v>
      </c>
      <c r="D395" t="s">
        <v>90</v>
      </c>
      <c r="E395" s="10">
        <v>2000</v>
      </c>
      <c r="F395" t="s">
        <v>70</v>
      </c>
      <c r="G395" t="s">
        <v>69</v>
      </c>
      <c r="H395" t="s">
        <v>92</v>
      </c>
      <c r="I395" t="s">
        <v>125</v>
      </c>
      <c r="J395" s="5">
        <v>6</v>
      </c>
      <c r="K395" s="6">
        <v>160</v>
      </c>
      <c r="L395" s="6">
        <v>104</v>
      </c>
      <c r="M395" s="7">
        <v>91</v>
      </c>
      <c r="N395" s="8">
        <v>122</v>
      </c>
      <c r="O395" s="8">
        <v>178</v>
      </c>
      <c r="P395" s="8">
        <v>30</v>
      </c>
      <c r="Q395" s="4" t="s">
        <v>127</v>
      </c>
      <c r="R395" s="9">
        <v>27.717685235262305</v>
      </c>
      <c r="S395" s="4" t="s">
        <v>175</v>
      </c>
    </row>
    <row r="396" spans="1:19" x14ac:dyDescent="0.35">
      <c r="A396">
        <v>399</v>
      </c>
      <c r="B396">
        <v>31</v>
      </c>
      <c r="C396" t="s">
        <v>89</v>
      </c>
      <c r="D396" t="s">
        <v>66</v>
      </c>
      <c r="E396" s="10">
        <v>200</v>
      </c>
      <c r="F396" t="s">
        <v>69</v>
      </c>
      <c r="G396" t="s">
        <v>69</v>
      </c>
      <c r="H396" t="s">
        <v>73</v>
      </c>
      <c r="I396" t="s">
        <v>125</v>
      </c>
      <c r="J396" s="5">
        <v>2</v>
      </c>
      <c r="K396" s="6">
        <v>111</v>
      </c>
      <c r="L396" s="6">
        <v>82</v>
      </c>
      <c r="M396" s="7">
        <v>86</v>
      </c>
      <c r="N396" s="8">
        <v>98</v>
      </c>
      <c r="O396" s="8">
        <v>110</v>
      </c>
      <c r="P396" s="8">
        <v>38</v>
      </c>
      <c r="Q396" s="4" t="s">
        <v>126</v>
      </c>
      <c r="R396" s="9">
        <v>24.242424242424246</v>
      </c>
      <c r="S396" s="4" t="s">
        <v>174</v>
      </c>
    </row>
    <row r="397" spans="1:19" x14ac:dyDescent="0.35">
      <c r="A397">
        <v>400</v>
      </c>
      <c r="B397">
        <v>32</v>
      </c>
      <c r="C397" t="s">
        <v>89</v>
      </c>
      <c r="D397" t="s">
        <v>101</v>
      </c>
      <c r="E397" s="10">
        <v>800</v>
      </c>
      <c r="F397" t="s">
        <v>69</v>
      </c>
      <c r="G397" t="s">
        <v>69</v>
      </c>
      <c r="H397" t="s">
        <v>103</v>
      </c>
      <c r="I397" t="s">
        <v>125</v>
      </c>
      <c r="J397" s="5">
        <v>6</v>
      </c>
      <c r="K397" s="6">
        <v>125</v>
      </c>
      <c r="L397" s="6">
        <v>91</v>
      </c>
      <c r="M397" s="7">
        <v>92</v>
      </c>
      <c r="N397" s="8">
        <v>91</v>
      </c>
      <c r="O397" s="8">
        <v>95</v>
      </c>
      <c r="P397" s="8">
        <v>38</v>
      </c>
      <c r="Q397" s="4" t="s">
        <v>126</v>
      </c>
      <c r="R397" s="9">
        <v>24.690405462752206</v>
      </c>
      <c r="S397" s="4" t="s">
        <v>174</v>
      </c>
    </row>
    <row r="398" spans="1:19" x14ac:dyDescent="0.35">
      <c r="A398">
        <v>401</v>
      </c>
      <c r="B398">
        <v>59</v>
      </c>
      <c r="C398" t="s">
        <v>89</v>
      </c>
      <c r="D398" t="s">
        <v>115</v>
      </c>
      <c r="E398" s="10">
        <v>300</v>
      </c>
      <c r="F398" t="s">
        <v>69</v>
      </c>
      <c r="G398" t="s">
        <v>69</v>
      </c>
      <c r="H398" t="s">
        <v>92</v>
      </c>
      <c r="I398" t="s">
        <v>124</v>
      </c>
      <c r="J398" s="5">
        <v>1</v>
      </c>
      <c r="K398" s="6">
        <v>161</v>
      </c>
      <c r="L398" s="6">
        <v>94</v>
      </c>
      <c r="M398" s="7">
        <v>103</v>
      </c>
      <c r="N398" s="8">
        <v>97</v>
      </c>
      <c r="O398" s="8">
        <v>122</v>
      </c>
      <c r="P398" s="8">
        <v>56</v>
      </c>
      <c r="Q398" s="4" t="s">
        <v>127</v>
      </c>
      <c r="R398" s="9">
        <v>27.852007979223909</v>
      </c>
      <c r="S398" s="4" t="s">
        <v>175</v>
      </c>
    </row>
    <row r="399" spans="1:19" x14ac:dyDescent="0.35">
      <c r="A399">
        <v>402</v>
      </c>
      <c r="B399">
        <v>37</v>
      </c>
      <c r="C399" t="s">
        <v>89</v>
      </c>
      <c r="D399" t="s">
        <v>101</v>
      </c>
      <c r="E399" s="10">
        <v>600</v>
      </c>
      <c r="F399" t="s">
        <v>69</v>
      </c>
      <c r="G399" t="s">
        <v>69</v>
      </c>
      <c r="H399" t="s">
        <v>103</v>
      </c>
      <c r="I399" t="s">
        <v>125</v>
      </c>
      <c r="J399" s="5">
        <v>5</v>
      </c>
      <c r="K399" s="6">
        <v>137</v>
      </c>
      <c r="L399" s="6">
        <v>89</v>
      </c>
      <c r="M399" s="7">
        <v>94</v>
      </c>
      <c r="N399" s="8">
        <v>76</v>
      </c>
      <c r="O399" s="8">
        <v>102</v>
      </c>
      <c r="P399" s="8">
        <v>52</v>
      </c>
      <c r="Q399" s="4" t="s">
        <v>126</v>
      </c>
      <c r="R399" s="9">
        <v>24.304617877396701</v>
      </c>
      <c r="S399" s="4" t="s">
        <v>174</v>
      </c>
    </row>
    <row r="400" spans="1:19" x14ac:dyDescent="0.35">
      <c r="A400">
        <v>403</v>
      </c>
      <c r="B400">
        <v>29</v>
      </c>
      <c r="C400" t="s">
        <v>64</v>
      </c>
      <c r="D400" t="s">
        <v>101</v>
      </c>
      <c r="E400" s="10">
        <v>400</v>
      </c>
      <c r="F400" t="s">
        <v>69</v>
      </c>
      <c r="G400" t="s">
        <v>69</v>
      </c>
      <c r="H400" t="s">
        <v>92</v>
      </c>
      <c r="I400" t="s">
        <v>125</v>
      </c>
      <c r="J400" s="5">
        <v>6</v>
      </c>
      <c r="K400" s="6">
        <v>104</v>
      </c>
      <c r="L400" s="6">
        <v>65</v>
      </c>
      <c r="M400" s="7">
        <v>90</v>
      </c>
      <c r="N400" s="8">
        <v>89</v>
      </c>
      <c r="O400" s="8">
        <v>113</v>
      </c>
      <c r="P400" s="8">
        <v>64</v>
      </c>
      <c r="Q400" s="4" t="s">
        <v>127</v>
      </c>
      <c r="R400" s="9">
        <v>26.874496103198062</v>
      </c>
      <c r="S400" s="4" t="s">
        <v>175</v>
      </c>
    </row>
    <row r="401" spans="1:19" x14ac:dyDescent="0.35">
      <c r="A401">
        <v>404</v>
      </c>
      <c r="B401">
        <v>34</v>
      </c>
      <c r="C401" t="s">
        <v>89</v>
      </c>
      <c r="D401" t="s">
        <v>115</v>
      </c>
      <c r="E401" s="10">
        <v>400</v>
      </c>
      <c r="F401" t="s">
        <v>69</v>
      </c>
      <c r="G401" t="s">
        <v>69</v>
      </c>
      <c r="H401" t="s">
        <v>73</v>
      </c>
      <c r="I401" t="s">
        <v>74</v>
      </c>
      <c r="J401" s="5">
        <v>5</v>
      </c>
      <c r="K401" s="6">
        <v>130</v>
      </c>
      <c r="L401" s="6">
        <v>76</v>
      </c>
      <c r="M401" s="7">
        <v>79</v>
      </c>
      <c r="N401" s="8">
        <v>128</v>
      </c>
      <c r="O401" s="8">
        <v>135</v>
      </c>
      <c r="P401" s="8">
        <v>39</v>
      </c>
      <c r="Q401" s="4" t="s">
        <v>127</v>
      </c>
      <c r="R401" s="9">
        <v>26.813590449954088</v>
      </c>
      <c r="S401" s="4" t="s">
        <v>175</v>
      </c>
    </row>
    <row r="402" spans="1:19" x14ac:dyDescent="0.35">
      <c r="A402">
        <v>405</v>
      </c>
      <c r="B402">
        <v>48</v>
      </c>
      <c r="C402" t="s">
        <v>64</v>
      </c>
      <c r="D402" t="s">
        <v>101</v>
      </c>
      <c r="E402" s="10">
        <v>400</v>
      </c>
      <c r="F402" t="s">
        <v>69</v>
      </c>
      <c r="G402" t="s">
        <v>70</v>
      </c>
      <c r="H402" t="s">
        <v>73</v>
      </c>
      <c r="I402" t="s">
        <v>125</v>
      </c>
      <c r="J402" s="5">
        <v>4</v>
      </c>
      <c r="K402" s="6">
        <v>105</v>
      </c>
      <c r="L402" s="6">
        <v>66</v>
      </c>
      <c r="M402" s="7">
        <v>104</v>
      </c>
      <c r="N402" s="8">
        <v>138</v>
      </c>
      <c r="O402" s="8">
        <v>55</v>
      </c>
      <c r="P402" s="8">
        <v>56</v>
      </c>
      <c r="Q402" s="4" t="s">
        <v>126</v>
      </c>
      <c r="R402" s="9">
        <v>31.561671506122963</v>
      </c>
      <c r="S402" s="4" t="s">
        <v>174</v>
      </c>
    </row>
    <row r="403" spans="1:19" x14ac:dyDescent="0.35">
      <c r="A403">
        <v>406</v>
      </c>
      <c r="B403">
        <v>26</v>
      </c>
      <c r="C403" t="s">
        <v>64</v>
      </c>
      <c r="D403" t="s">
        <v>101</v>
      </c>
      <c r="E403" s="10">
        <v>400</v>
      </c>
      <c r="F403" t="s">
        <v>69</v>
      </c>
      <c r="G403" t="s">
        <v>69</v>
      </c>
      <c r="H403" t="s">
        <v>92</v>
      </c>
      <c r="I403" t="s">
        <v>125</v>
      </c>
      <c r="J403" s="5">
        <v>5</v>
      </c>
      <c r="K403" s="6">
        <v>118</v>
      </c>
      <c r="L403" s="6">
        <v>78</v>
      </c>
      <c r="M403" s="7">
        <v>94</v>
      </c>
      <c r="N403" s="8">
        <v>111</v>
      </c>
      <c r="O403" s="8">
        <v>130</v>
      </c>
      <c r="P403" s="8">
        <v>41</v>
      </c>
      <c r="Q403" s="4" t="s">
        <v>126</v>
      </c>
      <c r="R403" s="9">
        <v>26.423569824283259</v>
      </c>
      <c r="S403" s="4" t="s">
        <v>174</v>
      </c>
    </row>
    <row r="404" spans="1:19" x14ac:dyDescent="0.35">
      <c r="A404">
        <v>407</v>
      </c>
      <c r="B404">
        <v>50</v>
      </c>
      <c r="C404" t="s">
        <v>64</v>
      </c>
      <c r="D404" t="s">
        <v>66</v>
      </c>
      <c r="E404" s="10">
        <v>750</v>
      </c>
      <c r="F404" t="s">
        <v>70</v>
      </c>
      <c r="G404" t="s">
        <v>69</v>
      </c>
      <c r="H404" t="s">
        <v>73</v>
      </c>
      <c r="I404" t="s">
        <v>125</v>
      </c>
      <c r="J404" s="5">
        <v>1</v>
      </c>
      <c r="K404" s="6">
        <v>108</v>
      </c>
      <c r="L404" s="6">
        <v>69</v>
      </c>
      <c r="M404" s="7">
        <v>80</v>
      </c>
      <c r="N404" s="8">
        <v>95</v>
      </c>
      <c r="O404" s="8">
        <v>84</v>
      </c>
      <c r="P404" s="8">
        <v>42</v>
      </c>
      <c r="Q404" s="4" t="s">
        <v>127</v>
      </c>
      <c r="R404" s="9">
        <v>18.710949246550168</v>
      </c>
      <c r="S404" s="4" t="s">
        <v>175</v>
      </c>
    </row>
    <row r="405" spans="1:19" x14ac:dyDescent="0.35">
      <c r="A405">
        <v>408</v>
      </c>
      <c r="B405">
        <v>66</v>
      </c>
      <c r="C405" t="s">
        <v>89</v>
      </c>
      <c r="D405" t="s">
        <v>66</v>
      </c>
      <c r="E405" s="10">
        <v>300</v>
      </c>
      <c r="F405" t="s">
        <v>69</v>
      </c>
      <c r="G405" t="s">
        <v>69</v>
      </c>
      <c r="H405" t="s">
        <v>103</v>
      </c>
      <c r="I405" t="s">
        <v>125</v>
      </c>
      <c r="J405" s="5">
        <v>10</v>
      </c>
      <c r="K405" s="6">
        <v>232</v>
      </c>
      <c r="L405" s="6">
        <v>94</v>
      </c>
      <c r="M405" s="7">
        <v>76</v>
      </c>
      <c r="N405" s="8">
        <v>99</v>
      </c>
      <c r="O405" s="8">
        <v>149</v>
      </c>
      <c r="P405" s="8">
        <v>38</v>
      </c>
      <c r="Q405" s="4" t="s">
        <v>126</v>
      </c>
      <c r="R405" s="9">
        <v>17.630853994490359</v>
      </c>
      <c r="S405" s="4" t="s">
        <v>174</v>
      </c>
    </row>
    <row r="406" spans="1:19" x14ac:dyDescent="0.35">
      <c r="A406">
        <v>409</v>
      </c>
      <c r="B406">
        <v>54</v>
      </c>
      <c r="C406" t="s">
        <v>64</v>
      </c>
      <c r="D406" t="s">
        <v>66</v>
      </c>
      <c r="E406" s="10">
        <v>500</v>
      </c>
      <c r="F406" t="s">
        <v>69</v>
      </c>
      <c r="G406" t="s">
        <v>69</v>
      </c>
      <c r="H406" t="s">
        <v>92</v>
      </c>
      <c r="I406" t="s">
        <v>125</v>
      </c>
      <c r="J406" s="5">
        <v>5</v>
      </c>
      <c r="K406" s="6">
        <v>125</v>
      </c>
      <c r="L406" s="6">
        <v>83</v>
      </c>
      <c r="M406" s="7">
        <v>105</v>
      </c>
      <c r="N406" s="8">
        <v>210</v>
      </c>
      <c r="O406" s="8">
        <v>144</v>
      </c>
      <c r="P406" s="8">
        <v>52</v>
      </c>
      <c r="Q406" s="4" t="s">
        <v>126</v>
      </c>
      <c r="R406" s="9">
        <v>31.708283789139912</v>
      </c>
      <c r="S406" s="4" t="s">
        <v>174</v>
      </c>
    </row>
    <row r="407" spans="1:19" x14ac:dyDescent="0.35">
      <c r="A407">
        <v>410</v>
      </c>
      <c r="B407">
        <v>25</v>
      </c>
      <c r="C407" t="s">
        <v>89</v>
      </c>
      <c r="D407" t="s">
        <v>66</v>
      </c>
      <c r="E407" s="10">
        <v>750</v>
      </c>
      <c r="F407" t="s">
        <v>69</v>
      </c>
      <c r="G407" t="s">
        <v>69</v>
      </c>
      <c r="H407" t="s">
        <v>103</v>
      </c>
      <c r="I407" t="s">
        <v>74</v>
      </c>
      <c r="J407" s="5">
        <v>1</v>
      </c>
      <c r="K407" s="6">
        <v>123</v>
      </c>
      <c r="L407" s="6">
        <v>71</v>
      </c>
      <c r="M407" s="7">
        <v>96</v>
      </c>
      <c r="N407" s="8">
        <v>91</v>
      </c>
      <c r="O407" s="8">
        <v>64</v>
      </c>
      <c r="P407" s="8">
        <v>38</v>
      </c>
      <c r="Q407" s="4" t="s">
        <v>126</v>
      </c>
      <c r="R407" s="9">
        <v>24.767565919829291</v>
      </c>
      <c r="S407" s="4" t="s">
        <v>174</v>
      </c>
    </row>
    <row r="408" spans="1:19" x14ac:dyDescent="0.35">
      <c r="A408">
        <v>411</v>
      </c>
      <c r="B408">
        <v>29</v>
      </c>
      <c r="C408" t="s">
        <v>64</v>
      </c>
      <c r="D408" t="s">
        <v>115</v>
      </c>
      <c r="E408" s="10">
        <v>300</v>
      </c>
      <c r="F408" t="s">
        <v>69</v>
      </c>
      <c r="G408" t="s">
        <v>70</v>
      </c>
      <c r="H408" t="s">
        <v>73</v>
      </c>
      <c r="I408" t="s">
        <v>125</v>
      </c>
      <c r="J408" s="5">
        <v>4</v>
      </c>
      <c r="K408" s="6">
        <v>124</v>
      </c>
      <c r="L408" s="6">
        <v>58</v>
      </c>
      <c r="M408" s="7">
        <v>77</v>
      </c>
      <c r="N408" s="8">
        <v>99</v>
      </c>
      <c r="O408" s="8">
        <v>69</v>
      </c>
      <c r="P408" s="8">
        <v>44</v>
      </c>
      <c r="Q408" s="4" t="s">
        <v>126</v>
      </c>
      <c r="R408" s="9">
        <v>16.891891891891891</v>
      </c>
      <c r="S408" s="4" t="s">
        <v>174</v>
      </c>
    </row>
    <row r="409" spans="1:19" x14ac:dyDescent="0.35">
      <c r="A409">
        <v>412</v>
      </c>
      <c r="B409">
        <v>69</v>
      </c>
      <c r="C409" t="s">
        <v>64</v>
      </c>
      <c r="D409" t="s">
        <v>90</v>
      </c>
      <c r="E409" s="10">
        <v>600</v>
      </c>
      <c r="F409" t="s">
        <v>70</v>
      </c>
      <c r="G409" t="s">
        <v>69</v>
      </c>
      <c r="H409" t="s">
        <v>92</v>
      </c>
      <c r="I409" t="s">
        <v>125</v>
      </c>
      <c r="J409" s="5">
        <v>8</v>
      </c>
      <c r="K409" s="6">
        <v>162</v>
      </c>
      <c r="L409" s="6">
        <v>82</v>
      </c>
      <c r="M409" s="7">
        <v>112</v>
      </c>
      <c r="N409" s="8">
        <v>95</v>
      </c>
      <c r="O409" s="8">
        <v>107</v>
      </c>
      <c r="P409" s="8">
        <v>26</v>
      </c>
      <c r="Q409" s="4" t="s">
        <v>127</v>
      </c>
      <c r="R409" s="9">
        <v>27.609451755172291</v>
      </c>
      <c r="S409" s="4" t="s">
        <v>175</v>
      </c>
    </row>
    <row r="410" spans="1:19" x14ac:dyDescent="0.35">
      <c r="A410">
        <v>413</v>
      </c>
      <c r="B410">
        <v>31</v>
      </c>
      <c r="C410" t="s">
        <v>89</v>
      </c>
      <c r="D410" t="s">
        <v>66</v>
      </c>
      <c r="E410" s="10">
        <v>1200</v>
      </c>
      <c r="F410" t="s">
        <v>69</v>
      </c>
      <c r="G410" t="s">
        <v>69</v>
      </c>
      <c r="H410" t="s">
        <v>92</v>
      </c>
      <c r="I410" t="s">
        <v>74</v>
      </c>
      <c r="J410" s="5">
        <v>1</v>
      </c>
      <c r="K410" s="6">
        <v>108</v>
      </c>
      <c r="L410" s="6">
        <v>70</v>
      </c>
      <c r="M410" s="7">
        <v>100</v>
      </c>
      <c r="N410" s="8">
        <v>111</v>
      </c>
      <c r="O410" s="8">
        <v>51</v>
      </c>
      <c r="P410" s="8">
        <v>53</v>
      </c>
      <c r="Q410" s="4" t="s">
        <v>127</v>
      </c>
      <c r="R410" s="9">
        <v>27.475629493018182</v>
      </c>
      <c r="S410" s="4" t="s">
        <v>175</v>
      </c>
    </row>
    <row r="411" spans="1:19" x14ac:dyDescent="0.35">
      <c r="A411">
        <v>414</v>
      </c>
      <c r="B411">
        <v>25</v>
      </c>
      <c r="C411" t="s">
        <v>89</v>
      </c>
      <c r="D411" t="s">
        <v>66</v>
      </c>
      <c r="E411" s="10">
        <v>700</v>
      </c>
      <c r="F411" t="s">
        <v>69</v>
      </c>
      <c r="G411" t="s">
        <v>69</v>
      </c>
      <c r="H411" t="s">
        <v>92</v>
      </c>
      <c r="I411" t="s">
        <v>125</v>
      </c>
      <c r="J411" s="5">
        <v>7</v>
      </c>
      <c r="K411" s="6">
        <v>111</v>
      </c>
      <c r="L411" s="6">
        <v>68</v>
      </c>
      <c r="M411" s="7">
        <v>66</v>
      </c>
      <c r="N411" s="8">
        <v>75</v>
      </c>
      <c r="O411" s="8">
        <v>55</v>
      </c>
      <c r="P411" s="8">
        <v>62</v>
      </c>
      <c r="Q411" s="4" t="s">
        <v>126</v>
      </c>
      <c r="R411" s="9">
        <v>19.948059768903612</v>
      </c>
      <c r="S411" s="4" t="s">
        <v>174</v>
      </c>
    </row>
    <row r="412" spans="1:19" x14ac:dyDescent="0.35">
      <c r="A412">
        <v>415</v>
      </c>
      <c r="B412">
        <v>28</v>
      </c>
      <c r="C412" t="s">
        <v>64</v>
      </c>
      <c r="D412" t="s">
        <v>101</v>
      </c>
      <c r="E412" s="10">
        <v>500</v>
      </c>
      <c r="F412" t="s">
        <v>69</v>
      </c>
      <c r="G412" t="s">
        <v>69</v>
      </c>
      <c r="H412" t="s">
        <v>92</v>
      </c>
      <c r="I412" t="s">
        <v>125</v>
      </c>
      <c r="J412" s="5">
        <v>5</v>
      </c>
      <c r="K412" s="6">
        <v>130</v>
      </c>
      <c r="L412" s="6">
        <v>75</v>
      </c>
      <c r="M412" s="7">
        <v>89</v>
      </c>
      <c r="N412" s="8">
        <v>114</v>
      </c>
      <c r="O412" s="8">
        <v>115</v>
      </c>
      <c r="P412" s="8">
        <v>55</v>
      </c>
      <c r="Q412" s="4" t="s">
        <v>126</v>
      </c>
      <c r="R412" s="9">
        <v>22.491349480968861</v>
      </c>
      <c r="S412" s="4" t="s">
        <v>174</v>
      </c>
    </row>
    <row r="413" spans="1:19" x14ac:dyDescent="0.35">
      <c r="A413">
        <v>416</v>
      </c>
      <c r="B413">
        <v>45</v>
      </c>
      <c r="C413" t="s">
        <v>89</v>
      </c>
      <c r="D413" t="s">
        <v>66</v>
      </c>
      <c r="E413" s="10">
        <v>500</v>
      </c>
      <c r="F413" t="s">
        <v>69</v>
      </c>
      <c r="G413" t="s">
        <v>69</v>
      </c>
      <c r="H413" t="s">
        <v>103</v>
      </c>
      <c r="I413" t="s">
        <v>125</v>
      </c>
      <c r="J413" s="5">
        <v>2</v>
      </c>
      <c r="K413" s="6">
        <v>100</v>
      </c>
      <c r="L413" s="6">
        <v>74</v>
      </c>
      <c r="M413" s="7">
        <v>94</v>
      </c>
      <c r="N413" s="8">
        <v>109</v>
      </c>
      <c r="O413" s="8">
        <v>104</v>
      </c>
      <c r="P413" s="8">
        <v>51</v>
      </c>
      <c r="Q413" s="4" t="s">
        <v>126</v>
      </c>
      <c r="R413" s="9">
        <v>23.624447492760247</v>
      </c>
      <c r="S413" s="4" t="s">
        <v>174</v>
      </c>
    </row>
    <row r="414" spans="1:19" x14ac:dyDescent="0.35">
      <c r="A414">
        <v>417</v>
      </c>
      <c r="B414">
        <v>39</v>
      </c>
      <c r="C414" t="s">
        <v>89</v>
      </c>
      <c r="D414" t="s">
        <v>66</v>
      </c>
      <c r="E414" s="10">
        <v>250</v>
      </c>
      <c r="F414" t="s">
        <v>69</v>
      </c>
      <c r="G414" t="s">
        <v>69</v>
      </c>
      <c r="H414" t="s">
        <v>73</v>
      </c>
      <c r="I414" t="s">
        <v>125</v>
      </c>
      <c r="J414" s="5">
        <v>10</v>
      </c>
      <c r="K414" s="6">
        <v>150</v>
      </c>
      <c r="L414" s="6">
        <v>89</v>
      </c>
      <c r="M414" s="7">
        <v>90</v>
      </c>
      <c r="N414" s="8">
        <v>141</v>
      </c>
      <c r="O414" s="8">
        <v>53</v>
      </c>
      <c r="P414" s="8">
        <v>52</v>
      </c>
      <c r="Q414" s="4" t="s">
        <v>127</v>
      </c>
      <c r="R414" s="9">
        <v>25.20398137468495</v>
      </c>
      <c r="S414" s="4" t="s">
        <v>175</v>
      </c>
    </row>
    <row r="415" spans="1:19" x14ac:dyDescent="0.35">
      <c r="A415">
        <v>418</v>
      </c>
      <c r="B415">
        <v>41</v>
      </c>
      <c r="C415" t="s">
        <v>64</v>
      </c>
      <c r="D415" t="s">
        <v>101</v>
      </c>
      <c r="E415" s="10">
        <v>600</v>
      </c>
      <c r="F415" t="s">
        <v>70</v>
      </c>
      <c r="G415" t="s">
        <v>69</v>
      </c>
      <c r="H415" t="s">
        <v>92</v>
      </c>
      <c r="I415" t="s">
        <v>125</v>
      </c>
      <c r="J415" s="5">
        <v>8</v>
      </c>
      <c r="K415" s="6">
        <v>140</v>
      </c>
      <c r="L415" s="6">
        <v>87</v>
      </c>
      <c r="M415" s="7">
        <v>96</v>
      </c>
      <c r="N415" s="8">
        <v>116</v>
      </c>
      <c r="O415" s="8">
        <v>148</v>
      </c>
      <c r="P415" s="8">
        <v>65</v>
      </c>
      <c r="Q415" s="4" t="s">
        <v>127</v>
      </c>
      <c r="R415" s="9">
        <v>28.731921487603305</v>
      </c>
      <c r="S415" s="4" t="s">
        <v>175</v>
      </c>
    </row>
    <row r="416" spans="1:19" x14ac:dyDescent="0.35">
      <c r="A416">
        <v>419</v>
      </c>
      <c r="B416">
        <v>71</v>
      </c>
      <c r="C416" t="s">
        <v>64</v>
      </c>
      <c r="D416" t="s">
        <v>101</v>
      </c>
      <c r="E416" s="10">
        <v>300</v>
      </c>
      <c r="F416" t="s">
        <v>69</v>
      </c>
      <c r="G416" t="s">
        <v>70</v>
      </c>
      <c r="H416" t="s">
        <v>103</v>
      </c>
      <c r="I416" t="s">
        <v>125</v>
      </c>
      <c r="J416" s="5">
        <v>12</v>
      </c>
      <c r="K416" s="6">
        <v>162</v>
      </c>
      <c r="L416" s="6">
        <v>98</v>
      </c>
      <c r="M416" s="7">
        <v>110</v>
      </c>
      <c r="N416" s="8">
        <v>125</v>
      </c>
      <c r="O416" s="8">
        <v>165</v>
      </c>
      <c r="P416" s="8">
        <v>35</v>
      </c>
      <c r="Q416" s="4" t="s">
        <v>127</v>
      </c>
      <c r="R416" s="9">
        <v>30.717399920729289</v>
      </c>
      <c r="S416" s="4" t="s">
        <v>175</v>
      </c>
    </row>
    <row r="417" spans="1:19" x14ac:dyDescent="0.35">
      <c r="A417">
        <v>420</v>
      </c>
      <c r="B417">
        <v>57</v>
      </c>
      <c r="C417" t="s">
        <v>64</v>
      </c>
      <c r="D417" t="s">
        <v>90</v>
      </c>
      <c r="E417" s="10">
        <v>700</v>
      </c>
      <c r="F417" t="s">
        <v>69</v>
      </c>
      <c r="G417" t="s">
        <v>69</v>
      </c>
      <c r="H417" t="s">
        <v>92</v>
      </c>
      <c r="I417" t="s">
        <v>74</v>
      </c>
      <c r="J417" s="5">
        <v>4</v>
      </c>
      <c r="K417" s="6">
        <v>110</v>
      </c>
      <c r="L417" s="6">
        <v>98</v>
      </c>
      <c r="M417" s="7">
        <v>93</v>
      </c>
      <c r="N417" s="8">
        <v>94</v>
      </c>
      <c r="O417" s="8">
        <v>130</v>
      </c>
      <c r="P417" s="8">
        <v>70</v>
      </c>
      <c r="Q417" s="4" t="s">
        <v>126</v>
      </c>
      <c r="R417" s="9">
        <v>30.38710529792575</v>
      </c>
      <c r="S417" s="4" t="s">
        <v>174</v>
      </c>
    </row>
    <row r="418" spans="1:19" x14ac:dyDescent="0.35">
      <c r="A418">
        <v>421</v>
      </c>
      <c r="B418">
        <v>37</v>
      </c>
      <c r="C418" t="s">
        <v>64</v>
      </c>
      <c r="D418" t="s">
        <v>90</v>
      </c>
      <c r="E418" s="10">
        <v>400</v>
      </c>
      <c r="F418" t="s">
        <v>69</v>
      </c>
      <c r="G418" t="s">
        <v>69</v>
      </c>
      <c r="H418" t="s">
        <v>92</v>
      </c>
      <c r="I418" t="s">
        <v>125</v>
      </c>
      <c r="J418" s="5">
        <v>4</v>
      </c>
      <c r="K418" s="6">
        <v>110</v>
      </c>
      <c r="L418" s="6">
        <v>78</v>
      </c>
      <c r="M418" s="7">
        <v>88</v>
      </c>
      <c r="N418" s="8">
        <v>100</v>
      </c>
      <c r="O418" s="8">
        <v>112</v>
      </c>
      <c r="P418" s="8">
        <v>35</v>
      </c>
      <c r="Q418" s="4" t="s">
        <v>127</v>
      </c>
      <c r="R418" s="9">
        <v>24.535123966942148</v>
      </c>
      <c r="S418" s="4" t="s">
        <v>175</v>
      </c>
    </row>
    <row r="419" spans="1:19" x14ac:dyDescent="0.35">
      <c r="A419">
        <v>422</v>
      </c>
      <c r="B419">
        <v>47</v>
      </c>
      <c r="C419" t="s">
        <v>64</v>
      </c>
      <c r="D419" t="s">
        <v>66</v>
      </c>
      <c r="E419" s="10">
        <v>400</v>
      </c>
      <c r="F419" t="s">
        <v>69</v>
      </c>
      <c r="G419" t="s">
        <v>70</v>
      </c>
      <c r="H419" t="s">
        <v>73</v>
      </c>
      <c r="I419" t="s">
        <v>125</v>
      </c>
      <c r="J419" s="5">
        <v>3</v>
      </c>
      <c r="K419" s="6">
        <v>110</v>
      </c>
      <c r="L419" s="6">
        <v>76</v>
      </c>
      <c r="M419" s="7">
        <v>86</v>
      </c>
      <c r="N419" s="8">
        <v>88</v>
      </c>
      <c r="O419" s="8">
        <v>140</v>
      </c>
      <c r="P419" s="8">
        <v>60</v>
      </c>
      <c r="Q419" s="4" t="s">
        <v>127</v>
      </c>
      <c r="R419" s="9">
        <v>27.636054421768712</v>
      </c>
      <c r="S419" s="4" t="s">
        <v>175</v>
      </c>
    </row>
    <row r="420" spans="1:19" x14ac:dyDescent="0.35">
      <c r="A420">
        <v>423</v>
      </c>
      <c r="B420">
        <v>61</v>
      </c>
      <c r="C420" t="s">
        <v>89</v>
      </c>
      <c r="D420" t="s">
        <v>90</v>
      </c>
      <c r="E420" s="10">
        <v>700</v>
      </c>
      <c r="F420" t="s">
        <v>69</v>
      </c>
      <c r="G420" t="s">
        <v>69</v>
      </c>
      <c r="H420" t="s">
        <v>92</v>
      </c>
      <c r="I420" t="s">
        <v>125</v>
      </c>
      <c r="J420" s="5">
        <v>6</v>
      </c>
      <c r="K420" s="6">
        <v>160</v>
      </c>
      <c r="L420" s="6">
        <v>108</v>
      </c>
      <c r="M420" s="7">
        <v>94</v>
      </c>
      <c r="N420" s="8">
        <v>132</v>
      </c>
      <c r="O420" s="8">
        <v>120</v>
      </c>
      <c r="P420" s="8">
        <v>40</v>
      </c>
      <c r="Q420" s="4" t="s">
        <v>127</v>
      </c>
      <c r="R420" s="9">
        <v>31.231409875074366</v>
      </c>
      <c r="S420" s="4" t="s">
        <v>175</v>
      </c>
    </row>
    <row r="421" spans="1:19" x14ac:dyDescent="0.35">
      <c r="A421">
        <v>424</v>
      </c>
      <c r="B421">
        <v>49</v>
      </c>
      <c r="C421" t="s">
        <v>89</v>
      </c>
      <c r="D421" t="s">
        <v>90</v>
      </c>
      <c r="E421" s="10">
        <v>500</v>
      </c>
      <c r="F421" t="s">
        <v>69</v>
      </c>
      <c r="G421" t="s">
        <v>69</v>
      </c>
      <c r="H421" t="s">
        <v>73</v>
      </c>
      <c r="I421" t="s">
        <v>125</v>
      </c>
      <c r="J421" s="5">
        <v>4</v>
      </c>
      <c r="K421" s="6">
        <v>134</v>
      </c>
      <c r="L421" s="6">
        <v>83</v>
      </c>
      <c r="M421" s="7">
        <v>100</v>
      </c>
      <c r="N421" s="8">
        <v>185</v>
      </c>
      <c r="O421" s="8">
        <v>144</v>
      </c>
      <c r="P421" s="8">
        <v>39</v>
      </c>
      <c r="Q421" s="4" t="s">
        <v>127</v>
      </c>
      <c r="R421" s="9">
        <v>42.669152712538995</v>
      </c>
      <c r="S421" s="4" t="s">
        <v>175</v>
      </c>
    </row>
    <row r="422" spans="1:19" x14ac:dyDescent="0.35">
      <c r="A422">
        <v>425</v>
      </c>
      <c r="B422">
        <v>47</v>
      </c>
      <c r="C422" t="s">
        <v>89</v>
      </c>
      <c r="D422" t="s">
        <v>66</v>
      </c>
      <c r="E422" s="10">
        <v>800</v>
      </c>
      <c r="F422" t="s">
        <v>69</v>
      </c>
      <c r="G422" t="s">
        <v>69</v>
      </c>
      <c r="H422" t="s">
        <v>73</v>
      </c>
      <c r="I422" t="s">
        <v>125</v>
      </c>
      <c r="J422" s="5">
        <v>8</v>
      </c>
      <c r="K422" s="6">
        <v>146</v>
      </c>
      <c r="L422" s="6">
        <v>87</v>
      </c>
      <c r="M422" s="7">
        <v>67</v>
      </c>
      <c r="N422" s="8">
        <v>298</v>
      </c>
      <c r="O422" s="8">
        <v>194</v>
      </c>
      <c r="P422" s="8">
        <v>39</v>
      </c>
      <c r="Q422" s="4" t="s">
        <v>127</v>
      </c>
      <c r="R422" s="9">
        <v>16.974653755642141</v>
      </c>
      <c r="S422" s="4" t="s">
        <v>175</v>
      </c>
    </row>
    <row r="423" spans="1:19" x14ac:dyDescent="0.35">
      <c r="A423">
        <v>426</v>
      </c>
      <c r="B423">
        <v>54</v>
      </c>
      <c r="C423" t="s">
        <v>89</v>
      </c>
      <c r="D423" t="s">
        <v>115</v>
      </c>
      <c r="E423" s="10">
        <v>300</v>
      </c>
      <c r="F423" t="s">
        <v>69</v>
      </c>
      <c r="G423" t="s">
        <v>69</v>
      </c>
      <c r="H423" t="s">
        <v>92</v>
      </c>
      <c r="I423" t="s">
        <v>74</v>
      </c>
      <c r="J423" s="5">
        <v>1</v>
      </c>
      <c r="K423" s="6">
        <v>121</v>
      </c>
      <c r="L423" s="6">
        <v>77</v>
      </c>
      <c r="M423" s="7">
        <v>97</v>
      </c>
      <c r="N423" s="8">
        <v>105</v>
      </c>
      <c r="O423" s="8">
        <v>181</v>
      </c>
      <c r="P423" s="8">
        <v>42</v>
      </c>
      <c r="Q423" s="4" t="s">
        <v>127</v>
      </c>
      <c r="R423" s="9">
        <v>27.005130974885226</v>
      </c>
      <c r="S423" s="4" t="s">
        <v>175</v>
      </c>
    </row>
    <row r="424" spans="1:19" x14ac:dyDescent="0.35">
      <c r="A424">
        <v>427</v>
      </c>
      <c r="B424">
        <v>52</v>
      </c>
      <c r="C424" t="s">
        <v>89</v>
      </c>
      <c r="D424" t="s">
        <v>90</v>
      </c>
      <c r="E424" s="10">
        <v>600</v>
      </c>
      <c r="F424" t="s">
        <v>69</v>
      </c>
      <c r="G424" t="s">
        <v>69</v>
      </c>
      <c r="H424" t="s">
        <v>73</v>
      </c>
      <c r="I424" t="s">
        <v>125</v>
      </c>
      <c r="J424" s="5">
        <v>10</v>
      </c>
      <c r="K424" s="6">
        <v>124</v>
      </c>
      <c r="L424" s="6">
        <v>55</v>
      </c>
      <c r="M424" s="7">
        <v>106</v>
      </c>
      <c r="N424" s="8">
        <v>119</v>
      </c>
      <c r="O424" s="8">
        <v>124</v>
      </c>
      <c r="P424" s="8">
        <v>40</v>
      </c>
      <c r="Q424" s="4" t="s">
        <v>126</v>
      </c>
      <c r="R424" s="9">
        <v>42.871315192743772</v>
      </c>
      <c r="S424" s="4" t="s">
        <v>174</v>
      </c>
    </row>
    <row r="425" spans="1:19" x14ac:dyDescent="0.35">
      <c r="A425">
        <v>428</v>
      </c>
      <c r="B425">
        <v>69</v>
      </c>
      <c r="C425" t="s">
        <v>64</v>
      </c>
      <c r="D425" t="s">
        <v>66</v>
      </c>
      <c r="E425" s="10">
        <v>400</v>
      </c>
      <c r="F425" t="s">
        <v>69</v>
      </c>
      <c r="G425" t="s">
        <v>69</v>
      </c>
      <c r="H425" t="s">
        <v>92</v>
      </c>
      <c r="I425" t="s">
        <v>125</v>
      </c>
      <c r="J425" s="5">
        <v>5</v>
      </c>
      <c r="K425" s="6">
        <v>133</v>
      </c>
      <c r="L425" s="6">
        <v>76</v>
      </c>
      <c r="M425" s="7">
        <v>84</v>
      </c>
      <c r="N425" s="8">
        <v>162</v>
      </c>
      <c r="O425" s="8">
        <v>114</v>
      </c>
      <c r="P425" s="8">
        <v>43</v>
      </c>
      <c r="Q425" s="4" t="s">
        <v>127</v>
      </c>
      <c r="R425" s="9">
        <v>20.380434782608695</v>
      </c>
      <c r="S425" s="4" t="s">
        <v>175</v>
      </c>
    </row>
    <row r="426" spans="1:19" x14ac:dyDescent="0.35">
      <c r="A426">
        <v>429</v>
      </c>
      <c r="B426">
        <v>39</v>
      </c>
      <c r="C426" t="s">
        <v>89</v>
      </c>
      <c r="D426" t="s">
        <v>101</v>
      </c>
      <c r="E426" s="10">
        <v>800</v>
      </c>
      <c r="F426" t="s">
        <v>69</v>
      </c>
      <c r="G426" t="s">
        <v>69</v>
      </c>
      <c r="H426" t="s">
        <v>103</v>
      </c>
      <c r="I426" t="s">
        <v>74</v>
      </c>
      <c r="J426" s="5">
        <v>5</v>
      </c>
      <c r="K426" s="6">
        <v>145</v>
      </c>
      <c r="L426" s="6">
        <v>62</v>
      </c>
      <c r="M426" s="7">
        <v>69</v>
      </c>
      <c r="N426" s="8">
        <v>113</v>
      </c>
      <c r="O426" s="8">
        <v>109</v>
      </c>
      <c r="P426" s="8">
        <v>41</v>
      </c>
      <c r="Q426" s="4" t="s">
        <v>127</v>
      </c>
      <c r="R426" s="9">
        <v>16.015624999999996</v>
      </c>
      <c r="S426" s="4" t="s">
        <v>175</v>
      </c>
    </row>
    <row r="427" spans="1:19" x14ac:dyDescent="0.35">
      <c r="A427">
        <v>430</v>
      </c>
      <c r="B427">
        <v>44</v>
      </c>
      <c r="C427" t="s">
        <v>89</v>
      </c>
      <c r="D427" t="s">
        <v>66</v>
      </c>
      <c r="E427" s="10">
        <v>300</v>
      </c>
      <c r="F427" t="s">
        <v>69</v>
      </c>
      <c r="G427" t="s">
        <v>69</v>
      </c>
      <c r="H427" t="s">
        <v>73</v>
      </c>
      <c r="I427" t="s">
        <v>125</v>
      </c>
      <c r="J427" s="5">
        <v>3</v>
      </c>
      <c r="K427" s="6">
        <v>151</v>
      </c>
      <c r="L427" s="6">
        <v>84</v>
      </c>
      <c r="M427" s="7">
        <v>109</v>
      </c>
      <c r="N427" s="8">
        <v>157</v>
      </c>
      <c r="O427" s="8">
        <v>88</v>
      </c>
      <c r="P427" s="8">
        <v>51</v>
      </c>
      <c r="Q427" s="4" t="s">
        <v>127</v>
      </c>
      <c r="R427" s="9">
        <v>34.74890574359317</v>
      </c>
      <c r="S427" s="4" t="s">
        <v>175</v>
      </c>
    </row>
    <row r="428" spans="1:19" x14ac:dyDescent="0.35">
      <c r="A428">
        <v>431</v>
      </c>
      <c r="B428">
        <v>38</v>
      </c>
      <c r="C428" t="s">
        <v>64</v>
      </c>
      <c r="D428" t="s">
        <v>90</v>
      </c>
      <c r="E428" s="10">
        <v>200</v>
      </c>
      <c r="F428" t="s">
        <v>69</v>
      </c>
      <c r="G428" t="s">
        <v>69</v>
      </c>
      <c r="H428" t="s">
        <v>92</v>
      </c>
      <c r="I428" t="s">
        <v>125</v>
      </c>
      <c r="J428" s="5">
        <v>4</v>
      </c>
      <c r="K428" s="6">
        <v>112</v>
      </c>
      <c r="L428" s="6">
        <v>78</v>
      </c>
      <c r="M428" s="7">
        <v>78</v>
      </c>
      <c r="N428" s="8">
        <v>82</v>
      </c>
      <c r="O428" s="8">
        <v>102</v>
      </c>
      <c r="P428" s="8">
        <v>38</v>
      </c>
      <c r="Q428" s="4" t="s">
        <v>127</v>
      </c>
      <c r="R428" s="9">
        <v>17.901234567901234</v>
      </c>
      <c r="S428" s="4" t="s">
        <v>175</v>
      </c>
    </row>
    <row r="429" spans="1:19" x14ac:dyDescent="0.35">
      <c r="A429">
        <v>432</v>
      </c>
      <c r="B429">
        <v>35</v>
      </c>
      <c r="C429" t="s">
        <v>89</v>
      </c>
      <c r="D429" t="s">
        <v>115</v>
      </c>
      <c r="E429" s="10">
        <v>790</v>
      </c>
      <c r="F429" t="s">
        <v>69</v>
      </c>
      <c r="G429" t="s">
        <v>69</v>
      </c>
      <c r="H429" t="s">
        <v>92</v>
      </c>
      <c r="I429" t="s">
        <v>125</v>
      </c>
      <c r="J429" s="5">
        <v>1</v>
      </c>
      <c r="K429" s="6">
        <v>124</v>
      </c>
      <c r="L429" s="6">
        <v>91</v>
      </c>
      <c r="M429" s="7">
        <v>104</v>
      </c>
      <c r="N429" s="8">
        <v>89</v>
      </c>
      <c r="O429" s="8">
        <v>63</v>
      </c>
      <c r="P429" s="8">
        <v>54</v>
      </c>
      <c r="Q429" s="4" t="s">
        <v>127</v>
      </c>
      <c r="R429" s="9">
        <v>32.179930795847753</v>
      </c>
      <c r="S429" s="4" t="s">
        <v>175</v>
      </c>
    </row>
    <row r="430" spans="1:19" x14ac:dyDescent="0.35">
      <c r="A430">
        <v>433</v>
      </c>
      <c r="B430">
        <v>34</v>
      </c>
      <c r="C430" t="s">
        <v>89</v>
      </c>
      <c r="D430" t="s">
        <v>66</v>
      </c>
      <c r="E430" s="10">
        <v>300</v>
      </c>
      <c r="F430" t="s">
        <v>69</v>
      </c>
      <c r="G430" t="s">
        <v>69</v>
      </c>
      <c r="H430" t="s">
        <v>92</v>
      </c>
      <c r="I430" t="s">
        <v>125</v>
      </c>
      <c r="J430" s="5">
        <v>2</v>
      </c>
      <c r="K430" s="6">
        <v>124</v>
      </c>
      <c r="L430" s="6">
        <v>69</v>
      </c>
      <c r="M430" s="7">
        <v>90</v>
      </c>
      <c r="N430" s="8">
        <v>120</v>
      </c>
      <c r="O430" s="8">
        <v>87</v>
      </c>
      <c r="P430" s="8">
        <v>55</v>
      </c>
      <c r="Q430" s="4" t="s">
        <v>127</v>
      </c>
      <c r="R430" s="9">
        <v>24.343809494085704</v>
      </c>
      <c r="S430" s="4" t="s">
        <v>175</v>
      </c>
    </row>
    <row r="431" spans="1:19" x14ac:dyDescent="0.35">
      <c r="A431">
        <v>434</v>
      </c>
      <c r="B431">
        <v>59</v>
      </c>
      <c r="C431" t="s">
        <v>89</v>
      </c>
      <c r="D431" t="s">
        <v>115</v>
      </c>
      <c r="E431" s="10">
        <v>500</v>
      </c>
      <c r="F431" t="s">
        <v>69</v>
      </c>
      <c r="G431" t="s">
        <v>69</v>
      </c>
      <c r="H431" t="s">
        <v>92</v>
      </c>
      <c r="I431" t="s">
        <v>125</v>
      </c>
      <c r="J431" s="5">
        <v>6</v>
      </c>
      <c r="K431" s="6">
        <v>147</v>
      </c>
      <c r="L431" s="6">
        <v>83</v>
      </c>
      <c r="M431" s="7">
        <v>82</v>
      </c>
      <c r="N431" s="8">
        <v>202</v>
      </c>
      <c r="O431" s="8">
        <v>203</v>
      </c>
      <c r="P431" s="8">
        <v>33</v>
      </c>
      <c r="Q431" s="4" t="s">
        <v>127</v>
      </c>
      <c r="R431" s="9">
        <v>23.722810651876106</v>
      </c>
      <c r="S431" s="4" t="s">
        <v>175</v>
      </c>
    </row>
    <row r="432" spans="1:19" x14ac:dyDescent="0.35">
      <c r="A432">
        <v>435</v>
      </c>
      <c r="B432">
        <v>31</v>
      </c>
      <c r="C432" t="s">
        <v>89</v>
      </c>
      <c r="D432" t="s">
        <v>115</v>
      </c>
      <c r="E432" s="10">
        <v>500</v>
      </c>
      <c r="F432" t="s">
        <v>69</v>
      </c>
      <c r="G432" t="s">
        <v>69</v>
      </c>
      <c r="H432" t="s">
        <v>103</v>
      </c>
      <c r="I432" t="s">
        <v>125</v>
      </c>
      <c r="J432" s="5">
        <v>4</v>
      </c>
      <c r="K432" s="6">
        <v>112</v>
      </c>
      <c r="L432" s="6">
        <v>95</v>
      </c>
      <c r="M432" s="7">
        <v>73</v>
      </c>
      <c r="N432" s="8">
        <v>99</v>
      </c>
      <c r="O432" s="8">
        <v>60</v>
      </c>
      <c r="P432" s="8">
        <v>50</v>
      </c>
      <c r="Q432" s="4" t="s">
        <v>126</v>
      </c>
      <c r="R432" s="9">
        <v>18.206645425580341</v>
      </c>
      <c r="S432" s="4" t="s">
        <v>174</v>
      </c>
    </row>
    <row r="433" spans="1:19" x14ac:dyDescent="0.35">
      <c r="A433">
        <v>436</v>
      </c>
      <c r="B433">
        <v>59</v>
      </c>
      <c r="C433" t="s">
        <v>89</v>
      </c>
      <c r="D433" t="s">
        <v>90</v>
      </c>
      <c r="E433" s="10">
        <v>1200</v>
      </c>
      <c r="F433" t="s">
        <v>69</v>
      </c>
      <c r="G433" t="s">
        <v>69</v>
      </c>
      <c r="H433" t="s">
        <v>73</v>
      </c>
      <c r="I433" t="s">
        <v>125</v>
      </c>
      <c r="J433" s="5">
        <v>4</v>
      </c>
      <c r="K433" s="6">
        <v>182</v>
      </c>
      <c r="L433" s="6">
        <v>104</v>
      </c>
      <c r="M433" s="7">
        <v>106</v>
      </c>
      <c r="N433" s="8">
        <v>132</v>
      </c>
      <c r="O433" s="8">
        <v>73</v>
      </c>
      <c r="P433" s="8">
        <v>28</v>
      </c>
      <c r="Q433" s="4" t="s">
        <v>127</v>
      </c>
      <c r="R433" s="9">
        <v>28.875440053795337</v>
      </c>
      <c r="S433" s="4" t="s">
        <v>175</v>
      </c>
    </row>
    <row r="434" spans="1:19" x14ac:dyDescent="0.35">
      <c r="A434">
        <v>437</v>
      </c>
      <c r="B434">
        <v>39</v>
      </c>
      <c r="C434" t="s">
        <v>89</v>
      </c>
      <c r="D434" t="s">
        <v>90</v>
      </c>
      <c r="E434" s="10">
        <v>600</v>
      </c>
      <c r="F434" t="s">
        <v>69</v>
      </c>
      <c r="G434" t="s">
        <v>69</v>
      </c>
      <c r="H434" t="s">
        <v>103</v>
      </c>
      <c r="I434" t="s">
        <v>125</v>
      </c>
      <c r="J434" s="5">
        <v>4</v>
      </c>
      <c r="K434" s="6">
        <v>134</v>
      </c>
      <c r="L434" s="6">
        <v>80</v>
      </c>
      <c r="M434" s="7">
        <v>111</v>
      </c>
      <c r="N434" s="8">
        <v>90</v>
      </c>
      <c r="O434" s="8">
        <v>84</v>
      </c>
      <c r="P434" s="8">
        <v>26</v>
      </c>
      <c r="Q434" s="4" t="s">
        <v>127</v>
      </c>
      <c r="R434" s="9">
        <v>31.588613406795229</v>
      </c>
      <c r="S434" s="4" t="s">
        <v>175</v>
      </c>
    </row>
    <row r="435" spans="1:19" x14ac:dyDescent="0.35">
      <c r="A435">
        <v>438</v>
      </c>
      <c r="B435">
        <v>36</v>
      </c>
      <c r="C435" t="s">
        <v>89</v>
      </c>
      <c r="D435" t="s">
        <v>66</v>
      </c>
      <c r="E435" s="10">
        <v>400</v>
      </c>
      <c r="F435" t="s">
        <v>69</v>
      </c>
      <c r="G435" t="s">
        <v>69</v>
      </c>
      <c r="H435" t="s">
        <v>92</v>
      </c>
      <c r="I435" t="s">
        <v>125</v>
      </c>
      <c r="J435" s="5">
        <v>2</v>
      </c>
      <c r="K435" s="6">
        <v>173</v>
      </c>
      <c r="L435" s="6">
        <v>98</v>
      </c>
      <c r="M435" s="7">
        <v>62</v>
      </c>
      <c r="N435" s="8">
        <v>95</v>
      </c>
      <c r="O435" s="8">
        <v>55</v>
      </c>
      <c r="P435" s="8">
        <v>64</v>
      </c>
      <c r="Q435" s="4" t="s">
        <v>126</v>
      </c>
      <c r="R435" s="9">
        <v>13.71742112482853</v>
      </c>
      <c r="S435" s="4" t="s">
        <v>174</v>
      </c>
    </row>
    <row r="436" spans="1:19" x14ac:dyDescent="0.35">
      <c r="A436">
        <v>439</v>
      </c>
      <c r="B436">
        <v>35</v>
      </c>
      <c r="C436" t="s">
        <v>89</v>
      </c>
      <c r="D436" t="s">
        <v>115</v>
      </c>
      <c r="E436" s="10">
        <v>130</v>
      </c>
      <c r="F436" t="s">
        <v>69</v>
      </c>
      <c r="G436" t="s">
        <v>69</v>
      </c>
      <c r="H436" t="s">
        <v>92</v>
      </c>
      <c r="I436" t="s">
        <v>125</v>
      </c>
      <c r="J436" s="5">
        <v>6</v>
      </c>
      <c r="K436" s="6">
        <v>127</v>
      </c>
      <c r="L436" s="6">
        <v>97</v>
      </c>
      <c r="M436" s="7">
        <v>113</v>
      </c>
      <c r="N436" s="8">
        <v>93</v>
      </c>
      <c r="O436" s="8">
        <v>146</v>
      </c>
      <c r="P436" s="8">
        <v>52</v>
      </c>
      <c r="Q436" s="4" t="s">
        <v>126</v>
      </c>
      <c r="R436" s="9">
        <v>25.180785123966942</v>
      </c>
      <c r="S436" s="4" t="s">
        <v>174</v>
      </c>
    </row>
    <row r="437" spans="1:19" x14ac:dyDescent="0.35">
      <c r="A437">
        <v>440</v>
      </c>
      <c r="B437">
        <v>61</v>
      </c>
      <c r="C437" t="s">
        <v>64</v>
      </c>
      <c r="D437" t="s">
        <v>90</v>
      </c>
      <c r="E437" s="10">
        <v>500</v>
      </c>
      <c r="F437" t="s">
        <v>69</v>
      </c>
      <c r="G437" t="s">
        <v>69</v>
      </c>
      <c r="H437" t="s">
        <v>92</v>
      </c>
      <c r="I437" t="s">
        <v>124</v>
      </c>
      <c r="J437" s="5">
        <v>6</v>
      </c>
      <c r="K437" s="6">
        <v>120</v>
      </c>
      <c r="L437" s="6">
        <v>78</v>
      </c>
      <c r="M437" s="7">
        <v>113</v>
      </c>
      <c r="N437" s="8">
        <v>85</v>
      </c>
      <c r="O437" s="8">
        <v>55</v>
      </c>
      <c r="P437" s="8">
        <v>80</v>
      </c>
      <c r="Q437" s="4" t="s">
        <v>127</v>
      </c>
      <c r="R437" s="9">
        <v>29.629629629629626</v>
      </c>
      <c r="S437" s="4" t="s">
        <v>175</v>
      </c>
    </row>
    <row r="438" spans="1:19" x14ac:dyDescent="0.35">
      <c r="A438">
        <v>441</v>
      </c>
      <c r="B438">
        <v>30</v>
      </c>
      <c r="C438" t="s">
        <v>89</v>
      </c>
      <c r="D438" t="s">
        <v>115</v>
      </c>
      <c r="E438" s="10">
        <v>380</v>
      </c>
      <c r="F438" t="s">
        <v>69</v>
      </c>
      <c r="G438" t="s">
        <v>69</v>
      </c>
      <c r="H438" t="s">
        <v>92</v>
      </c>
      <c r="I438" t="s">
        <v>125</v>
      </c>
      <c r="J438" s="5">
        <v>2</v>
      </c>
      <c r="K438" s="6">
        <v>146</v>
      </c>
      <c r="L438" s="6">
        <v>81</v>
      </c>
      <c r="M438" s="7">
        <v>103</v>
      </c>
      <c r="N438" s="8">
        <v>111</v>
      </c>
      <c r="O438" s="8">
        <v>73</v>
      </c>
      <c r="P438" s="8">
        <v>70</v>
      </c>
      <c r="Q438" s="4" t="s">
        <v>127</v>
      </c>
      <c r="R438" s="9">
        <v>28.650137741046834</v>
      </c>
      <c r="S438" s="4" t="s">
        <v>175</v>
      </c>
    </row>
    <row r="439" spans="1:19" x14ac:dyDescent="0.35">
      <c r="A439">
        <v>442</v>
      </c>
      <c r="B439">
        <v>29</v>
      </c>
      <c r="C439" t="s">
        <v>89</v>
      </c>
      <c r="D439" t="s">
        <v>66</v>
      </c>
      <c r="E439" s="10">
        <v>200</v>
      </c>
      <c r="F439" t="s">
        <v>69</v>
      </c>
      <c r="G439" t="s">
        <v>69</v>
      </c>
      <c r="H439" t="s">
        <v>73</v>
      </c>
      <c r="I439" t="s">
        <v>125</v>
      </c>
      <c r="J439" s="5">
        <v>10</v>
      </c>
      <c r="K439" s="6">
        <v>158</v>
      </c>
      <c r="L439" s="6">
        <v>95</v>
      </c>
      <c r="M439" s="7">
        <v>102</v>
      </c>
      <c r="N439" s="8">
        <v>103</v>
      </c>
      <c r="O439" s="8">
        <v>61</v>
      </c>
      <c r="P439" s="8">
        <v>34</v>
      </c>
      <c r="Q439" s="4" t="s">
        <v>127</v>
      </c>
      <c r="R439" s="9">
        <v>28.084332107116012</v>
      </c>
      <c r="S439" s="4" t="s">
        <v>175</v>
      </c>
    </row>
    <row r="440" spans="1:19" x14ac:dyDescent="0.35">
      <c r="A440">
        <v>443</v>
      </c>
      <c r="B440">
        <v>20</v>
      </c>
      <c r="C440" t="s">
        <v>89</v>
      </c>
      <c r="D440" t="s">
        <v>90</v>
      </c>
      <c r="E440" s="10">
        <v>1000</v>
      </c>
      <c r="F440" t="s">
        <v>69</v>
      </c>
      <c r="G440" t="s">
        <v>69</v>
      </c>
      <c r="H440" t="s">
        <v>92</v>
      </c>
      <c r="I440" t="s">
        <v>125</v>
      </c>
      <c r="J440" s="5">
        <v>5</v>
      </c>
      <c r="K440" s="6">
        <v>119</v>
      </c>
      <c r="L440" s="6">
        <v>83</v>
      </c>
      <c r="M440" s="7">
        <v>95</v>
      </c>
      <c r="N440" s="8">
        <v>81</v>
      </c>
      <c r="O440" s="8">
        <v>43</v>
      </c>
      <c r="P440" s="8">
        <v>53</v>
      </c>
      <c r="Q440" s="4" t="s">
        <v>127</v>
      </c>
      <c r="R440" s="9">
        <v>21.874999999999996</v>
      </c>
      <c r="S440" s="4" t="s">
        <v>175</v>
      </c>
    </row>
    <row r="441" spans="1:19" x14ac:dyDescent="0.35">
      <c r="A441">
        <v>444</v>
      </c>
      <c r="B441">
        <v>40</v>
      </c>
      <c r="C441" t="s">
        <v>64</v>
      </c>
      <c r="D441" t="s">
        <v>101</v>
      </c>
      <c r="E441" s="10">
        <v>1300</v>
      </c>
      <c r="F441" t="s">
        <v>70</v>
      </c>
      <c r="G441" t="s">
        <v>70</v>
      </c>
      <c r="H441" t="s">
        <v>92</v>
      </c>
      <c r="I441" t="s">
        <v>125</v>
      </c>
      <c r="J441" s="5">
        <v>10</v>
      </c>
      <c r="K441" s="6">
        <v>152</v>
      </c>
      <c r="L441" s="6">
        <v>98</v>
      </c>
      <c r="M441" s="7">
        <v>92</v>
      </c>
      <c r="N441" s="8">
        <v>106</v>
      </c>
      <c r="O441" s="8">
        <v>140</v>
      </c>
      <c r="P441" s="8">
        <v>35</v>
      </c>
      <c r="Q441" s="4" t="s">
        <v>126</v>
      </c>
      <c r="R441" s="9">
        <v>29.410734918245165</v>
      </c>
      <c r="S441" s="4" t="s">
        <v>174</v>
      </c>
    </row>
    <row r="442" spans="1:19" x14ac:dyDescent="0.35">
      <c r="A442">
        <v>445</v>
      </c>
      <c r="B442">
        <v>57</v>
      </c>
      <c r="C442" t="s">
        <v>64</v>
      </c>
      <c r="D442" t="s">
        <v>101</v>
      </c>
      <c r="E442" s="10">
        <v>700</v>
      </c>
      <c r="F442" t="s">
        <v>69</v>
      </c>
      <c r="G442" t="s">
        <v>69</v>
      </c>
      <c r="H442" t="s">
        <v>103</v>
      </c>
      <c r="I442" t="s">
        <v>125</v>
      </c>
      <c r="J442" s="5">
        <v>3</v>
      </c>
      <c r="K442" s="6">
        <v>112</v>
      </c>
      <c r="L442" s="6">
        <v>70</v>
      </c>
      <c r="M442" s="7">
        <v>90</v>
      </c>
      <c r="N442" s="8">
        <v>92</v>
      </c>
      <c r="O442" s="8">
        <v>118</v>
      </c>
      <c r="P442" s="8">
        <v>70</v>
      </c>
      <c r="Q442" s="4" t="s">
        <v>126</v>
      </c>
      <c r="R442" s="9">
        <v>26.196187350082059</v>
      </c>
      <c r="S442" s="4" t="s">
        <v>174</v>
      </c>
    </row>
    <row r="443" spans="1:19" x14ac:dyDescent="0.35">
      <c r="A443">
        <v>446</v>
      </c>
      <c r="B443">
        <v>61</v>
      </c>
      <c r="C443" t="s">
        <v>64</v>
      </c>
      <c r="D443" t="s">
        <v>101</v>
      </c>
      <c r="E443" s="10">
        <v>400</v>
      </c>
      <c r="F443" t="s">
        <v>69</v>
      </c>
      <c r="G443" t="s">
        <v>69</v>
      </c>
      <c r="H443" t="s">
        <v>103</v>
      </c>
      <c r="I443" t="s">
        <v>125</v>
      </c>
      <c r="J443" s="5">
        <v>2</v>
      </c>
      <c r="K443" s="6">
        <v>120</v>
      </c>
      <c r="L443" s="6">
        <v>80</v>
      </c>
      <c r="M443" s="7">
        <v>86</v>
      </c>
      <c r="N443" s="8">
        <v>92</v>
      </c>
      <c r="O443" s="8">
        <v>120</v>
      </c>
      <c r="P443" s="8">
        <v>34</v>
      </c>
      <c r="Q443" s="4" t="s">
        <v>127</v>
      </c>
      <c r="R443" s="9">
        <v>25.762980578676178</v>
      </c>
      <c r="S443" s="4" t="s">
        <v>175</v>
      </c>
    </row>
    <row r="444" spans="1:19" x14ac:dyDescent="0.35">
      <c r="A444">
        <v>447</v>
      </c>
      <c r="B444">
        <v>35</v>
      </c>
      <c r="C444" t="s">
        <v>64</v>
      </c>
      <c r="D444" t="s">
        <v>101</v>
      </c>
      <c r="E444" s="10">
        <v>480</v>
      </c>
      <c r="F444" t="s">
        <v>70</v>
      </c>
      <c r="G444" t="s">
        <v>70</v>
      </c>
      <c r="H444" t="s">
        <v>92</v>
      </c>
      <c r="I444" t="s">
        <v>74</v>
      </c>
      <c r="J444" s="5">
        <v>4</v>
      </c>
      <c r="K444" s="6">
        <v>114</v>
      </c>
      <c r="L444" s="6">
        <v>80</v>
      </c>
      <c r="M444" s="7">
        <v>82</v>
      </c>
      <c r="N444" s="8">
        <v>90</v>
      </c>
      <c r="O444" s="8">
        <v>170</v>
      </c>
      <c r="P444" s="8">
        <v>38</v>
      </c>
      <c r="Q444" s="4" t="s">
        <v>127</v>
      </c>
      <c r="R444" s="9">
        <v>25.249337204898371</v>
      </c>
      <c r="S444" s="4" t="s">
        <v>175</v>
      </c>
    </row>
    <row r="445" spans="1:19" x14ac:dyDescent="0.35">
      <c r="A445">
        <v>448</v>
      </c>
      <c r="B445">
        <v>51</v>
      </c>
      <c r="C445" t="s">
        <v>64</v>
      </c>
      <c r="D445" t="s">
        <v>101</v>
      </c>
      <c r="E445" s="10">
        <v>600</v>
      </c>
      <c r="F445" t="s">
        <v>69</v>
      </c>
      <c r="G445" t="s">
        <v>69</v>
      </c>
      <c r="H445" t="s">
        <v>92</v>
      </c>
      <c r="I445" t="s">
        <v>124</v>
      </c>
      <c r="J445" s="5">
        <v>3</v>
      </c>
      <c r="K445" s="6">
        <v>110</v>
      </c>
      <c r="L445" s="6">
        <v>78</v>
      </c>
      <c r="M445" s="7">
        <v>89</v>
      </c>
      <c r="N445" s="8">
        <v>97</v>
      </c>
      <c r="O445" s="8">
        <v>122</v>
      </c>
      <c r="P445" s="8">
        <v>56</v>
      </c>
      <c r="Q445" s="4" t="s">
        <v>127</v>
      </c>
      <c r="R445" s="9">
        <v>23.243801652892564</v>
      </c>
      <c r="S445" s="4" t="s">
        <v>175</v>
      </c>
    </row>
    <row r="446" spans="1:19" x14ac:dyDescent="0.35">
      <c r="A446">
        <v>449</v>
      </c>
      <c r="B446">
        <v>26</v>
      </c>
      <c r="C446" t="s">
        <v>64</v>
      </c>
      <c r="D446" t="s">
        <v>101</v>
      </c>
      <c r="E446" s="10">
        <v>350</v>
      </c>
      <c r="F446" t="s">
        <v>69</v>
      </c>
      <c r="G446" t="s">
        <v>69</v>
      </c>
      <c r="H446" t="s">
        <v>73</v>
      </c>
      <c r="I446" t="s">
        <v>124</v>
      </c>
      <c r="J446" s="5">
        <v>2</v>
      </c>
      <c r="K446" s="6">
        <v>133</v>
      </c>
      <c r="L446" s="6">
        <v>79</v>
      </c>
      <c r="M446" s="7">
        <v>84</v>
      </c>
      <c r="N446" s="8">
        <v>80</v>
      </c>
      <c r="O446" s="8">
        <v>126</v>
      </c>
      <c r="P446" s="8">
        <v>53</v>
      </c>
      <c r="Q446" s="4" t="s">
        <v>127</v>
      </c>
      <c r="R446" s="9">
        <v>24.302487059714682</v>
      </c>
      <c r="S446" s="4" t="s">
        <v>175</v>
      </c>
    </row>
    <row r="447" spans="1:19" x14ac:dyDescent="0.35">
      <c r="A447">
        <v>450</v>
      </c>
      <c r="B447">
        <v>46</v>
      </c>
      <c r="C447" t="s">
        <v>64</v>
      </c>
      <c r="D447" t="s">
        <v>90</v>
      </c>
      <c r="E447" s="10">
        <v>500</v>
      </c>
      <c r="F447" t="s">
        <v>69</v>
      </c>
      <c r="G447" t="s">
        <v>70</v>
      </c>
      <c r="H447" t="s">
        <v>73</v>
      </c>
      <c r="I447" t="s">
        <v>74</v>
      </c>
      <c r="J447" s="5">
        <v>1</v>
      </c>
      <c r="K447" s="6">
        <v>99</v>
      </c>
      <c r="L447" s="6">
        <v>72</v>
      </c>
      <c r="M447" s="7">
        <v>79</v>
      </c>
      <c r="N447" s="8">
        <v>228</v>
      </c>
      <c r="O447" s="8">
        <v>121</v>
      </c>
      <c r="P447" s="8">
        <v>28</v>
      </c>
      <c r="Q447" s="4" t="s">
        <v>127</v>
      </c>
      <c r="R447" s="9">
        <v>22.145328719723185</v>
      </c>
      <c r="S447" s="4" t="s">
        <v>175</v>
      </c>
    </row>
    <row r="448" spans="1:19" x14ac:dyDescent="0.35">
      <c r="A448">
        <v>451</v>
      </c>
      <c r="B448">
        <v>45</v>
      </c>
      <c r="C448" t="s">
        <v>64</v>
      </c>
      <c r="D448" t="s">
        <v>101</v>
      </c>
      <c r="E448" s="10">
        <v>400</v>
      </c>
      <c r="F448" t="s">
        <v>69</v>
      </c>
      <c r="G448" t="s">
        <v>69</v>
      </c>
      <c r="H448" t="s">
        <v>92</v>
      </c>
      <c r="I448" t="s">
        <v>125</v>
      </c>
      <c r="J448" s="5">
        <v>1</v>
      </c>
      <c r="K448" s="6">
        <v>120</v>
      </c>
      <c r="L448" s="6">
        <v>82</v>
      </c>
      <c r="M448" s="7">
        <v>87</v>
      </c>
      <c r="N448" s="8">
        <v>71</v>
      </c>
      <c r="O448" s="8">
        <v>55</v>
      </c>
      <c r="P448" s="8">
        <v>50</v>
      </c>
      <c r="Q448" s="4" t="s">
        <v>127</v>
      </c>
      <c r="R448" s="9">
        <v>23.671253629592222</v>
      </c>
      <c r="S448" s="4" t="s">
        <v>175</v>
      </c>
    </row>
    <row r="449" spans="1:19" x14ac:dyDescent="0.35">
      <c r="A449">
        <v>452</v>
      </c>
      <c r="B449">
        <v>38</v>
      </c>
      <c r="C449" t="s">
        <v>64</v>
      </c>
      <c r="D449" t="s">
        <v>101</v>
      </c>
      <c r="E449" s="10">
        <v>800</v>
      </c>
      <c r="F449" t="s">
        <v>69</v>
      </c>
      <c r="G449" t="s">
        <v>69</v>
      </c>
      <c r="H449" t="s">
        <v>92</v>
      </c>
      <c r="I449" t="s">
        <v>74</v>
      </c>
      <c r="J449" s="5">
        <v>2</v>
      </c>
      <c r="K449" s="6">
        <v>107</v>
      </c>
      <c r="L449" s="6">
        <v>82</v>
      </c>
      <c r="M449" s="7">
        <v>92</v>
      </c>
      <c r="N449" s="8">
        <v>93</v>
      </c>
      <c r="O449" s="8">
        <v>170</v>
      </c>
      <c r="P449" s="8">
        <v>70</v>
      </c>
      <c r="Q449" s="4" t="s">
        <v>126</v>
      </c>
      <c r="R449" s="9">
        <v>29.737044338267232</v>
      </c>
      <c r="S449" s="4" t="s">
        <v>174</v>
      </c>
    </row>
    <row r="450" spans="1:19" x14ac:dyDescent="0.35">
      <c r="A450">
        <v>453</v>
      </c>
      <c r="B450">
        <v>55</v>
      </c>
      <c r="C450" t="s">
        <v>64</v>
      </c>
      <c r="D450" t="s">
        <v>90</v>
      </c>
      <c r="E450" s="10">
        <v>800</v>
      </c>
      <c r="F450" t="s">
        <v>69</v>
      </c>
      <c r="G450" t="s">
        <v>69</v>
      </c>
      <c r="H450" t="s">
        <v>92</v>
      </c>
      <c r="I450" t="s">
        <v>125</v>
      </c>
      <c r="J450" s="5">
        <v>4</v>
      </c>
      <c r="K450" s="6">
        <v>110</v>
      </c>
      <c r="L450" s="6">
        <v>72</v>
      </c>
      <c r="M450" s="7">
        <v>88</v>
      </c>
      <c r="N450" s="8">
        <v>97</v>
      </c>
      <c r="O450" s="8">
        <v>140</v>
      </c>
      <c r="P450" s="8">
        <v>40</v>
      </c>
      <c r="Q450" s="4" t="s">
        <v>127</v>
      </c>
      <c r="R450" s="9">
        <v>25.826446280991735</v>
      </c>
      <c r="S450" s="4" t="s">
        <v>175</v>
      </c>
    </row>
    <row r="451" spans="1:19" x14ac:dyDescent="0.35">
      <c r="A451">
        <v>454</v>
      </c>
      <c r="B451">
        <v>52</v>
      </c>
      <c r="C451" t="s">
        <v>64</v>
      </c>
      <c r="D451" t="s">
        <v>90</v>
      </c>
      <c r="E451" s="10">
        <v>300</v>
      </c>
      <c r="F451" t="s">
        <v>69</v>
      </c>
      <c r="G451" t="s">
        <v>70</v>
      </c>
      <c r="H451" t="s">
        <v>92</v>
      </c>
      <c r="I451" t="s">
        <v>125</v>
      </c>
      <c r="J451" s="5">
        <v>3</v>
      </c>
      <c r="K451" s="6">
        <v>110</v>
      </c>
      <c r="L451" s="6">
        <v>72</v>
      </c>
      <c r="M451" s="7">
        <v>88</v>
      </c>
      <c r="N451" s="8">
        <v>88</v>
      </c>
      <c r="O451" s="8">
        <v>140</v>
      </c>
      <c r="P451" s="8">
        <v>38</v>
      </c>
      <c r="Q451" s="4" t="s">
        <v>127</v>
      </c>
      <c r="R451" s="9">
        <v>27.763429752066116</v>
      </c>
      <c r="S451" s="4" t="s">
        <v>175</v>
      </c>
    </row>
    <row r="452" spans="1:19" x14ac:dyDescent="0.35">
      <c r="A452">
        <v>455</v>
      </c>
      <c r="B452">
        <v>33</v>
      </c>
      <c r="C452" t="s">
        <v>64</v>
      </c>
      <c r="D452" t="s">
        <v>101</v>
      </c>
      <c r="E452" s="10">
        <v>350</v>
      </c>
      <c r="F452" t="s">
        <v>69</v>
      </c>
      <c r="G452" t="s">
        <v>69</v>
      </c>
      <c r="H452" t="s">
        <v>73</v>
      </c>
      <c r="I452" t="s">
        <v>125</v>
      </c>
      <c r="J452" s="5">
        <v>3</v>
      </c>
      <c r="K452" s="6">
        <v>98</v>
      </c>
      <c r="L452" s="6">
        <v>70</v>
      </c>
      <c r="M452" s="7">
        <v>90</v>
      </c>
      <c r="N452" s="8">
        <v>110</v>
      </c>
      <c r="O452" s="8">
        <v>108</v>
      </c>
      <c r="P452" s="8">
        <v>70</v>
      </c>
      <c r="Q452" s="4" t="s">
        <v>127</v>
      </c>
      <c r="R452" s="9">
        <v>26.927437641723358</v>
      </c>
      <c r="S452" s="4" t="s">
        <v>175</v>
      </c>
    </row>
    <row r="453" spans="1:19" x14ac:dyDescent="0.35">
      <c r="A453">
        <v>456</v>
      </c>
      <c r="B453">
        <v>29</v>
      </c>
      <c r="C453" t="s">
        <v>64</v>
      </c>
      <c r="D453" t="s">
        <v>101</v>
      </c>
      <c r="E453" s="10">
        <v>750</v>
      </c>
      <c r="F453" t="s">
        <v>69</v>
      </c>
      <c r="G453" t="s">
        <v>70</v>
      </c>
      <c r="H453" t="s">
        <v>92</v>
      </c>
      <c r="I453" t="s">
        <v>125</v>
      </c>
      <c r="J453" s="5">
        <v>2</v>
      </c>
      <c r="K453" s="6">
        <v>122</v>
      </c>
      <c r="L453" s="6">
        <v>79</v>
      </c>
      <c r="M453" s="7">
        <v>89</v>
      </c>
      <c r="N453" s="8">
        <v>91</v>
      </c>
      <c r="O453" s="8">
        <v>126</v>
      </c>
      <c r="P453" s="8">
        <v>44</v>
      </c>
      <c r="Q453" s="4" t="s">
        <v>127</v>
      </c>
      <c r="R453" s="9">
        <v>25.978679566424791</v>
      </c>
      <c r="S453" s="4" t="s">
        <v>175</v>
      </c>
    </row>
    <row r="454" spans="1:19" x14ac:dyDescent="0.35">
      <c r="A454">
        <v>457</v>
      </c>
      <c r="B454">
        <v>40</v>
      </c>
      <c r="C454" t="s">
        <v>64</v>
      </c>
      <c r="D454" t="s">
        <v>101</v>
      </c>
      <c r="E454" s="10">
        <v>1200</v>
      </c>
      <c r="F454" t="s">
        <v>69</v>
      </c>
      <c r="G454" t="s">
        <v>69</v>
      </c>
      <c r="H454" t="s">
        <v>103</v>
      </c>
      <c r="I454" t="s">
        <v>125</v>
      </c>
      <c r="J454" s="5">
        <v>4</v>
      </c>
      <c r="K454" s="6">
        <v>100</v>
      </c>
      <c r="L454" s="6">
        <v>62</v>
      </c>
      <c r="M454" s="7">
        <v>72</v>
      </c>
      <c r="N454" s="8">
        <v>64</v>
      </c>
      <c r="O454" s="8">
        <v>92</v>
      </c>
      <c r="P454" s="8">
        <v>53</v>
      </c>
      <c r="Q454" s="4" t="s">
        <v>126</v>
      </c>
      <c r="R454" s="9">
        <v>17.239048134126556</v>
      </c>
      <c r="S454" s="4" t="s">
        <v>174</v>
      </c>
    </row>
    <row r="455" spans="1:19" x14ac:dyDescent="0.35">
      <c r="A455">
        <v>458</v>
      </c>
      <c r="B455">
        <v>20</v>
      </c>
      <c r="C455" t="s">
        <v>64</v>
      </c>
      <c r="D455" t="s">
        <v>90</v>
      </c>
      <c r="E455" s="10">
        <v>100</v>
      </c>
      <c r="F455" t="s">
        <v>69</v>
      </c>
      <c r="G455" t="s">
        <v>70</v>
      </c>
      <c r="H455" t="s">
        <v>73</v>
      </c>
      <c r="I455" t="s">
        <v>125</v>
      </c>
      <c r="J455" s="5">
        <v>4</v>
      </c>
      <c r="K455" s="6">
        <v>126</v>
      </c>
      <c r="L455" s="6">
        <v>51</v>
      </c>
      <c r="M455" s="7">
        <v>80</v>
      </c>
      <c r="N455" s="8">
        <v>102</v>
      </c>
      <c r="O455" s="8">
        <v>139</v>
      </c>
      <c r="P455" s="8">
        <v>35</v>
      </c>
      <c r="Q455" s="4" t="s">
        <v>127</v>
      </c>
      <c r="R455" s="9">
        <v>19.591836734693878</v>
      </c>
      <c r="S455" s="4" t="s">
        <v>175</v>
      </c>
    </row>
    <row r="456" spans="1:19" x14ac:dyDescent="0.35">
      <c r="A456">
        <v>459</v>
      </c>
      <c r="B456">
        <v>25</v>
      </c>
      <c r="C456" t="s">
        <v>64</v>
      </c>
      <c r="D456" t="s">
        <v>90</v>
      </c>
      <c r="E456" s="10">
        <v>400</v>
      </c>
      <c r="F456" t="s">
        <v>69</v>
      </c>
      <c r="G456" t="s">
        <v>69</v>
      </c>
      <c r="H456" t="s">
        <v>92</v>
      </c>
      <c r="I456" t="s">
        <v>124</v>
      </c>
      <c r="J456" s="5">
        <v>4</v>
      </c>
      <c r="K456" s="6">
        <v>141</v>
      </c>
      <c r="L456" s="6">
        <v>71</v>
      </c>
      <c r="M456" s="7">
        <v>79</v>
      </c>
      <c r="N456" s="8">
        <v>84</v>
      </c>
      <c r="O456" s="8">
        <v>99</v>
      </c>
      <c r="P456" s="8">
        <v>51</v>
      </c>
      <c r="Q456" s="4" t="s">
        <v>127</v>
      </c>
      <c r="R456" s="9">
        <v>18.673607967406067</v>
      </c>
      <c r="S456" s="4" t="s">
        <v>175</v>
      </c>
    </row>
    <row r="457" spans="1:19" x14ac:dyDescent="0.35">
      <c r="A457">
        <v>460</v>
      </c>
      <c r="B457">
        <v>38</v>
      </c>
      <c r="C457" t="s">
        <v>64</v>
      </c>
      <c r="D457" t="s">
        <v>101</v>
      </c>
      <c r="E457" s="10">
        <v>800</v>
      </c>
      <c r="F457" t="s">
        <v>69</v>
      </c>
      <c r="G457" t="s">
        <v>70</v>
      </c>
      <c r="H457" t="s">
        <v>73</v>
      </c>
      <c r="I457" t="s">
        <v>125</v>
      </c>
      <c r="J457" s="5">
        <v>4</v>
      </c>
      <c r="K457" s="6">
        <v>151</v>
      </c>
      <c r="L457" s="6">
        <v>89</v>
      </c>
      <c r="M457" s="7">
        <v>90</v>
      </c>
      <c r="N457" s="8">
        <v>109</v>
      </c>
      <c r="O457" s="8">
        <v>101</v>
      </c>
      <c r="P457" s="8">
        <v>42</v>
      </c>
      <c r="Q457" s="4" t="s">
        <v>127</v>
      </c>
      <c r="R457" s="9">
        <v>26.196187350082059</v>
      </c>
      <c r="S457" s="4" t="s">
        <v>175</v>
      </c>
    </row>
    <row r="458" spans="1:19" x14ac:dyDescent="0.35">
      <c r="A458">
        <v>461</v>
      </c>
      <c r="B458">
        <v>54</v>
      </c>
      <c r="C458" t="s">
        <v>64</v>
      </c>
      <c r="D458" t="s">
        <v>101</v>
      </c>
      <c r="E458" s="10">
        <v>1000</v>
      </c>
      <c r="F458" t="s">
        <v>69</v>
      </c>
      <c r="G458" t="s">
        <v>69</v>
      </c>
      <c r="H458" t="s">
        <v>103</v>
      </c>
      <c r="I458" t="s">
        <v>125</v>
      </c>
      <c r="J458" s="5">
        <v>5</v>
      </c>
      <c r="K458" s="6">
        <v>140</v>
      </c>
      <c r="L458" s="6">
        <v>80</v>
      </c>
      <c r="M458" s="7">
        <v>96</v>
      </c>
      <c r="N458" s="8">
        <v>103</v>
      </c>
      <c r="O458" s="8">
        <v>68</v>
      </c>
      <c r="P458" s="8">
        <v>82</v>
      </c>
      <c r="Q458" s="4" t="s">
        <v>127</v>
      </c>
      <c r="R458" s="9">
        <v>26.528510346119035</v>
      </c>
      <c r="S458" s="4" t="s">
        <v>175</v>
      </c>
    </row>
    <row r="459" spans="1:19" x14ac:dyDescent="0.35">
      <c r="A459">
        <v>462</v>
      </c>
      <c r="B459">
        <v>81</v>
      </c>
      <c r="C459" t="s">
        <v>64</v>
      </c>
      <c r="D459" t="s">
        <v>115</v>
      </c>
      <c r="E459" s="10">
        <v>500</v>
      </c>
      <c r="F459" t="s">
        <v>70</v>
      </c>
      <c r="G459" t="s">
        <v>70</v>
      </c>
      <c r="H459" t="s">
        <v>92</v>
      </c>
      <c r="I459" t="s">
        <v>125</v>
      </c>
      <c r="J459" s="5">
        <v>4</v>
      </c>
      <c r="K459" s="6">
        <v>115</v>
      </c>
      <c r="L459" s="6">
        <v>75</v>
      </c>
      <c r="M459" s="7">
        <v>110</v>
      </c>
      <c r="N459" s="8">
        <v>77</v>
      </c>
      <c r="O459" s="8">
        <v>111</v>
      </c>
      <c r="P459" s="8">
        <v>39</v>
      </c>
      <c r="Q459" s="4" t="s">
        <v>127</v>
      </c>
      <c r="R459" s="9">
        <v>21.612811791383223</v>
      </c>
      <c r="S459" s="4" t="s">
        <v>175</v>
      </c>
    </row>
    <row r="460" spans="1:19" x14ac:dyDescent="0.35">
      <c r="A460">
        <v>463</v>
      </c>
      <c r="B460">
        <v>36</v>
      </c>
      <c r="C460" t="s">
        <v>64</v>
      </c>
      <c r="D460" t="s">
        <v>90</v>
      </c>
      <c r="E460" s="10">
        <v>600</v>
      </c>
      <c r="F460" t="s">
        <v>69</v>
      </c>
      <c r="G460" t="s">
        <v>69</v>
      </c>
      <c r="H460" t="s">
        <v>92</v>
      </c>
      <c r="I460" t="s">
        <v>125</v>
      </c>
      <c r="J460" s="5">
        <v>2</v>
      </c>
      <c r="K460" s="6">
        <v>99</v>
      </c>
      <c r="L460" s="6">
        <v>67</v>
      </c>
      <c r="M460" s="7">
        <v>78</v>
      </c>
      <c r="N460" s="8">
        <v>89</v>
      </c>
      <c r="O460" s="8">
        <v>143</v>
      </c>
      <c r="P460" s="8">
        <v>38</v>
      </c>
      <c r="Q460" s="4" t="s">
        <v>127</v>
      </c>
      <c r="R460" s="9">
        <v>25.510204081632658</v>
      </c>
      <c r="S460" s="4" t="s">
        <v>175</v>
      </c>
    </row>
    <row r="461" spans="1:19" x14ac:dyDescent="0.35">
      <c r="A461">
        <v>464</v>
      </c>
      <c r="B461">
        <v>56</v>
      </c>
      <c r="C461" t="s">
        <v>64</v>
      </c>
      <c r="D461" t="s">
        <v>101</v>
      </c>
      <c r="E461" s="10">
        <v>600</v>
      </c>
      <c r="F461" t="s">
        <v>69</v>
      </c>
      <c r="G461" t="s">
        <v>70</v>
      </c>
      <c r="H461" t="s">
        <v>92</v>
      </c>
      <c r="I461" t="s">
        <v>74</v>
      </c>
      <c r="J461" s="5">
        <v>3</v>
      </c>
      <c r="K461" s="6">
        <v>112</v>
      </c>
      <c r="L461" s="6">
        <v>76</v>
      </c>
      <c r="M461" s="7">
        <v>87</v>
      </c>
      <c r="N461" s="8">
        <v>88</v>
      </c>
      <c r="O461" s="8">
        <v>132</v>
      </c>
      <c r="P461" s="8">
        <v>58</v>
      </c>
      <c r="Q461" s="4" t="s">
        <v>127</v>
      </c>
      <c r="R461" s="9">
        <v>25.308641975308639</v>
      </c>
      <c r="S461" s="4" t="s">
        <v>175</v>
      </c>
    </row>
    <row r="462" spans="1:19" x14ac:dyDescent="0.35">
      <c r="A462">
        <v>465</v>
      </c>
      <c r="B462">
        <v>57</v>
      </c>
      <c r="C462" t="s">
        <v>64</v>
      </c>
      <c r="D462" t="s">
        <v>66</v>
      </c>
      <c r="E462" s="10">
        <v>480</v>
      </c>
      <c r="F462" t="s">
        <v>69</v>
      </c>
      <c r="G462" t="s">
        <v>69</v>
      </c>
      <c r="H462" t="s">
        <v>92</v>
      </c>
      <c r="I462" t="s">
        <v>125</v>
      </c>
      <c r="J462" s="5">
        <v>4</v>
      </c>
      <c r="K462" s="6">
        <v>105</v>
      </c>
      <c r="L462" s="6">
        <v>70</v>
      </c>
      <c r="M462" s="7">
        <v>90</v>
      </c>
      <c r="N462" s="8">
        <v>82</v>
      </c>
      <c r="O462" s="8">
        <v>136</v>
      </c>
      <c r="P462" s="8">
        <v>53</v>
      </c>
      <c r="Q462" s="4" t="s">
        <v>126</v>
      </c>
      <c r="R462" s="9">
        <v>27.170631566235961</v>
      </c>
      <c r="S462" s="4" t="s">
        <v>174</v>
      </c>
    </row>
    <row r="463" spans="1:19" x14ac:dyDescent="0.35">
      <c r="A463">
        <v>466</v>
      </c>
      <c r="B463">
        <v>32</v>
      </c>
      <c r="C463" t="s">
        <v>64</v>
      </c>
      <c r="D463" t="s">
        <v>101</v>
      </c>
      <c r="E463" s="10">
        <v>400</v>
      </c>
      <c r="F463" t="s">
        <v>69</v>
      </c>
      <c r="G463" t="s">
        <v>70</v>
      </c>
      <c r="H463" t="s">
        <v>92</v>
      </c>
      <c r="I463" t="s">
        <v>125</v>
      </c>
      <c r="J463" s="5">
        <v>3</v>
      </c>
      <c r="K463" s="6">
        <v>100</v>
      </c>
      <c r="L463" s="6">
        <v>68</v>
      </c>
      <c r="M463" s="7">
        <v>86</v>
      </c>
      <c r="N463" s="8">
        <v>88</v>
      </c>
      <c r="O463" s="8">
        <v>120</v>
      </c>
      <c r="P463" s="8">
        <v>65</v>
      </c>
      <c r="Q463" s="4" t="s">
        <v>126</v>
      </c>
      <c r="R463" s="9">
        <v>22.720438370810918</v>
      </c>
      <c r="S463" s="4" t="s">
        <v>174</v>
      </c>
    </row>
    <row r="464" spans="1:19" x14ac:dyDescent="0.35">
      <c r="A464">
        <v>467</v>
      </c>
      <c r="B464">
        <v>69</v>
      </c>
      <c r="C464" t="s">
        <v>89</v>
      </c>
      <c r="D464" t="s">
        <v>66</v>
      </c>
      <c r="E464" s="10">
        <v>150</v>
      </c>
      <c r="F464" t="s">
        <v>69</v>
      </c>
      <c r="G464" t="s">
        <v>69</v>
      </c>
      <c r="H464" t="s">
        <v>92</v>
      </c>
      <c r="I464" t="s">
        <v>125</v>
      </c>
      <c r="J464" s="5">
        <v>12</v>
      </c>
      <c r="K464" s="6">
        <v>175</v>
      </c>
      <c r="L464" s="6">
        <v>100</v>
      </c>
      <c r="M464" s="7">
        <v>90</v>
      </c>
      <c r="N464" s="8">
        <v>115</v>
      </c>
      <c r="O464" s="8">
        <v>119</v>
      </c>
      <c r="P464" s="8">
        <v>51</v>
      </c>
      <c r="Q464" s="4" t="s">
        <v>127</v>
      </c>
      <c r="R464" s="9">
        <v>29.065743944636683</v>
      </c>
      <c r="S464" s="4" t="s">
        <v>175</v>
      </c>
    </row>
    <row r="465" spans="1:19" x14ac:dyDescent="0.35">
      <c r="A465">
        <v>468</v>
      </c>
      <c r="B465">
        <v>35</v>
      </c>
      <c r="C465" t="s">
        <v>89</v>
      </c>
      <c r="D465" t="s">
        <v>101</v>
      </c>
      <c r="E465" s="10">
        <v>600</v>
      </c>
      <c r="F465" t="s">
        <v>69</v>
      </c>
      <c r="G465" t="s">
        <v>69</v>
      </c>
      <c r="H465" t="s">
        <v>103</v>
      </c>
      <c r="I465" t="s">
        <v>124</v>
      </c>
      <c r="J465" s="5">
        <v>2</v>
      </c>
      <c r="K465" s="6">
        <v>105</v>
      </c>
      <c r="L465" s="6">
        <v>66</v>
      </c>
      <c r="M465" s="7">
        <v>81</v>
      </c>
      <c r="N465" s="8">
        <v>108</v>
      </c>
      <c r="O465" s="8">
        <v>100</v>
      </c>
      <c r="P465" s="8">
        <v>51</v>
      </c>
      <c r="Q465" s="4" t="s">
        <v>127</v>
      </c>
      <c r="R465" s="9">
        <v>26.643598615916957</v>
      </c>
      <c r="S465" s="4" t="s">
        <v>175</v>
      </c>
    </row>
    <row r="466" spans="1:19" x14ac:dyDescent="0.35">
      <c r="A466">
        <v>469</v>
      </c>
      <c r="B466">
        <v>44</v>
      </c>
      <c r="C466" t="s">
        <v>89</v>
      </c>
      <c r="D466" t="s">
        <v>115</v>
      </c>
      <c r="E466" s="10">
        <v>600</v>
      </c>
      <c r="F466" t="s">
        <v>69</v>
      </c>
      <c r="G466" t="s">
        <v>69</v>
      </c>
      <c r="H466" t="s">
        <v>103</v>
      </c>
      <c r="I466" t="s">
        <v>125</v>
      </c>
      <c r="J466" s="5">
        <v>2</v>
      </c>
      <c r="K466" s="6">
        <v>162</v>
      </c>
      <c r="L466" s="6">
        <v>96</v>
      </c>
      <c r="M466" s="7">
        <v>104</v>
      </c>
      <c r="N466" s="8">
        <v>86</v>
      </c>
      <c r="O466" s="8">
        <v>105</v>
      </c>
      <c r="P466" s="8">
        <v>57</v>
      </c>
      <c r="Q466" s="4" t="s">
        <v>127</v>
      </c>
      <c r="R466" s="9">
        <v>31.773931855056791</v>
      </c>
      <c r="S466" s="4" t="s">
        <v>175</v>
      </c>
    </row>
    <row r="467" spans="1:19" x14ac:dyDescent="0.35">
      <c r="A467">
        <v>470</v>
      </c>
      <c r="B467">
        <v>43</v>
      </c>
      <c r="C467" t="s">
        <v>89</v>
      </c>
      <c r="D467" t="s">
        <v>115</v>
      </c>
      <c r="E467" s="10">
        <v>200</v>
      </c>
      <c r="F467" t="s">
        <v>69</v>
      </c>
      <c r="G467" t="s">
        <v>69</v>
      </c>
      <c r="H467" t="s">
        <v>103</v>
      </c>
      <c r="I467" t="s">
        <v>125</v>
      </c>
      <c r="J467" s="5">
        <v>6</v>
      </c>
      <c r="K467" s="6">
        <v>117</v>
      </c>
      <c r="L467" s="6">
        <v>98</v>
      </c>
      <c r="M467" s="7">
        <v>76</v>
      </c>
      <c r="N467" s="8">
        <v>103</v>
      </c>
      <c r="O467" s="8">
        <v>77</v>
      </c>
      <c r="P467" s="8">
        <v>35</v>
      </c>
      <c r="Q467" s="4" t="s">
        <v>126</v>
      </c>
      <c r="R467" s="9">
        <v>23.529411764705884</v>
      </c>
      <c r="S467" s="4" t="s">
        <v>174</v>
      </c>
    </row>
    <row r="468" spans="1:19" x14ac:dyDescent="0.35">
      <c r="A468">
        <v>471</v>
      </c>
      <c r="B468">
        <v>49</v>
      </c>
      <c r="C468" t="s">
        <v>89</v>
      </c>
      <c r="D468" t="s">
        <v>115</v>
      </c>
      <c r="E468" s="10">
        <v>500</v>
      </c>
      <c r="F468" t="s">
        <v>69</v>
      </c>
      <c r="G468" t="s">
        <v>69</v>
      </c>
      <c r="H468" t="s">
        <v>92</v>
      </c>
      <c r="I468" t="s">
        <v>125</v>
      </c>
      <c r="J468" s="5">
        <v>8</v>
      </c>
      <c r="K468" s="6">
        <v>118</v>
      </c>
      <c r="L468" s="6">
        <v>85</v>
      </c>
      <c r="M468" s="7">
        <v>99</v>
      </c>
      <c r="N468" s="8">
        <v>300</v>
      </c>
      <c r="O468" s="8">
        <v>149</v>
      </c>
      <c r="P468" s="8">
        <v>40</v>
      </c>
      <c r="Q468" s="4" t="s">
        <v>127</v>
      </c>
      <c r="R468" s="9">
        <v>28.373702422145332</v>
      </c>
      <c r="S468" s="4" t="s">
        <v>175</v>
      </c>
    </row>
    <row r="469" spans="1:19" x14ac:dyDescent="0.35">
      <c r="A469">
        <v>472</v>
      </c>
      <c r="B469">
        <v>69</v>
      </c>
      <c r="C469" t="s">
        <v>89</v>
      </c>
      <c r="D469" t="s">
        <v>90</v>
      </c>
      <c r="E469" s="10">
        <v>700</v>
      </c>
      <c r="F469" t="s">
        <v>70</v>
      </c>
      <c r="G469" t="s">
        <v>69</v>
      </c>
      <c r="H469" t="s">
        <v>92</v>
      </c>
      <c r="I469" t="s">
        <v>125</v>
      </c>
      <c r="J469" s="5">
        <v>4</v>
      </c>
      <c r="K469" s="6">
        <v>169</v>
      </c>
      <c r="L469" s="6">
        <v>117</v>
      </c>
      <c r="M469" s="7">
        <v>110</v>
      </c>
      <c r="N469" s="8">
        <v>152</v>
      </c>
      <c r="O469" s="8">
        <v>121</v>
      </c>
      <c r="P469" s="8">
        <v>36</v>
      </c>
      <c r="Q469" s="4" t="s">
        <v>127</v>
      </c>
      <c r="R469" s="9">
        <v>31.919307989402789</v>
      </c>
      <c r="S469" s="4" t="s">
        <v>175</v>
      </c>
    </row>
    <row r="470" spans="1:19" x14ac:dyDescent="0.35">
      <c r="A470">
        <v>473</v>
      </c>
      <c r="B470">
        <v>49</v>
      </c>
      <c r="C470" t="s">
        <v>89</v>
      </c>
      <c r="D470" t="s">
        <v>66</v>
      </c>
      <c r="E470" s="10">
        <v>700</v>
      </c>
      <c r="F470" t="s">
        <v>69</v>
      </c>
      <c r="G470" t="s">
        <v>69</v>
      </c>
      <c r="H470" t="s">
        <v>103</v>
      </c>
      <c r="I470" t="s">
        <v>125</v>
      </c>
      <c r="J470" s="5">
        <v>4</v>
      </c>
      <c r="K470" s="6">
        <v>179</v>
      </c>
      <c r="L470" s="6">
        <v>88</v>
      </c>
      <c r="M470" s="7">
        <v>90</v>
      </c>
      <c r="N470" s="8">
        <v>159</v>
      </c>
      <c r="O470" s="8">
        <v>102</v>
      </c>
      <c r="P470" s="8">
        <v>51</v>
      </c>
      <c r="Q470" s="4" t="s">
        <v>127</v>
      </c>
      <c r="R470" s="9">
        <v>23.92242299970097</v>
      </c>
      <c r="S470" s="4" t="s">
        <v>175</v>
      </c>
    </row>
    <row r="471" spans="1:19" x14ac:dyDescent="0.35">
      <c r="A471">
        <v>474</v>
      </c>
      <c r="B471">
        <v>48</v>
      </c>
      <c r="C471" t="s">
        <v>89</v>
      </c>
      <c r="D471" t="s">
        <v>66</v>
      </c>
      <c r="E471" s="10">
        <v>450</v>
      </c>
      <c r="F471" t="s">
        <v>69</v>
      </c>
      <c r="G471" t="s">
        <v>69</v>
      </c>
      <c r="H471" t="s">
        <v>92</v>
      </c>
      <c r="I471" t="s">
        <v>125</v>
      </c>
      <c r="J471" s="5">
        <v>4</v>
      </c>
      <c r="K471" s="6">
        <v>162</v>
      </c>
      <c r="L471" s="6">
        <v>105</v>
      </c>
      <c r="M471" s="7">
        <v>100</v>
      </c>
      <c r="N471" s="8">
        <v>78</v>
      </c>
      <c r="O471" s="8">
        <v>77</v>
      </c>
      <c r="P471" s="8">
        <v>53</v>
      </c>
      <c r="Q471" s="4" t="s">
        <v>127</v>
      </c>
      <c r="R471" s="9">
        <v>24.221453287197235</v>
      </c>
      <c r="S471" s="4" t="s">
        <v>175</v>
      </c>
    </row>
    <row r="472" spans="1:19" x14ac:dyDescent="0.35">
      <c r="A472">
        <v>475</v>
      </c>
      <c r="B472">
        <v>57</v>
      </c>
      <c r="C472" t="s">
        <v>89</v>
      </c>
      <c r="D472" t="s">
        <v>115</v>
      </c>
      <c r="E472" s="10">
        <v>800</v>
      </c>
      <c r="F472" t="s">
        <v>69</v>
      </c>
      <c r="G472" t="s">
        <v>69</v>
      </c>
      <c r="H472" t="s">
        <v>92</v>
      </c>
      <c r="I472" t="s">
        <v>125</v>
      </c>
      <c r="J472" s="5">
        <v>8</v>
      </c>
      <c r="K472" s="6">
        <v>140</v>
      </c>
      <c r="L472" s="6">
        <v>80</v>
      </c>
      <c r="M472" s="7">
        <v>117</v>
      </c>
      <c r="N472" s="8">
        <v>86</v>
      </c>
      <c r="O472" s="8">
        <v>68</v>
      </c>
      <c r="P472" s="8">
        <v>70</v>
      </c>
      <c r="Q472" s="4" t="s">
        <v>127</v>
      </c>
      <c r="R472" s="9">
        <v>33.515273388872927</v>
      </c>
      <c r="S472" s="4" t="s">
        <v>175</v>
      </c>
    </row>
    <row r="473" spans="1:19" x14ac:dyDescent="0.35">
      <c r="A473">
        <v>476</v>
      </c>
      <c r="B473">
        <v>58</v>
      </c>
      <c r="C473" t="s">
        <v>89</v>
      </c>
      <c r="D473" t="s">
        <v>115</v>
      </c>
      <c r="E473" s="10">
        <v>500</v>
      </c>
      <c r="F473" t="s">
        <v>69</v>
      </c>
      <c r="G473" t="s">
        <v>69</v>
      </c>
      <c r="H473" t="s">
        <v>73</v>
      </c>
      <c r="I473" t="s">
        <v>125</v>
      </c>
      <c r="J473" s="5">
        <v>4</v>
      </c>
      <c r="K473" s="6">
        <v>162</v>
      </c>
      <c r="L473" s="6">
        <v>89</v>
      </c>
      <c r="M473" s="7">
        <v>77</v>
      </c>
      <c r="N473" s="8">
        <v>95</v>
      </c>
      <c r="O473" s="8">
        <v>47</v>
      </c>
      <c r="P473" s="8">
        <v>63</v>
      </c>
      <c r="Q473" s="4" t="s">
        <v>127</v>
      </c>
      <c r="R473" s="9">
        <v>26.298487836949374</v>
      </c>
      <c r="S473" s="4" t="s">
        <v>175</v>
      </c>
    </row>
    <row r="474" spans="1:19" x14ac:dyDescent="0.35">
      <c r="A474">
        <v>477</v>
      </c>
      <c r="B474">
        <v>19</v>
      </c>
      <c r="C474" t="s">
        <v>64</v>
      </c>
      <c r="D474" t="s">
        <v>90</v>
      </c>
      <c r="E474" s="10">
        <v>300</v>
      </c>
      <c r="F474" t="s">
        <v>69</v>
      </c>
      <c r="G474" t="s">
        <v>69</v>
      </c>
      <c r="H474" t="s">
        <v>73</v>
      </c>
      <c r="I474" t="s">
        <v>125</v>
      </c>
      <c r="J474" s="5">
        <v>3</v>
      </c>
      <c r="K474" s="6">
        <v>116</v>
      </c>
      <c r="L474" s="6">
        <v>69</v>
      </c>
      <c r="M474" s="7">
        <v>82</v>
      </c>
      <c r="N474" s="8">
        <v>94</v>
      </c>
      <c r="O474" s="8">
        <v>88</v>
      </c>
      <c r="P474" s="8">
        <v>54</v>
      </c>
      <c r="Q474" s="4" t="s">
        <v>126</v>
      </c>
      <c r="R474" s="9">
        <v>15.548945375878855</v>
      </c>
      <c r="S474" s="4" t="s">
        <v>174</v>
      </c>
    </row>
    <row r="475" spans="1:19" x14ac:dyDescent="0.35">
      <c r="A475">
        <v>478</v>
      </c>
      <c r="B475">
        <v>62</v>
      </c>
      <c r="C475" t="s">
        <v>64</v>
      </c>
      <c r="D475" t="s">
        <v>101</v>
      </c>
      <c r="E475" s="10">
        <v>600</v>
      </c>
      <c r="F475" t="s">
        <v>69</v>
      </c>
      <c r="G475" t="s">
        <v>69</v>
      </c>
      <c r="H475" t="s">
        <v>73</v>
      </c>
      <c r="I475" t="s">
        <v>125</v>
      </c>
      <c r="J475" s="5">
        <v>3</v>
      </c>
      <c r="K475" s="6">
        <v>120</v>
      </c>
      <c r="L475" s="6">
        <v>78</v>
      </c>
      <c r="M475" s="7">
        <v>107</v>
      </c>
      <c r="N475" s="8">
        <v>87</v>
      </c>
      <c r="O475" s="8">
        <v>130</v>
      </c>
      <c r="P475" s="8">
        <v>53</v>
      </c>
      <c r="Q475" s="4" t="s">
        <v>127</v>
      </c>
      <c r="R475" s="9">
        <v>28.734672057202044</v>
      </c>
      <c r="S475" s="4" t="s">
        <v>175</v>
      </c>
    </row>
    <row r="476" spans="1:19" x14ac:dyDescent="0.35">
      <c r="A476">
        <v>479</v>
      </c>
      <c r="B476">
        <v>20</v>
      </c>
      <c r="C476" t="s">
        <v>64</v>
      </c>
      <c r="D476" t="s">
        <v>101</v>
      </c>
      <c r="E476" s="10">
        <v>100</v>
      </c>
      <c r="F476" t="s">
        <v>69</v>
      </c>
      <c r="G476" t="s">
        <v>70</v>
      </c>
      <c r="H476" t="s">
        <v>103</v>
      </c>
      <c r="I476" t="s">
        <v>74</v>
      </c>
      <c r="J476" s="5">
        <v>3</v>
      </c>
      <c r="K476" s="6">
        <v>110</v>
      </c>
      <c r="L476" s="6">
        <v>56</v>
      </c>
      <c r="M476" s="7">
        <v>64</v>
      </c>
      <c r="N476" s="8">
        <v>96</v>
      </c>
      <c r="O476" s="8">
        <v>108</v>
      </c>
      <c r="P476" s="8">
        <v>53</v>
      </c>
      <c r="Q476" s="4" t="s">
        <v>127</v>
      </c>
      <c r="R476" s="9">
        <v>18.424036281179141</v>
      </c>
      <c r="S476" s="4" t="s">
        <v>175</v>
      </c>
    </row>
    <row r="477" spans="1:19" x14ac:dyDescent="0.35">
      <c r="A477">
        <v>480</v>
      </c>
      <c r="B477">
        <v>21</v>
      </c>
      <c r="C477" t="s">
        <v>64</v>
      </c>
      <c r="D477" t="s">
        <v>90</v>
      </c>
      <c r="E477" s="10">
        <v>650</v>
      </c>
      <c r="F477" t="s">
        <v>69</v>
      </c>
      <c r="G477" t="s">
        <v>69</v>
      </c>
      <c r="H477" t="s">
        <v>103</v>
      </c>
      <c r="I477" t="s">
        <v>124</v>
      </c>
      <c r="J477" s="5">
        <v>2</v>
      </c>
      <c r="K477" s="6">
        <v>137</v>
      </c>
      <c r="L477" s="6">
        <v>81</v>
      </c>
      <c r="M477" s="7">
        <v>72</v>
      </c>
      <c r="N477" s="8">
        <v>83</v>
      </c>
      <c r="O477" s="8">
        <v>60</v>
      </c>
      <c r="P477" s="8">
        <v>41</v>
      </c>
      <c r="Q477" s="4" t="s">
        <v>126</v>
      </c>
      <c r="R477" s="9">
        <v>16.372080590731397</v>
      </c>
      <c r="S477" s="4" t="s">
        <v>174</v>
      </c>
    </row>
    <row r="478" spans="1:19" x14ac:dyDescent="0.35">
      <c r="A478">
        <v>481</v>
      </c>
      <c r="B478">
        <v>40</v>
      </c>
      <c r="C478" t="s">
        <v>64</v>
      </c>
      <c r="D478" t="s">
        <v>101</v>
      </c>
      <c r="E478" s="10">
        <v>1200</v>
      </c>
      <c r="F478" t="s">
        <v>69</v>
      </c>
      <c r="G478" t="s">
        <v>69</v>
      </c>
      <c r="H478" t="s">
        <v>103</v>
      </c>
      <c r="I478" t="s">
        <v>125</v>
      </c>
      <c r="J478" s="5">
        <v>4</v>
      </c>
      <c r="K478" s="6">
        <v>100</v>
      </c>
      <c r="L478" s="6">
        <v>62</v>
      </c>
      <c r="M478" s="7">
        <v>72</v>
      </c>
      <c r="N478" s="8">
        <v>64</v>
      </c>
      <c r="O478" s="8">
        <v>92</v>
      </c>
      <c r="P478" s="8">
        <v>53</v>
      </c>
      <c r="Q478" s="4" t="s">
        <v>127</v>
      </c>
      <c r="R478" s="9">
        <v>17.239048134126556</v>
      </c>
      <c r="S478" s="4" t="s">
        <v>175</v>
      </c>
    </row>
    <row r="479" spans="1:19" x14ac:dyDescent="0.35">
      <c r="A479">
        <v>482</v>
      </c>
      <c r="B479">
        <v>46</v>
      </c>
      <c r="C479" t="s">
        <v>64</v>
      </c>
      <c r="D479" t="s">
        <v>66</v>
      </c>
      <c r="E479" s="10">
        <v>300</v>
      </c>
      <c r="F479" t="s">
        <v>70</v>
      </c>
      <c r="G479" t="s">
        <v>69</v>
      </c>
      <c r="H479" t="s">
        <v>73</v>
      </c>
      <c r="I479" t="s">
        <v>125</v>
      </c>
      <c r="J479" s="5">
        <v>4</v>
      </c>
      <c r="K479" s="6">
        <v>100</v>
      </c>
      <c r="L479" s="6">
        <v>66</v>
      </c>
      <c r="M479" s="7">
        <v>83</v>
      </c>
      <c r="N479" s="8">
        <v>97</v>
      </c>
      <c r="O479" s="8">
        <v>85</v>
      </c>
      <c r="P479" s="8">
        <v>51</v>
      </c>
      <c r="Q479" s="4" t="s">
        <v>127</v>
      </c>
      <c r="R479" s="9">
        <v>24.489795918367346</v>
      </c>
      <c r="S479" s="4" t="s">
        <v>175</v>
      </c>
    </row>
    <row r="480" spans="1:19" x14ac:dyDescent="0.35">
      <c r="A480">
        <v>483</v>
      </c>
      <c r="B480">
        <v>26</v>
      </c>
      <c r="C480" t="s">
        <v>64</v>
      </c>
      <c r="D480" t="s">
        <v>101</v>
      </c>
      <c r="E480" s="10">
        <v>400</v>
      </c>
      <c r="F480" t="s">
        <v>69</v>
      </c>
      <c r="G480" t="s">
        <v>70</v>
      </c>
      <c r="H480" t="s">
        <v>92</v>
      </c>
      <c r="I480" t="s">
        <v>125</v>
      </c>
      <c r="J480" s="5">
        <v>5</v>
      </c>
      <c r="K480" s="6">
        <v>118</v>
      </c>
      <c r="L480" s="6">
        <v>78</v>
      </c>
      <c r="M480" s="7">
        <v>94</v>
      </c>
      <c r="N480" s="8">
        <v>111</v>
      </c>
      <c r="O480" s="8">
        <v>130</v>
      </c>
      <c r="P480" s="8">
        <v>41</v>
      </c>
      <c r="Q480" s="4" t="s">
        <v>127</v>
      </c>
      <c r="R480" s="9">
        <v>26.423569824283259</v>
      </c>
      <c r="S480" s="4" t="s">
        <v>175</v>
      </c>
    </row>
    <row r="481" spans="1:19" x14ac:dyDescent="0.35">
      <c r="A481">
        <v>484</v>
      </c>
      <c r="B481">
        <v>29</v>
      </c>
      <c r="C481" t="s">
        <v>64</v>
      </c>
      <c r="D481" t="s">
        <v>101</v>
      </c>
      <c r="E481" s="10">
        <v>350</v>
      </c>
      <c r="F481" t="s">
        <v>70</v>
      </c>
      <c r="G481" t="s">
        <v>69</v>
      </c>
      <c r="H481" t="s">
        <v>92</v>
      </c>
      <c r="I481" t="s">
        <v>125</v>
      </c>
      <c r="J481" s="5">
        <v>7</v>
      </c>
      <c r="K481" s="6">
        <v>140</v>
      </c>
      <c r="L481" s="6">
        <v>94</v>
      </c>
      <c r="M481" s="7">
        <v>92</v>
      </c>
      <c r="N481" s="8">
        <v>66</v>
      </c>
      <c r="O481" s="8">
        <v>210</v>
      </c>
      <c r="P481" s="8">
        <v>41</v>
      </c>
      <c r="Q481" s="4" t="s">
        <v>127</v>
      </c>
      <c r="R481" s="9">
        <v>25.978679566424791</v>
      </c>
      <c r="S481" s="4" t="s">
        <v>175</v>
      </c>
    </row>
    <row r="482" spans="1:19" x14ac:dyDescent="0.35">
      <c r="A482">
        <v>485</v>
      </c>
      <c r="B482">
        <v>54</v>
      </c>
      <c r="C482" t="s">
        <v>64</v>
      </c>
      <c r="D482" t="s">
        <v>66</v>
      </c>
      <c r="E482" s="10">
        <v>500</v>
      </c>
      <c r="F482" t="s">
        <v>69</v>
      </c>
      <c r="G482" t="s">
        <v>69</v>
      </c>
      <c r="H482" t="s">
        <v>92</v>
      </c>
      <c r="I482" t="s">
        <v>125</v>
      </c>
      <c r="J482" s="5">
        <v>5</v>
      </c>
      <c r="K482" s="6">
        <v>125</v>
      </c>
      <c r="L482" s="6">
        <v>83</v>
      </c>
      <c r="M482" s="7">
        <v>105</v>
      </c>
      <c r="N482" s="8">
        <v>210</v>
      </c>
      <c r="O482" s="8">
        <v>144</v>
      </c>
      <c r="P482" s="8">
        <v>52</v>
      </c>
      <c r="Q482" s="4" t="s">
        <v>127</v>
      </c>
      <c r="R482" s="9">
        <v>31.708283789139912</v>
      </c>
      <c r="S482" s="4" t="s">
        <v>175</v>
      </c>
    </row>
    <row r="483" spans="1:19" x14ac:dyDescent="0.35">
      <c r="A483">
        <v>486</v>
      </c>
      <c r="B483">
        <v>29</v>
      </c>
      <c r="C483" t="s">
        <v>64</v>
      </c>
      <c r="D483" t="s">
        <v>101</v>
      </c>
      <c r="E483" s="10">
        <v>500</v>
      </c>
      <c r="F483" t="s">
        <v>70</v>
      </c>
      <c r="G483" t="s">
        <v>69</v>
      </c>
      <c r="H483" t="s">
        <v>103</v>
      </c>
      <c r="I483" t="s">
        <v>74</v>
      </c>
      <c r="J483" s="5">
        <v>4</v>
      </c>
      <c r="K483" s="6">
        <v>144</v>
      </c>
      <c r="L483" s="6">
        <v>75</v>
      </c>
      <c r="M483" s="7">
        <v>90</v>
      </c>
      <c r="N483" s="8">
        <v>98</v>
      </c>
      <c r="O483" s="8">
        <v>91</v>
      </c>
      <c r="P483" s="8">
        <v>51</v>
      </c>
      <c r="Q483" s="4" t="s">
        <v>127</v>
      </c>
      <c r="R483" s="9">
        <v>24.441802087462015</v>
      </c>
      <c r="S483" s="4" t="s">
        <v>175</v>
      </c>
    </row>
    <row r="484" spans="1:19" x14ac:dyDescent="0.35">
      <c r="A484">
        <v>487</v>
      </c>
      <c r="B484">
        <v>69</v>
      </c>
      <c r="C484" t="s">
        <v>64</v>
      </c>
      <c r="D484" t="s">
        <v>66</v>
      </c>
      <c r="E484" s="10">
        <v>900</v>
      </c>
      <c r="F484" t="s">
        <v>70</v>
      </c>
      <c r="G484" t="s">
        <v>70</v>
      </c>
      <c r="H484" t="s">
        <v>73</v>
      </c>
      <c r="I484" t="s">
        <v>125</v>
      </c>
      <c r="J484" s="5">
        <v>6</v>
      </c>
      <c r="K484" s="6">
        <v>137</v>
      </c>
      <c r="L484" s="6">
        <v>67</v>
      </c>
      <c r="M484" s="7">
        <v>107</v>
      </c>
      <c r="N484" s="8">
        <v>104</v>
      </c>
      <c r="O484" s="8">
        <v>96</v>
      </c>
      <c r="P484" s="8">
        <v>40</v>
      </c>
      <c r="Q484" s="4" t="s">
        <v>127</v>
      </c>
      <c r="R484" s="9">
        <v>30.668904958677686</v>
      </c>
      <c r="S484" s="4" t="s">
        <v>175</v>
      </c>
    </row>
    <row r="485" spans="1:19" x14ac:dyDescent="0.35">
      <c r="A485">
        <v>488</v>
      </c>
      <c r="B485">
        <v>69</v>
      </c>
      <c r="C485" t="s">
        <v>64</v>
      </c>
      <c r="D485" t="s">
        <v>90</v>
      </c>
      <c r="E485" s="10">
        <v>600</v>
      </c>
      <c r="F485" t="s">
        <v>70</v>
      </c>
      <c r="G485" t="s">
        <v>69</v>
      </c>
      <c r="H485" t="s">
        <v>92</v>
      </c>
      <c r="I485" t="s">
        <v>125</v>
      </c>
      <c r="J485" s="5">
        <v>8</v>
      </c>
      <c r="K485" s="6">
        <v>162</v>
      </c>
      <c r="L485" s="6">
        <v>82</v>
      </c>
      <c r="M485" s="7">
        <v>112</v>
      </c>
      <c r="N485" s="8">
        <v>95</v>
      </c>
      <c r="O485" s="8">
        <v>107</v>
      </c>
      <c r="P485" s="8">
        <v>26</v>
      </c>
      <c r="Q485" s="4" t="s">
        <v>127</v>
      </c>
      <c r="R485" s="9">
        <v>27.609451755172291</v>
      </c>
      <c r="S485" s="4" t="s">
        <v>175</v>
      </c>
    </row>
    <row r="486" spans="1:19" x14ac:dyDescent="0.35">
      <c r="A486">
        <v>489</v>
      </c>
      <c r="B486">
        <v>61</v>
      </c>
      <c r="C486" t="s">
        <v>64</v>
      </c>
      <c r="D486" t="s">
        <v>101</v>
      </c>
      <c r="E486" s="10">
        <v>400</v>
      </c>
      <c r="F486" t="s">
        <v>69</v>
      </c>
      <c r="G486" t="s">
        <v>69</v>
      </c>
      <c r="H486" t="s">
        <v>92</v>
      </c>
      <c r="I486" t="s">
        <v>125</v>
      </c>
      <c r="J486" s="5">
        <v>10</v>
      </c>
      <c r="K486" s="6">
        <v>106</v>
      </c>
      <c r="L486" s="6">
        <v>76</v>
      </c>
      <c r="M486" s="7">
        <v>98</v>
      </c>
      <c r="N486" s="8">
        <v>132</v>
      </c>
      <c r="O486" s="8">
        <v>66</v>
      </c>
      <c r="P486" s="8">
        <v>23</v>
      </c>
      <c r="Q486" s="4" t="s">
        <v>127</v>
      </c>
      <c r="R486" s="9">
        <v>22.460034350640772</v>
      </c>
      <c r="S486" s="4" t="s">
        <v>175</v>
      </c>
    </row>
    <row r="487" spans="1:19" x14ac:dyDescent="0.35">
      <c r="A487">
        <v>490</v>
      </c>
      <c r="B487">
        <v>47</v>
      </c>
      <c r="C487" t="s">
        <v>64</v>
      </c>
      <c r="D487" t="s">
        <v>101</v>
      </c>
      <c r="E487" s="10">
        <v>300</v>
      </c>
      <c r="F487" t="s">
        <v>69</v>
      </c>
      <c r="G487" t="s">
        <v>70</v>
      </c>
      <c r="H487" t="s">
        <v>92</v>
      </c>
      <c r="I487" t="s">
        <v>125</v>
      </c>
      <c r="J487" s="5">
        <v>4</v>
      </c>
      <c r="K487" s="6">
        <v>120</v>
      </c>
      <c r="L487" s="6">
        <v>86</v>
      </c>
      <c r="M487" s="7">
        <v>92</v>
      </c>
      <c r="N487" s="8">
        <v>80</v>
      </c>
      <c r="O487" s="8">
        <v>118</v>
      </c>
      <c r="P487" s="8">
        <v>31</v>
      </c>
      <c r="Q487" s="4" t="s">
        <v>127</v>
      </c>
      <c r="R487" s="9">
        <v>25.762980578676178</v>
      </c>
      <c r="S487" s="4" t="s">
        <v>175</v>
      </c>
    </row>
    <row r="488" spans="1:19" x14ac:dyDescent="0.35">
      <c r="A488">
        <v>491</v>
      </c>
      <c r="B488">
        <v>29</v>
      </c>
      <c r="C488" t="s">
        <v>64</v>
      </c>
      <c r="D488" t="s">
        <v>101</v>
      </c>
      <c r="E488" s="10">
        <v>500</v>
      </c>
      <c r="F488" t="s">
        <v>69</v>
      </c>
      <c r="G488" t="s">
        <v>69</v>
      </c>
      <c r="H488" t="s">
        <v>92</v>
      </c>
      <c r="I488" t="s">
        <v>74</v>
      </c>
      <c r="J488" s="5">
        <v>2</v>
      </c>
      <c r="K488" s="6">
        <v>116</v>
      </c>
      <c r="L488" s="6">
        <v>70</v>
      </c>
      <c r="M488" s="7">
        <v>66</v>
      </c>
      <c r="N488" s="8">
        <v>95</v>
      </c>
      <c r="O488" s="8">
        <v>62</v>
      </c>
      <c r="P488" s="8">
        <v>53</v>
      </c>
      <c r="Q488" s="4" t="s">
        <v>126</v>
      </c>
      <c r="R488" s="9">
        <v>15.548945375878855</v>
      </c>
      <c r="S488" s="4" t="s">
        <v>174</v>
      </c>
    </row>
    <row r="489" spans="1:19" x14ac:dyDescent="0.35">
      <c r="A489">
        <v>492</v>
      </c>
      <c r="B489">
        <v>39</v>
      </c>
      <c r="C489" t="s">
        <v>64</v>
      </c>
      <c r="D489" t="s">
        <v>66</v>
      </c>
      <c r="E489" s="10">
        <v>450</v>
      </c>
      <c r="F489" t="s">
        <v>70</v>
      </c>
      <c r="G489" t="s">
        <v>69</v>
      </c>
      <c r="H489" t="s">
        <v>92</v>
      </c>
      <c r="I489" t="s">
        <v>124</v>
      </c>
      <c r="J489" s="5">
        <v>3</v>
      </c>
      <c r="K489" s="6">
        <v>125</v>
      </c>
      <c r="L489" s="6">
        <v>81</v>
      </c>
      <c r="M489" s="7">
        <v>68</v>
      </c>
      <c r="N489" s="8">
        <v>73</v>
      </c>
      <c r="O489" s="8">
        <v>70</v>
      </c>
      <c r="P489" s="8">
        <v>43</v>
      </c>
      <c r="Q489" s="4" t="s">
        <v>127</v>
      </c>
      <c r="R489" s="9">
        <v>16.653061224489797</v>
      </c>
      <c r="S489" s="4" t="s">
        <v>175</v>
      </c>
    </row>
    <row r="490" spans="1:19" x14ac:dyDescent="0.35">
      <c r="A490">
        <v>493</v>
      </c>
      <c r="B490">
        <v>34</v>
      </c>
      <c r="C490" t="s">
        <v>64</v>
      </c>
      <c r="D490" t="s">
        <v>101</v>
      </c>
      <c r="E490" s="10">
        <v>1800</v>
      </c>
      <c r="F490" t="s">
        <v>69</v>
      </c>
      <c r="G490" t="s">
        <v>70</v>
      </c>
      <c r="H490" t="s">
        <v>118</v>
      </c>
      <c r="I490" t="s">
        <v>125</v>
      </c>
      <c r="J490" s="5">
        <v>3</v>
      </c>
      <c r="K490" s="6">
        <v>95</v>
      </c>
      <c r="L490" s="6">
        <v>70</v>
      </c>
      <c r="M490" s="7">
        <v>89</v>
      </c>
      <c r="N490" s="8">
        <v>116</v>
      </c>
      <c r="O490" s="8">
        <v>40</v>
      </c>
      <c r="P490" s="8">
        <v>50</v>
      </c>
      <c r="Q490" s="4" t="s">
        <v>127</v>
      </c>
      <c r="R490" s="9">
        <v>21.146319909102385</v>
      </c>
      <c r="S490" s="4" t="s">
        <v>175</v>
      </c>
    </row>
    <row r="491" spans="1:19" x14ac:dyDescent="0.35">
      <c r="A491">
        <v>494</v>
      </c>
      <c r="B491">
        <v>28</v>
      </c>
      <c r="C491" t="s">
        <v>64</v>
      </c>
      <c r="D491" t="s">
        <v>101</v>
      </c>
      <c r="E491" s="10">
        <v>150</v>
      </c>
      <c r="F491" t="s">
        <v>69</v>
      </c>
      <c r="G491" t="s">
        <v>69</v>
      </c>
      <c r="H491" t="s">
        <v>92</v>
      </c>
      <c r="I491" t="s">
        <v>74</v>
      </c>
      <c r="J491" s="5">
        <v>1</v>
      </c>
      <c r="K491" s="6">
        <v>120</v>
      </c>
      <c r="L491" s="6">
        <v>67</v>
      </c>
      <c r="M491" s="7">
        <v>68</v>
      </c>
      <c r="N491" s="8">
        <v>90</v>
      </c>
      <c r="O491" s="8">
        <v>43</v>
      </c>
      <c r="P491" s="8">
        <v>44</v>
      </c>
      <c r="Q491" s="4" t="s">
        <v>127</v>
      </c>
      <c r="R491" s="9">
        <v>16.141528925619834</v>
      </c>
      <c r="S491" s="4" t="s">
        <v>175</v>
      </c>
    </row>
    <row r="492" spans="1:19" x14ac:dyDescent="0.35">
      <c r="A492">
        <v>495</v>
      </c>
      <c r="B492">
        <v>41</v>
      </c>
      <c r="C492" t="s">
        <v>64</v>
      </c>
      <c r="D492" t="s">
        <v>101</v>
      </c>
      <c r="E492" s="10">
        <v>600</v>
      </c>
      <c r="F492" t="s">
        <v>70</v>
      </c>
      <c r="G492" t="s">
        <v>69</v>
      </c>
      <c r="H492" t="s">
        <v>92</v>
      </c>
      <c r="I492" t="s">
        <v>125</v>
      </c>
      <c r="J492" s="5">
        <v>8</v>
      </c>
      <c r="K492" s="6">
        <v>140</v>
      </c>
      <c r="L492" s="6">
        <v>87</v>
      </c>
      <c r="M492" s="7">
        <v>97</v>
      </c>
      <c r="N492" s="8">
        <v>116</v>
      </c>
      <c r="O492" s="8">
        <v>148</v>
      </c>
      <c r="P492" s="8">
        <v>65</v>
      </c>
      <c r="Q492" s="4" t="s">
        <v>127</v>
      </c>
      <c r="R492" s="9">
        <v>28.731921487603305</v>
      </c>
      <c r="S492" s="4" t="s">
        <v>175</v>
      </c>
    </row>
    <row r="493" spans="1:19" x14ac:dyDescent="0.35">
      <c r="A493">
        <v>496</v>
      </c>
      <c r="B493">
        <v>54</v>
      </c>
      <c r="C493" t="s">
        <v>64</v>
      </c>
      <c r="D493" t="s">
        <v>101</v>
      </c>
      <c r="E493" s="10">
        <v>600</v>
      </c>
      <c r="F493" t="s">
        <v>70</v>
      </c>
      <c r="G493" t="s">
        <v>70</v>
      </c>
      <c r="H493" t="s">
        <v>92</v>
      </c>
      <c r="I493" t="s">
        <v>74</v>
      </c>
      <c r="J493" s="5">
        <v>4</v>
      </c>
      <c r="K493" s="6">
        <v>120</v>
      </c>
      <c r="L493" s="6">
        <v>82</v>
      </c>
      <c r="M493" s="7">
        <v>80</v>
      </c>
      <c r="N493" s="8">
        <v>104</v>
      </c>
      <c r="O493" s="8">
        <v>162</v>
      </c>
      <c r="P493" s="8">
        <v>80</v>
      </c>
      <c r="Q493" s="4" t="s">
        <v>127</v>
      </c>
      <c r="R493" s="9">
        <v>24.343809494085704</v>
      </c>
      <c r="S493" s="4" t="s">
        <v>175</v>
      </c>
    </row>
    <row r="494" spans="1:19" x14ac:dyDescent="0.35">
      <c r="A494">
        <v>497</v>
      </c>
      <c r="B494">
        <v>56</v>
      </c>
      <c r="C494" t="s">
        <v>64</v>
      </c>
      <c r="D494" t="s">
        <v>101</v>
      </c>
      <c r="E494" s="10">
        <v>600</v>
      </c>
      <c r="F494" t="s">
        <v>69</v>
      </c>
      <c r="G494" t="s">
        <v>69</v>
      </c>
      <c r="H494" t="s">
        <v>92</v>
      </c>
      <c r="I494" t="s">
        <v>74</v>
      </c>
      <c r="J494" s="5">
        <v>3</v>
      </c>
      <c r="K494" s="6">
        <v>112</v>
      </c>
      <c r="L494" s="6">
        <v>76</v>
      </c>
      <c r="M494" s="7">
        <v>87</v>
      </c>
      <c r="N494" s="8">
        <v>88</v>
      </c>
      <c r="O494" s="8">
        <v>132</v>
      </c>
      <c r="P494" s="8">
        <v>58</v>
      </c>
      <c r="Q494" s="4" t="s">
        <v>127</v>
      </c>
      <c r="R494" s="9">
        <v>25.308641975308639</v>
      </c>
      <c r="S494" s="4" t="s">
        <v>175</v>
      </c>
    </row>
    <row r="495" spans="1:19" x14ac:dyDescent="0.35">
      <c r="A495">
        <v>498</v>
      </c>
      <c r="B495">
        <v>59</v>
      </c>
      <c r="C495" t="s">
        <v>64</v>
      </c>
      <c r="D495" t="s">
        <v>66</v>
      </c>
      <c r="E495" s="10">
        <v>600</v>
      </c>
      <c r="F495" t="s">
        <v>69</v>
      </c>
      <c r="G495" t="s">
        <v>69</v>
      </c>
      <c r="H495" t="s">
        <v>92</v>
      </c>
      <c r="I495" t="s">
        <v>125</v>
      </c>
      <c r="J495" s="5">
        <v>4</v>
      </c>
      <c r="K495" s="6">
        <v>98</v>
      </c>
      <c r="L495" s="6">
        <v>72</v>
      </c>
      <c r="M495" s="7">
        <v>84</v>
      </c>
      <c r="N495" s="8">
        <v>88</v>
      </c>
      <c r="O495" s="8">
        <v>140</v>
      </c>
      <c r="P495" s="8">
        <v>50</v>
      </c>
      <c r="Q495" s="4" t="s">
        <v>127</v>
      </c>
      <c r="R495" s="9">
        <v>25.180785123966942</v>
      </c>
      <c r="S495" s="4" t="s">
        <v>175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D79B9-1916-4CD4-B06D-7F21B3357CEB}">
  <dimension ref="A1:B7"/>
  <sheetViews>
    <sheetView workbookViewId="0">
      <selection activeCell="B6" sqref="B6"/>
    </sheetView>
  </sheetViews>
  <sheetFormatPr defaultRowHeight="14.5" x14ac:dyDescent="0.35"/>
  <cols>
    <col min="1" max="1" width="36" customWidth="1"/>
    <col min="2" max="2" width="15.54296875" customWidth="1"/>
  </cols>
  <sheetData>
    <row r="1" spans="1:2" x14ac:dyDescent="0.35">
      <c r="A1" s="20" t="s">
        <v>148</v>
      </c>
      <c r="B1" s="21" t="s">
        <v>155</v>
      </c>
    </row>
    <row r="2" spans="1:2" x14ac:dyDescent="0.35">
      <c r="A2" s="17" t="s">
        <v>149</v>
      </c>
      <c r="B2" s="18">
        <v>494</v>
      </c>
    </row>
    <row r="3" spans="1:2" x14ac:dyDescent="0.35">
      <c r="A3" s="17" t="s">
        <v>156</v>
      </c>
      <c r="B3" s="19">
        <v>0.57889999999999997</v>
      </c>
    </row>
    <row r="4" spans="1:2" x14ac:dyDescent="0.35">
      <c r="A4" s="17" t="s">
        <v>150</v>
      </c>
      <c r="B4" s="18" t="s">
        <v>157</v>
      </c>
    </row>
    <row r="5" spans="1:2" x14ac:dyDescent="0.35">
      <c r="A5" s="17" t="s">
        <v>154</v>
      </c>
      <c r="B5" s="18" t="s">
        <v>158</v>
      </c>
    </row>
    <row r="6" spans="1:2" x14ac:dyDescent="0.35">
      <c r="A6" s="17" t="s">
        <v>151</v>
      </c>
      <c r="B6" s="18" t="s">
        <v>159</v>
      </c>
    </row>
    <row r="7" spans="1:2" x14ac:dyDescent="0.35">
      <c r="A7" s="1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8C3BA-B51D-4160-8853-1DF8962AFFA9}">
  <dimension ref="A1:AC37"/>
  <sheetViews>
    <sheetView topLeftCell="U1" zoomScale="99" zoomScaleNormal="99" workbookViewId="0">
      <selection activeCell="AA10" sqref="AA10"/>
    </sheetView>
  </sheetViews>
  <sheetFormatPr defaultRowHeight="14.5" x14ac:dyDescent="0.35"/>
  <cols>
    <col min="1" max="1" width="19.54296875" customWidth="1"/>
    <col min="2" max="2" width="11.08984375" bestFit="1" customWidth="1"/>
    <col min="3" max="3" width="10.7265625" bestFit="1" customWidth="1"/>
    <col min="4" max="4" width="6.36328125" bestFit="1" customWidth="1"/>
    <col min="5" max="5" width="13.90625" bestFit="1" customWidth="1"/>
    <col min="6" max="6" width="3.81640625" bestFit="1" customWidth="1"/>
    <col min="7" max="7" width="11.7265625" bestFit="1" customWidth="1"/>
    <col min="8" max="8" width="11.6328125" bestFit="1" customWidth="1"/>
    <col min="9" max="9" width="6.36328125" bestFit="1" customWidth="1"/>
    <col min="10" max="11" width="15.54296875" bestFit="1" customWidth="1"/>
    <col min="12" max="12" width="11.7265625" bestFit="1" customWidth="1"/>
    <col min="14" max="14" width="22" customWidth="1"/>
    <col min="15" max="15" width="11.54296875" customWidth="1"/>
    <col min="16" max="16" width="18.54296875" customWidth="1"/>
    <col min="17" max="17" width="12.08984375" customWidth="1"/>
    <col min="18" max="18" width="19.1796875" customWidth="1"/>
    <col min="19" max="19" width="14.7265625" customWidth="1"/>
    <col min="20" max="20" width="23.54296875" customWidth="1"/>
    <col min="21" max="21" width="17.08984375" customWidth="1"/>
    <col min="22" max="22" width="13.453125" customWidth="1"/>
    <col min="23" max="23" width="14.08984375" customWidth="1"/>
    <col min="24" max="24" width="13.08984375" customWidth="1"/>
    <col min="26" max="26" width="19.08984375" customWidth="1"/>
    <col min="27" max="27" width="26.54296875" customWidth="1"/>
    <col min="28" max="28" width="18.1796875" customWidth="1"/>
    <col min="29" max="29" width="11.54296875" customWidth="1"/>
  </cols>
  <sheetData>
    <row r="1" spans="1:29" ht="18.5" x14ac:dyDescent="0.45">
      <c r="A1" t="s">
        <v>128</v>
      </c>
      <c r="B1">
        <f>ROWS(tbl_meto[])</f>
        <v>494</v>
      </c>
      <c r="E1" s="14" t="s">
        <v>50</v>
      </c>
      <c r="F1" t="s">
        <v>168</v>
      </c>
      <c r="J1" s="11" t="s">
        <v>132</v>
      </c>
      <c r="L1" s="12" t="s">
        <v>145</v>
      </c>
      <c r="N1" s="25" t="s">
        <v>132</v>
      </c>
      <c r="O1" s="25"/>
      <c r="P1" s="25"/>
      <c r="S1" s="25" t="s">
        <v>145</v>
      </c>
      <c r="T1" s="25"/>
      <c r="U1" s="25"/>
      <c r="V1" s="25"/>
      <c r="Z1" s="14" t="s">
        <v>147</v>
      </c>
      <c r="AA1" s="14" t="s">
        <v>173</v>
      </c>
    </row>
    <row r="2" spans="1:29" x14ac:dyDescent="0.35">
      <c r="A2" t="s">
        <v>129</v>
      </c>
      <c r="B2">
        <f>COLUMNS(tbl_meto[])</f>
        <v>19</v>
      </c>
      <c r="E2" t="s">
        <v>126</v>
      </c>
      <c r="F2" s="1">
        <v>0.42105263157894735</v>
      </c>
      <c r="J2" t="s">
        <v>3</v>
      </c>
      <c r="L2" t="s">
        <v>27</v>
      </c>
      <c r="Z2" s="14" t="s">
        <v>10</v>
      </c>
      <c r="AA2" t="s">
        <v>175</v>
      </c>
      <c r="AB2" t="s">
        <v>174</v>
      </c>
      <c r="AC2" t="s">
        <v>140</v>
      </c>
    </row>
    <row r="3" spans="1:29" x14ac:dyDescent="0.35">
      <c r="A3" t="s">
        <v>131</v>
      </c>
      <c r="B3" cm="1">
        <f t="array" ref="B3">SUM(--_xlfn.BYCOL(tbl_meto[],_xlfn.LAMBDA(_xlpm.c,ISNUMBER(INDEX(_xlpm.c,MATCH(TRUE,_xlpm.c&lt;&gt;"",0))))))</f>
        <v>11</v>
      </c>
      <c r="E3" t="s">
        <v>127</v>
      </c>
      <c r="F3" s="1">
        <v>0.57894736842105265</v>
      </c>
      <c r="J3" t="s">
        <v>141</v>
      </c>
      <c r="L3" t="s">
        <v>28</v>
      </c>
      <c r="N3" s="14" t="s">
        <v>147</v>
      </c>
      <c r="O3" s="14" t="s">
        <v>163</v>
      </c>
      <c r="S3" s="14" t="s">
        <v>50</v>
      </c>
      <c r="T3" t="s">
        <v>152</v>
      </c>
      <c r="V3" s="14" t="s">
        <v>50</v>
      </c>
      <c r="W3" t="s">
        <v>165</v>
      </c>
      <c r="Z3" t="s">
        <v>69</v>
      </c>
      <c r="AA3" s="1">
        <v>0.5759803921568627</v>
      </c>
      <c r="AB3" s="1">
        <v>0.42401960784313725</v>
      </c>
      <c r="AC3" s="16">
        <v>1</v>
      </c>
    </row>
    <row r="4" spans="1:29" x14ac:dyDescent="0.35">
      <c r="A4" t="s">
        <v>130</v>
      </c>
      <c r="B4" cm="1">
        <f t="array" ref="B4">SUM(--_xlfn.BYCOL(tbl_meto[],_xlfn.LAMBDA(_xlpm.c,ISTEXT(INDEX(_xlpm.c,MATCH(TRUE,_xlpm.c&lt;&gt;"",0))))))</f>
        <v>8</v>
      </c>
      <c r="E4" t="s">
        <v>140</v>
      </c>
      <c r="F4" s="16">
        <v>1</v>
      </c>
      <c r="J4" t="s">
        <v>9</v>
      </c>
      <c r="L4" t="s">
        <v>31</v>
      </c>
      <c r="N4" s="14" t="s">
        <v>3</v>
      </c>
      <c r="O4" t="s">
        <v>126</v>
      </c>
      <c r="P4" t="s">
        <v>127</v>
      </c>
      <c r="Q4" t="s">
        <v>140</v>
      </c>
      <c r="S4" t="s">
        <v>126</v>
      </c>
      <c r="T4" s="6">
        <v>125.02403846153847</v>
      </c>
      <c r="V4" t="s">
        <v>126</v>
      </c>
      <c r="W4" s="8">
        <v>49.03846153846154</v>
      </c>
      <c r="Z4" t="s">
        <v>70</v>
      </c>
      <c r="AA4" s="1">
        <v>0.59302325581395354</v>
      </c>
      <c r="AB4" s="1">
        <v>0.40697674418604651</v>
      </c>
      <c r="AC4" s="16">
        <v>1</v>
      </c>
    </row>
    <row r="5" spans="1:29" x14ac:dyDescent="0.35">
      <c r="J5" t="s">
        <v>10</v>
      </c>
      <c r="L5" t="s">
        <v>33</v>
      </c>
      <c r="N5" t="s">
        <v>89</v>
      </c>
      <c r="O5" s="1">
        <v>0.44043321299638988</v>
      </c>
      <c r="P5" s="1">
        <v>0.55956678700361007</v>
      </c>
      <c r="Q5" s="16">
        <v>1</v>
      </c>
      <c r="S5" t="s">
        <v>127</v>
      </c>
      <c r="T5" s="6">
        <v>127.90909090909091</v>
      </c>
      <c r="V5" t="s">
        <v>127</v>
      </c>
      <c r="W5" s="8">
        <v>47.832167832167833</v>
      </c>
      <c r="Z5" t="s">
        <v>140</v>
      </c>
      <c r="AA5" s="1">
        <v>0.57894736842105265</v>
      </c>
      <c r="AB5" s="1">
        <v>0.42105263157894735</v>
      </c>
      <c r="AC5" s="16">
        <v>1</v>
      </c>
    </row>
    <row r="6" spans="1:29" x14ac:dyDescent="0.35">
      <c r="A6" s="13" t="s">
        <v>1</v>
      </c>
      <c r="J6" t="s">
        <v>20</v>
      </c>
      <c r="L6" t="s">
        <v>34</v>
      </c>
      <c r="N6" t="s">
        <v>64</v>
      </c>
      <c r="O6" s="1">
        <v>0.39631336405529954</v>
      </c>
      <c r="P6" s="1">
        <v>0.60368663594470051</v>
      </c>
      <c r="Q6" s="16">
        <v>1</v>
      </c>
      <c r="S6" t="s">
        <v>140</v>
      </c>
      <c r="T6" s="16">
        <v>126.69433198380567</v>
      </c>
      <c r="V6" t="s">
        <v>140</v>
      </c>
      <c r="W6" s="16">
        <v>48.340080971659916</v>
      </c>
    </row>
    <row r="7" spans="1:29" x14ac:dyDescent="0.35">
      <c r="A7" t="s">
        <v>133</v>
      </c>
      <c r="B7" s="3">
        <f>AVERAGE(tbl_meto[Age])</f>
        <v>42.139676113360323</v>
      </c>
      <c r="J7" t="s">
        <v>22</v>
      </c>
      <c r="L7" t="s">
        <v>35</v>
      </c>
      <c r="N7" t="s">
        <v>140</v>
      </c>
      <c r="O7" s="1">
        <v>0.42105263157894735</v>
      </c>
      <c r="P7" s="1">
        <v>0.57894736842105265</v>
      </c>
      <c r="Q7" s="16">
        <v>1</v>
      </c>
      <c r="Z7" s="14" t="s">
        <v>147</v>
      </c>
      <c r="AA7" s="14" t="s">
        <v>50</v>
      </c>
    </row>
    <row r="8" spans="1:29" x14ac:dyDescent="0.35">
      <c r="A8" t="s">
        <v>134</v>
      </c>
      <c r="B8">
        <f>MEDIAN(tbl_meto[Age])</f>
        <v>39</v>
      </c>
      <c r="L8" t="s">
        <v>25</v>
      </c>
      <c r="S8" s="14" t="s">
        <v>50</v>
      </c>
      <c r="T8" t="s">
        <v>153</v>
      </c>
      <c r="V8" s="14" t="s">
        <v>50</v>
      </c>
      <c r="W8" t="s">
        <v>166</v>
      </c>
      <c r="X8" t="s">
        <v>168</v>
      </c>
      <c r="Z8" s="14" t="s">
        <v>20</v>
      </c>
      <c r="AA8" t="s">
        <v>126</v>
      </c>
      <c r="AB8" t="s">
        <v>127</v>
      </c>
      <c r="AC8" t="s">
        <v>140</v>
      </c>
    </row>
    <row r="9" spans="1:29" x14ac:dyDescent="0.35">
      <c r="A9" t="s">
        <v>135</v>
      </c>
      <c r="B9">
        <f>MODE(tbl_meto[Age])</f>
        <v>30</v>
      </c>
      <c r="F9" s="3"/>
      <c r="G9" s="3"/>
      <c r="L9" t="s">
        <v>53</v>
      </c>
      <c r="N9" s="14" t="s">
        <v>50</v>
      </c>
      <c r="O9" s="14" t="s">
        <v>10</v>
      </c>
      <c r="P9" t="s">
        <v>169</v>
      </c>
      <c r="S9" t="s">
        <v>126</v>
      </c>
      <c r="T9" s="6">
        <v>78.28365384615384</v>
      </c>
      <c r="V9" t="s">
        <v>126</v>
      </c>
      <c r="W9" s="9">
        <v>25.084549032544391</v>
      </c>
      <c r="X9" s="1">
        <v>0.42105263157894735</v>
      </c>
      <c r="Z9" t="s">
        <v>118</v>
      </c>
      <c r="AA9" s="1">
        <v>0.6</v>
      </c>
      <c r="AB9" s="1">
        <v>0.4</v>
      </c>
      <c r="AC9" s="16">
        <v>1</v>
      </c>
    </row>
    <row r="10" spans="1:29" x14ac:dyDescent="0.35">
      <c r="A10" t="s">
        <v>136</v>
      </c>
      <c r="B10">
        <f>MAX(tbl_meto[Age])</f>
        <v>82</v>
      </c>
      <c r="L10" t="s">
        <v>146</v>
      </c>
      <c r="N10" t="s">
        <v>126</v>
      </c>
      <c r="O10" t="s">
        <v>69</v>
      </c>
      <c r="P10" s="1">
        <v>0.35020242914979755</v>
      </c>
      <c r="S10" t="s">
        <v>127</v>
      </c>
      <c r="T10" s="6">
        <v>79.506993006993014</v>
      </c>
      <c r="V10" t="s">
        <v>127</v>
      </c>
      <c r="W10" s="9">
        <v>25.701564901549219</v>
      </c>
      <c r="X10" s="1">
        <v>0.57894736842105265</v>
      </c>
      <c r="Z10" t="s">
        <v>106</v>
      </c>
      <c r="AA10" s="1">
        <v>0.2</v>
      </c>
      <c r="AB10" s="1">
        <v>0.8</v>
      </c>
      <c r="AC10" s="16">
        <v>1</v>
      </c>
    </row>
    <row r="11" spans="1:29" x14ac:dyDescent="0.35">
      <c r="A11" t="s">
        <v>137</v>
      </c>
      <c r="B11">
        <f>MIN(tbl_meto[Age])</f>
        <v>19</v>
      </c>
      <c r="O11" t="s">
        <v>70</v>
      </c>
      <c r="P11" s="1">
        <v>7.08502024291498E-2</v>
      </c>
      <c r="S11" t="s">
        <v>140</v>
      </c>
      <c r="T11" s="16">
        <v>78.991902834008101</v>
      </c>
      <c r="V11" t="s">
        <v>140</v>
      </c>
      <c r="W11" s="9">
        <v>25.441768746178756</v>
      </c>
      <c r="X11" s="16">
        <v>1</v>
      </c>
      <c r="Z11" t="s">
        <v>92</v>
      </c>
      <c r="AA11" s="1">
        <v>0.40601503759398494</v>
      </c>
      <c r="AB11" s="1">
        <v>0.59398496240601506</v>
      </c>
      <c r="AC11" s="16">
        <v>1</v>
      </c>
    </row>
    <row r="12" spans="1:29" x14ac:dyDescent="0.35">
      <c r="A12" t="s">
        <v>138</v>
      </c>
      <c r="B12" s="3">
        <f>_xlfn.STDEV.S(tbl_meto[Age])</f>
        <v>14.02716593162652</v>
      </c>
      <c r="N12" t="s">
        <v>161</v>
      </c>
      <c r="P12" s="1">
        <v>0.42105263157894735</v>
      </c>
      <c r="Z12" t="s">
        <v>73</v>
      </c>
      <c r="AA12" s="1">
        <v>0.44961240310077522</v>
      </c>
      <c r="AB12" s="1">
        <v>0.55038759689922478</v>
      </c>
      <c r="AC12" s="16">
        <v>1</v>
      </c>
    </row>
    <row r="13" spans="1:29" x14ac:dyDescent="0.35">
      <c r="E13" s="14" t="s">
        <v>3</v>
      </c>
      <c r="F13" t="s">
        <v>142</v>
      </c>
      <c r="G13" t="s">
        <v>143</v>
      </c>
      <c r="J13" s="14" t="s">
        <v>160</v>
      </c>
      <c r="K13" s="14" t="s">
        <v>9</v>
      </c>
      <c r="N13" t="s">
        <v>127</v>
      </c>
      <c r="O13" t="s">
        <v>69</v>
      </c>
      <c r="P13" s="1">
        <v>0.47570850202429149</v>
      </c>
      <c r="S13" s="14" t="s">
        <v>50</v>
      </c>
      <c r="T13" t="s">
        <v>164</v>
      </c>
      <c r="V13" s="14" t="s">
        <v>50</v>
      </c>
      <c r="W13" t="s">
        <v>172</v>
      </c>
      <c r="Z13" t="s">
        <v>103</v>
      </c>
      <c r="AA13" s="1">
        <v>0.42696629213483145</v>
      </c>
      <c r="AB13" s="1">
        <v>0.5730337078651685</v>
      </c>
      <c r="AC13" s="16">
        <v>1</v>
      </c>
    </row>
    <row r="14" spans="1:29" x14ac:dyDescent="0.35">
      <c r="A14" s="13" t="s">
        <v>7</v>
      </c>
      <c r="E14" t="s">
        <v>89</v>
      </c>
      <c r="F14" s="26">
        <v>277</v>
      </c>
      <c r="G14" s="1">
        <v>0.56072874493927127</v>
      </c>
      <c r="J14" s="14" t="s">
        <v>50</v>
      </c>
      <c r="K14" t="s">
        <v>69</v>
      </c>
      <c r="L14" t="s">
        <v>70</v>
      </c>
      <c r="M14" t="s">
        <v>140</v>
      </c>
      <c r="O14" t="s">
        <v>70</v>
      </c>
      <c r="P14" s="1">
        <v>0.10323886639676114</v>
      </c>
      <c r="S14" t="s">
        <v>126</v>
      </c>
      <c r="T14" s="7">
        <v>87.365384615384613</v>
      </c>
      <c r="V14" t="s">
        <v>126</v>
      </c>
      <c r="W14" s="1">
        <v>0.42105263157894735</v>
      </c>
      <c r="Z14" t="s">
        <v>140</v>
      </c>
      <c r="AA14" s="1">
        <v>0.42105263157894735</v>
      </c>
      <c r="AB14" s="1">
        <v>0.57894736842105265</v>
      </c>
      <c r="AC14" s="16">
        <v>1</v>
      </c>
    </row>
    <row r="15" spans="1:29" x14ac:dyDescent="0.35">
      <c r="A15" t="s">
        <v>139</v>
      </c>
      <c r="B15" s="15">
        <f>SUM(tbl_meto[Income])</f>
        <v>270920</v>
      </c>
      <c r="E15" t="s">
        <v>64</v>
      </c>
      <c r="F15" s="26">
        <v>217</v>
      </c>
      <c r="G15" s="1">
        <v>0.43927125506072873</v>
      </c>
      <c r="J15" t="s">
        <v>126</v>
      </c>
      <c r="K15" s="1">
        <v>0.43518518518518517</v>
      </c>
      <c r="L15" s="1">
        <v>0.32258064516129031</v>
      </c>
      <c r="M15" s="1">
        <v>0.42105263157894735</v>
      </c>
      <c r="N15" t="s">
        <v>162</v>
      </c>
      <c r="P15" s="1">
        <v>0.57894736842105265</v>
      </c>
      <c r="S15" t="s">
        <v>127</v>
      </c>
      <c r="T15" s="7">
        <v>90.104895104895107</v>
      </c>
      <c r="V15" t="s">
        <v>127</v>
      </c>
      <c r="W15" s="1">
        <v>0.57894736842105265</v>
      </c>
    </row>
    <row r="16" spans="1:29" x14ac:dyDescent="0.35">
      <c r="A16" t="s">
        <v>133</v>
      </c>
      <c r="B16" s="3">
        <f>AVERAGE(tbl_meto[Income])</f>
        <v>548.42105263157896</v>
      </c>
      <c r="E16" t="s">
        <v>140</v>
      </c>
      <c r="F16" s="26">
        <v>494</v>
      </c>
      <c r="G16" s="16">
        <v>1</v>
      </c>
      <c r="J16" t="s">
        <v>127</v>
      </c>
      <c r="K16" s="1">
        <v>0.56481481481481477</v>
      </c>
      <c r="L16" s="1">
        <v>0.67741935483870963</v>
      </c>
      <c r="M16" s="1">
        <v>0.57894736842105265</v>
      </c>
      <c r="N16" t="s">
        <v>140</v>
      </c>
      <c r="P16" s="16">
        <v>1</v>
      </c>
      <c r="S16" t="s">
        <v>140</v>
      </c>
      <c r="T16" s="16">
        <v>88.951417004048579</v>
      </c>
      <c r="V16" t="s">
        <v>140</v>
      </c>
      <c r="W16" s="1">
        <v>1</v>
      </c>
    </row>
    <row r="17" spans="1:28" x14ac:dyDescent="0.35">
      <c r="A17" t="s">
        <v>134</v>
      </c>
      <c r="B17">
        <f>MEDIAN(tbl_meto[Income])</f>
        <v>500</v>
      </c>
      <c r="J17" t="s">
        <v>140</v>
      </c>
      <c r="K17" s="1">
        <v>1</v>
      </c>
      <c r="L17" s="1">
        <v>1</v>
      </c>
      <c r="M17" s="1">
        <v>1</v>
      </c>
    </row>
    <row r="18" spans="1:28" x14ac:dyDescent="0.35">
      <c r="A18" t="s">
        <v>135</v>
      </c>
      <c r="B18">
        <f>MODE(tbl_meto[Age])</f>
        <v>30</v>
      </c>
      <c r="S18" s="14" t="s">
        <v>50</v>
      </c>
      <c r="T18" t="s">
        <v>167</v>
      </c>
    </row>
    <row r="19" spans="1:28" x14ac:dyDescent="0.35">
      <c r="A19" t="s">
        <v>136</v>
      </c>
      <c r="B19">
        <f>MAX(tbl_meto[Income])</f>
        <v>2800</v>
      </c>
      <c r="E19" s="14" t="s">
        <v>5</v>
      </c>
      <c r="F19" t="s">
        <v>142</v>
      </c>
      <c r="G19" t="s">
        <v>143</v>
      </c>
      <c r="S19" t="s">
        <v>126</v>
      </c>
      <c r="T19" s="22">
        <v>529.32692307692309</v>
      </c>
    </row>
    <row r="20" spans="1:28" x14ac:dyDescent="0.35">
      <c r="A20" t="s">
        <v>137</v>
      </c>
      <c r="B20">
        <f>MIN(tbl_meto[Income])</f>
        <v>100</v>
      </c>
      <c r="E20" t="s">
        <v>115</v>
      </c>
      <c r="F20" s="26">
        <v>83</v>
      </c>
      <c r="G20" s="1">
        <v>0.16801619433198381</v>
      </c>
      <c r="S20" t="s">
        <v>127</v>
      </c>
      <c r="T20" s="22">
        <v>562.30769230769226</v>
      </c>
    </row>
    <row r="21" spans="1:28" x14ac:dyDescent="0.35">
      <c r="A21" t="s">
        <v>138</v>
      </c>
      <c r="B21" s="3">
        <f>_xlfn.STDEV.S(tbl_meto[Income])</f>
        <v>361.87131514427153</v>
      </c>
      <c r="E21" t="s">
        <v>66</v>
      </c>
      <c r="F21" s="26">
        <v>107</v>
      </c>
      <c r="G21" s="1">
        <v>0.2165991902834008</v>
      </c>
      <c r="N21" s="14" t="s">
        <v>163</v>
      </c>
      <c r="O21" s="14" t="s">
        <v>50</v>
      </c>
      <c r="S21" t="s">
        <v>140</v>
      </c>
      <c r="T21" s="16">
        <v>548.42105263157896</v>
      </c>
    </row>
    <row r="22" spans="1:28" x14ac:dyDescent="0.35">
      <c r="A22" s="13" t="s">
        <v>25</v>
      </c>
      <c r="E22" t="s">
        <v>90</v>
      </c>
      <c r="F22" s="26">
        <v>134</v>
      </c>
      <c r="G22" s="1">
        <v>0.27125506072874495</v>
      </c>
      <c r="N22" s="14" t="s">
        <v>22</v>
      </c>
      <c r="O22" t="s">
        <v>126</v>
      </c>
      <c r="P22" t="s">
        <v>127</v>
      </c>
      <c r="Q22" t="s">
        <v>140</v>
      </c>
      <c r="Z22" s="14" t="s">
        <v>50</v>
      </c>
      <c r="AA22" t="s">
        <v>171</v>
      </c>
      <c r="AB22" t="s">
        <v>147</v>
      </c>
    </row>
    <row r="23" spans="1:28" x14ac:dyDescent="0.35">
      <c r="A23" t="s">
        <v>133</v>
      </c>
      <c r="B23" s="3">
        <f>AVERAGE(tbl_meto[Sittime])</f>
        <v>4.1376518218623479</v>
      </c>
      <c r="E23" t="s">
        <v>101</v>
      </c>
      <c r="F23" s="26">
        <v>170</v>
      </c>
      <c r="G23" s="1">
        <v>0.34412955465587042</v>
      </c>
      <c r="N23" t="s">
        <v>124</v>
      </c>
      <c r="O23" s="1">
        <v>0.4</v>
      </c>
      <c r="P23" s="1">
        <v>0.6</v>
      </c>
      <c r="Q23" s="16">
        <v>1</v>
      </c>
      <c r="S23" s="14" t="s">
        <v>50</v>
      </c>
      <c r="T23" s="14" t="s">
        <v>10</v>
      </c>
      <c r="U23" t="s">
        <v>170</v>
      </c>
      <c r="Z23" t="s">
        <v>126</v>
      </c>
      <c r="AA23" s="26">
        <v>208</v>
      </c>
      <c r="AB23" s="26">
        <v>208</v>
      </c>
    </row>
    <row r="24" spans="1:28" x14ac:dyDescent="0.35">
      <c r="A24" t="s">
        <v>134</v>
      </c>
      <c r="B24">
        <f>MEDIAN(tbl_meto[Sittime])</f>
        <v>4</v>
      </c>
      <c r="E24" t="s">
        <v>140</v>
      </c>
      <c r="F24" s="26">
        <v>494</v>
      </c>
      <c r="G24" s="16">
        <v>1</v>
      </c>
      <c r="J24" s="14" t="s">
        <v>50</v>
      </c>
      <c r="K24" s="14" t="s">
        <v>20</v>
      </c>
      <c r="L24" t="s">
        <v>143</v>
      </c>
      <c r="N24" t="s">
        <v>125</v>
      </c>
      <c r="O24" s="1">
        <v>0.42679900744416871</v>
      </c>
      <c r="P24" s="1">
        <v>0.57320099255583123</v>
      </c>
      <c r="Q24" s="16">
        <v>1</v>
      </c>
      <c r="S24" t="s">
        <v>126</v>
      </c>
      <c r="T24" t="s">
        <v>69</v>
      </c>
      <c r="U24" s="1">
        <v>0.35020242914979755</v>
      </c>
      <c r="Z24" t="s">
        <v>127</v>
      </c>
      <c r="AA24" s="26">
        <v>286</v>
      </c>
      <c r="AB24" s="26">
        <v>286</v>
      </c>
    </row>
    <row r="25" spans="1:28" x14ac:dyDescent="0.35">
      <c r="A25" t="s">
        <v>135</v>
      </c>
      <c r="B25">
        <f>MODE(tbl_meto[Sittime])</f>
        <v>4</v>
      </c>
      <c r="J25" t="s">
        <v>126</v>
      </c>
      <c r="K25" t="s">
        <v>118</v>
      </c>
      <c r="L25" s="1">
        <v>6.0728744939271256E-3</v>
      </c>
      <c r="N25" t="s">
        <v>74</v>
      </c>
      <c r="O25" s="1">
        <v>0.39344262295081966</v>
      </c>
      <c r="P25" s="1">
        <v>0.60655737704918034</v>
      </c>
      <c r="Q25" s="16">
        <v>1</v>
      </c>
      <c r="T25" t="s">
        <v>70</v>
      </c>
      <c r="U25" s="1">
        <v>7.08502024291498E-2</v>
      </c>
      <c r="Z25" t="s">
        <v>140</v>
      </c>
      <c r="AA25" s="26">
        <v>494</v>
      </c>
      <c r="AB25" s="26">
        <v>494</v>
      </c>
    </row>
    <row r="26" spans="1:28" x14ac:dyDescent="0.35">
      <c r="A26" t="s">
        <v>136</v>
      </c>
      <c r="B26">
        <f>MAX(tbl_meto[Sittime])</f>
        <v>12</v>
      </c>
      <c r="E26" s="14" t="s">
        <v>22</v>
      </c>
      <c r="F26" t="s">
        <v>144</v>
      </c>
      <c r="G26" t="s">
        <v>143</v>
      </c>
      <c r="K26" t="s">
        <v>106</v>
      </c>
      <c r="L26" s="1">
        <v>2.0242914979757085E-3</v>
      </c>
      <c r="N26" t="s">
        <v>140</v>
      </c>
      <c r="O26" s="1">
        <v>0.42105263157894735</v>
      </c>
      <c r="P26" s="1">
        <v>0.57894736842105265</v>
      </c>
      <c r="Q26" s="16">
        <v>1</v>
      </c>
      <c r="S26" t="s">
        <v>161</v>
      </c>
      <c r="U26" s="1">
        <v>0.42105263157894735</v>
      </c>
    </row>
    <row r="27" spans="1:28" x14ac:dyDescent="0.35">
      <c r="A27" t="s">
        <v>137</v>
      </c>
      <c r="B27">
        <f>MIN(tbl_meto[Sittime])</f>
        <v>1</v>
      </c>
      <c r="E27" t="s">
        <v>124</v>
      </c>
      <c r="F27" s="26">
        <v>30</v>
      </c>
      <c r="G27" s="26">
        <v>30</v>
      </c>
      <c r="K27" t="s">
        <v>92</v>
      </c>
      <c r="L27" s="1">
        <v>0.21862348178137653</v>
      </c>
      <c r="S27" t="s">
        <v>127</v>
      </c>
      <c r="T27" t="s">
        <v>69</v>
      </c>
      <c r="U27" s="1">
        <v>0.47570850202429149</v>
      </c>
    </row>
    <row r="28" spans="1:28" x14ac:dyDescent="0.35">
      <c r="A28" t="s">
        <v>138</v>
      </c>
      <c r="B28" s="3">
        <f>_xlfn.STDEV.S(tbl_meto[Sittime])</f>
        <v>2.2763622077425327</v>
      </c>
      <c r="E28" t="s">
        <v>125</v>
      </c>
      <c r="F28" s="26">
        <v>403</v>
      </c>
      <c r="G28" s="26">
        <v>403</v>
      </c>
      <c r="K28" t="s">
        <v>73</v>
      </c>
      <c r="L28" s="1">
        <v>0.11740890688259109</v>
      </c>
      <c r="T28" t="s">
        <v>70</v>
      </c>
      <c r="U28" s="1">
        <v>0.10323886639676114</v>
      </c>
    </row>
    <row r="29" spans="1:28" x14ac:dyDescent="0.35">
      <c r="E29" t="s">
        <v>74</v>
      </c>
      <c r="F29" s="26">
        <v>61</v>
      </c>
      <c r="G29" s="26">
        <v>61</v>
      </c>
      <c r="K29" t="s">
        <v>103</v>
      </c>
      <c r="L29" s="1">
        <v>7.6923076923076927E-2</v>
      </c>
      <c r="S29" t="s">
        <v>162</v>
      </c>
      <c r="U29" s="1">
        <v>0.57894736842105265</v>
      </c>
      <c r="W29" s="14" t="s">
        <v>163</v>
      </c>
      <c r="X29" s="14" t="s">
        <v>50</v>
      </c>
    </row>
    <row r="30" spans="1:28" x14ac:dyDescent="0.35">
      <c r="A30" s="13" t="s">
        <v>53</v>
      </c>
      <c r="E30" t="s">
        <v>140</v>
      </c>
      <c r="F30" s="26">
        <v>494</v>
      </c>
      <c r="G30" s="26">
        <v>494</v>
      </c>
      <c r="J30" t="s">
        <v>161</v>
      </c>
      <c r="L30" s="1">
        <v>0.42105263157894735</v>
      </c>
      <c r="S30" t="s">
        <v>140</v>
      </c>
      <c r="U30" s="1">
        <v>1</v>
      </c>
      <c r="W30" s="14" t="s">
        <v>22</v>
      </c>
      <c r="X30" t="s">
        <v>126</v>
      </c>
      <c r="Y30" t="s">
        <v>127</v>
      </c>
      <c r="Z30" t="s">
        <v>140</v>
      </c>
    </row>
    <row r="31" spans="1:28" x14ac:dyDescent="0.35">
      <c r="A31" t="s">
        <v>133</v>
      </c>
      <c r="B31" s="3">
        <f>AVERAGE(tbl_meto[BMI])</f>
        <v>25.441768746178738</v>
      </c>
      <c r="J31" t="s">
        <v>127</v>
      </c>
      <c r="K31" t="s">
        <v>118</v>
      </c>
      <c r="L31" s="1">
        <v>4.048582995951417E-3</v>
      </c>
      <c r="W31" t="s">
        <v>124</v>
      </c>
      <c r="X31" s="1">
        <v>0.4</v>
      </c>
      <c r="Y31" s="1">
        <v>0.6</v>
      </c>
      <c r="Z31" s="16">
        <v>1</v>
      </c>
    </row>
    <row r="32" spans="1:28" x14ac:dyDescent="0.35">
      <c r="A32" t="s">
        <v>134</v>
      </c>
      <c r="B32" s="3">
        <f>MEDIAN(tbl_meto[BMI])</f>
        <v>25.745267896341332</v>
      </c>
      <c r="K32" t="s">
        <v>106</v>
      </c>
      <c r="L32" s="1">
        <v>8.0971659919028341E-3</v>
      </c>
      <c r="W32" t="s">
        <v>125</v>
      </c>
      <c r="X32" s="1">
        <v>0.42679900744416871</v>
      </c>
      <c r="Y32" s="1">
        <v>0.57320099255583123</v>
      </c>
      <c r="Z32" s="16">
        <v>1</v>
      </c>
    </row>
    <row r="33" spans="1:26" x14ac:dyDescent="0.35">
      <c r="A33" t="s">
        <v>135</v>
      </c>
      <c r="B33" s="3">
        <f>MODE(tbl_meto[BMI])</f>
        <v>25.180785123966942</v>
      </c>
      <c r="K33" t="s">
        <v>92</v>
      </c>
      <c r="L33" s="1">
        <v>0.31983805668016196</v>
      </c>
      <c r="W33" t="s">
        <v>74</v>
      </c>
      <c r="X33" s="1">
        <v>0.39344262295081966</v>
      </c>
      <c r="Y33" s="1">
        <v>0.60655737704918034</v>
      </c>
      <c r="Z33" s="16">
        <v>1</v>
      </c>
    </row>
    <row r="34" spans="1:26" x14ac:dyDescent="0.35">
      <c r="A34" t="s">
        <v>136</v>
      </c>
      <c r="B34" s="3">
        <f>MAX(tbl_meto[BMI])</f>
        <v>42.871315192743772</v>
      </c>
      <c r="K34" t="s">
        <v>73</v>
      </c>
      <c r="L34" s="1">
        <v>0.1437246963562753</v>
      </c>
      <c r="W34" t="s">
        <v>140</v>
      </c>
      <c r="X34" s="1">
        <v>0.42105263157894735</v>
      </c>
      <c r="Y34" s="1">
        <v>0.57894736842105265</v>
      </c>
      <c r="Z34" s="16">
        <v>1</v>
      </c>
    </row>
    <row r="35" spans="1:26" x14ac:dyDescent="0.35">
      <c r="A35" t="s">
        <v>137</v>
      </c>
      <c r="B35" s="3">
        <f>MIN(tbl_meto[BMI])</f>
        <v>13.71742112482853</v>
      </c>
      <c r="K35" t="s">
        <v>103</v>
      </c>
      <c r="L35" s="1">
        <v>0.10323886639676114</v>
      </c>
    </row>
    <row r="36" spans="1:26" x14ac:dyDescent="0.35">
      <c r="A36" t="s">
        <v>138</v>
      </c>
      <c r="B36" s="3">
        <f>_xlfn.STDEV.S(tbl_meto[BMI])</f>
        <v>5.1935330550801631</v>
      </c>
      <c r="J36" t="s">
        <v>162</v>
      </c>
      <c r="L36" s="1">
        <v>0.57894736842105265</v>
      </c>
    </row>
    <row r="37" spans="1:26" x14ac:dyDescent="0.35">
      <c r="J37" t="s">
        <v>140</v>
      </c>
      <c r="L37" s="1">
        <v>1</v>
      </c>
    </row>
  </sheetData>
  <mergeCells count="2">
    <mergeCell ref="N1:P1"/>
    <mergeCell ref="S1:V1"/>
  </mergeCells>
  <pageMargins left="0.7" right="0.7" top="0.75" bottom="0.75" header="0.3" footer="0.3"/>
  <drawing r:id="rId2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4CF5C-1A54-4959-A0A6-2C3DAC01EFB8}">
  <dimension ref="A8:T30"/>
  <sheetViews>
    <sheetView showGridLines="0" tabSelected="1" zoomScale="70" zoomScaleNormal="70" workbookViewId="0">
      <selection activeCell="N28" sqref="N28"/>
    </sheetView>
  </sheetViews>
  <sheetFormatPr defaultRowHeight="14.5" x14ac:dyDescent="0.35"/>
  <cols>
    <col min="1" max="20" width="8.7265625" style="23"/>
    <col min="21" max="16384" width="8.7265625" style="24"/>
  </cols>
  <sheetData>
    <row r="8" spans="18:20" x14ac:dyDescent="0.35">
      <c r="R8" s="24"/>
      <c r="S8" s="24"/>
      <c r="T8" s="24"/>
    </row>
    <row r="17" spans="16:20" x14ac:dyDescent="0.35">
      <c r="T17" s="24"/>
    </row>
    <row r="27" spans="16:20" x14ac:dyDescent="0.35">
      <c r="T27" s="24"/>
    </row>
    <row r="28" spans="16:20" x14ac:dyDescent="0.35">
      <c r="P28" s="24"/>
      <c r="Q28" s="24"/>
      <c r="R28" s="24"/>
      <c r="S28" s="24"/>
      <c r="T28" s="24"/>
    </row>
    <row r="29" spans="16:20" x14ac:dyDescent="0.35">
      <c r="P29" s="24"/>
      <c r="Q29" s="24"/>
      <c r="R29" s="24"/>
      <c r="S29" s="24"/>
      <c r="T29" s="24"/>
    </row>
    <row r="30" spans="16:20" x14ac:dyDescent="0.35">
      <c r="P30" s="24"/>
      <c r="Q30" s="24"/>
      <c r="R30" s="24"/>
      <c r="S30" s="24"/>
      <c r="T30" s="2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F709A4E-DFD6-488E-B7E6-07E3D8B802A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Dirty</vt:lpstr>
      <vt:lpstr>Data Cleaning</vt:lpstr>
      <vt:lpstr>KPIcards</vt:lpstr>
      <vt:lpstr>Descriptive Analys</vt:lpstr>
      <vt:lpstr>Dashboard</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Hamse Essa</cp:lastModifiedBy>
  <dcterms:created xsi:type="dcterms:W3CDTF">2011-08-01T14:22:18Z</dcterms:created>
  <dcterms:modified xsi:type="dcterms:W3CDTF">2026-08-13T09:04:41Z</dcterms:modified>
</cp:coreProperties>
</file>